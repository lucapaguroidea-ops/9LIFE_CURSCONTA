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8" t="inlineStr">
        <is>
          <t>MOD_INCHIDERE_LUNARA — Declarații (input din balanță)</t>
        </is>
      </c>
    </row>
    <row r="2">
      <c r="A2" s="79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80" t="inlineStr">
        <is>
          <t>1. Antet</t>
        </is>
      </c>
    </row>
    <row r="5">
      <c r="A5" s="81" t="inlineStr">
        <is>
          <t>Luna verificată</t>
        </is>
      </c>
      <c r="B5" s="82" t="inlineStr">
        <is>
          <t>iulie 2026</t>
        </is>
      </c>
    </row>
    <row r="6">
      <c r="A6" s="81" t="inlineStr">
        <is>
          <t>Societate</t>
        </is>
      </c>
      <c r="B6" s="81" t="str">
        <f>Parametri!B5</f>
        <v>SC EXEMPLU SRL</v>
      </c>
    </row>
    <row r="8">
      <c r="A8" s="80" t="inlineStr">
        <is>
          <t>2. Obligații constituite lunar și achitate în luna următoare</t>
        </is>
      </c>
    </row>
    <row r="9">
      <c r="A9" s="79" t="inlineStr">
        <is>
          <t>Regula: la sfârșitul lunii, soldul creditor = rulajul creditor al lunii. Un sold mai mare înseamnă restanță, iar mărimea ei spune de cât timp.</t>
        </is>
      </c>
    </row>
    <row r="10">
      <c r="A10" s="83" t="inlineStr">
        <is>
          <t>Cont</t>
        </is>
      </c>
      <c r="B10" s="83" t="inlineStr">
        <is>
          <t>Denumire</t>
        </is>
      </c>
      <c r="C10" s="83" t="inlineStr">
        <is>
          <t>Rulaj debitor</t>
        </is>
      </c>
      <c r="D10" s="83" t="inlineStr">
        <is>
          <t>Rulaj creditor</t>
        </is>
      </c>
      <c r="E10" s="83" t="inlineStr">
        <is>
          <t>Sold creditor</t>
        </is>
      </c>
    </row>
    <row r="11">
      <c r="A11" s="81" t="inlineStr">
        <is>
          <t>444</t>
        </is>
      </c>
      <c r="B11" s="81" t="inlineStr">
        <is>
          <t>Impozit pe venituri din salarii</t>
        </is>
      </c>
      <c r="C11" s="81" t="n">
        <v>3250</v>
      </c>
      <c r="D11" s="81" t="n">
        <v>3250</v>
      </c>
      <c r="E11" s="81" t="n">
        <v>3250</v>
      </c>
    </row>
    <row r="12">
      <c r="A12" s="81" t="inlineStr">
        <is>
          <t>4315</t>
        </is>
      </c>
      <c r="B12" s="81" t="inlineStr">
        <is>
          <t>CAS — contribuția de asigurări sociale</t>
        </is>
      </c>
      <c r="C12" s="81" t="n">
        <v>12500</v>
      </c>
      <c r="D12" s="81" t="n">
        <v>12500</v>
      </c>
      <c r="E12" s="81" t="n">
        <v>12500</v>
      </c>
    </row>
    <row r="13">
      <c r="A13" s="81" t="inlineStr">
        <is>
          <t>4316</t>
        </is>
      </c>
      <c r="B13" s="81" t="inlineStr">
        <is>
          <t>CASS — asigurări sociale de sănătate</t>
        </is>
      </c>
      <c r="C13" s="81" t="n">
        <v>5000</v>
      </c>
      <c r="D13" s="81" t="n">
        <v>5000</v>
      </c>
      <c r="E13" s="81" t="n">
        <v>5000</v>
      </c>
    </row>
    <row r="14">
      <c r="A14" s="81" t="inlineStr">
        <is>
          <t>436</t>
        </is>
      </c>
      <c r="B14" s="81" t="inlineStr">
        <is>
          <t>CAM — contribuția asiguratorie pentru muncă</t>
        </is>
      </c>
      <c r="C14" s="81" t="n">
        <v>1125</v>
      </c>
      <c r="D14" s="81" t="n">
        <v>1125</v>
      </c>
      <c r="E14" s="81" t="n">
        <v>1125</v>
      </c>
    </row>
    <row r="15">
      <c r="A15" s="81" t="inlineStr">
        <is>
          <t>427</t>
        </is>
      </c>
      <c r="B15" s="81" t="inlineStr">
        <is>
          <t>Rețineri din salarii datorate terților</t>
        </is>
      </c>
      <c r="C15" s="81" t="n">
        <v>0</v>
      </c>
      <c r="D15" s="81" t="n">
        <v>0</v>
      </c>
      <c r="E15" s="81" t="n">
        <v>0</v>
      </c>
    </row>
    <row r="17">
      <c r="A17" s="80" t="inlineStr">
        <is>
          <t>3. Datoria față de salariați</t>
        </is>
      </c>
    </row>
    <row r="18">
      <c r="A18" s="81" t="inlineStr">
        <is>
          <t>Sold creditor 421 — salarii datorate</t>
        </is>
      </c>
      <c r="B18" s="82" t="n">
        <v>29250</v>
      </c>
    </row>
    <row r="19">
      <c r="A19" s="81" t="inlineStr">
        <is>
          <t>Sold creditor 423 — ajutoare materiale</t>
        </is>
      </c>
      <c r="B19" s="82" t="n">
        <v>0</v>
      </c>
    </row>
    <row r="20">
      <c r="A20" s="81" t="inlineStr">
        <is>
          <t>Rest de plată din statul de plată</t>
        </is>
      </c>
      <c r="B20" s="82" t="n">
        <v>29250</v>
      </c>
      <c r="C20" s="79" t="inlineStr">
        <is>
          <t>Se ia din stat, nu din balanță — asta e tot rostul corelației</t>
        </is>
      </c>
    </row>
    <row r="22">
      <c r="A22" s="80" t="inlineStr">
        <is>
          <t>4. Baza CAM</t>
        </is>
      </c>
    </row>
    <row r="23">
      <c r="A23" s="81" t="inlineStr">
        <is>
          <t>Rulaj creditor 421 — brutul realizat al lunii</t>
        </is>
      </c>
      <c r="B23" s="82" t="n">
        <v>50000</v>
      </c>
    </row>
    <row r="24">
      <c r="A24" s="81" t="inlineStr">
        <is>
          <t>Cota CAM</t>
        </is>
      </c>
      <c r="B24" s="81">
        <f>param_cota_cam</f>
        <v>0.0225</v>
      </c>
      <c r="C24" s="79" t="inlineStr">
        <is>
          <t>Din Parametri; 2,25% aplicat la fondul de salarii</t>
        </is>
      </c>
    </row>
    <row r="26">
      <c r="A26" s="80" t="inlineStr">
        <is>
          <t>5. Conturi de tranzit — trebuie golite</t>
        </is>
      </c>
    </row>
    <row r="27">
      <c r="A27" s="83" t="inlineStr">
        <is>
          <t>Cont</t>
        </is>
      </c>
      <c r="B27" s="83" t="inlineStr">
        <is>
          <t>Denumire</t>
        </is>
      </c>
      <c r="C27" s="83" t="inlineStr">
        <is>
          <t>Sold la sfârșitul lunii</t>
        </is>
      </c>
    </row>
    <row r="28">
      <c r="A28" s="81" t="inlineStr">
        <is>
          <t>473</t>
        </is>
      </c>
      <c r="B28" s="81" t="inlineStr">
        <is>
          <t>Decontări din operațiuni în curs de clarificare</t>
        </is>
      </c>
      <c r="C28" s="81" t="n">
        <v>0</v>
      </c>
    </row>
    <row r="29">
      <c r="A29" s="81" t="inlineStr">
        <is>
          <t>581</t>
        </is>
      </c>
      <c r="B29" s="81" t="inlineStr">
        <is>
          <t>Viramente interne</t>
        </is>
      </c>
      <c r="C29" s="81" t="n">
        <v>0</v>
      </c>
    </row>
    <row r="30">
      <c r="A30" s="81" t="inlineStr">
        <is>
          <t>542</t>
        </is>
      </c>
      <c r="B30" s="81" t="inlineStr">
        <is>
          <t>Avansuri de trezorerie</t>
        </is>
      </c>
      <c r="C30" s="81" t="n">
        <v>0</v>
      </c>
    </row>
    <row r="31">
      <c r="A31" s="81" t="inlineStr">
        <is>
          <t>4382</t>
        </is>
      </c>
      <c r="B31" s="81" t="inlineStr">
        <is>
          <t>Alte creanțe sociale (de recuperat de la FNUASS)</t>
        </is>
      </c>
      <c r="C31" s="81" t="n">
        <v>0</v>
      </c>
    </row>
    <row r="33">
      <c r="A33" s="80" t="inlineStr">
        <is>
          <t>6. TVA</t>
        </is>
      </c>
    </row>
    <row r="34">
      <c r="A34" s="81" t="inlineStr">
        <is>
          <t>Sold 4423 din balanță</t>
        </is>
      </c>
      <c r="B34" s="82" t="n">
        <v>5250</v>
      </c>
    </row>
    <row r="35">
      <c r="A35" s="81" t="inlineStr">
        <is>
          <t>Sold de plată din decontul de TVA</t>
        </is>
      </c>
      <c r="B35" s="82" t="n">
        <v>5250</v>
      </c>
      <c r="C35" s="79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8" t="inlineStr">
        <is>
          <t>MOD_INCHIDERE_LUNARA — Reguli</t>
        </is>
      </c>
    </row>
    <row r="2">
      <c r="A2" s="79" t="inlineStr">
        <is>
          <t>Tabele fixe. Se editează doar când se schimbă legea sau când o corelație nouă intră în workbook-ul de plan.</t>
        </is>
      </c>
    </row>
    <row r="4">
      <c r="A4" s="80" t="inlineStr">
        <is>
          <t>Tabelul A — corelațiile verificate și ce le rupe</t>
        </is>
      </c>
    </row>
    <row r="5">
      <c r="A5" s="83" t="inlineStr">
        <is>
          <t>Cod</t>
        </is>
      </c>
      <c r="B5" s="83" t="inlineStr">
        <is>
          <t>Corelația</t>
        </is>
      </c>
      <c r="C5" s="83" t="inlineStr">
        <is>
          <t>Ce o rupe LEGITIM</t>
        </is>
      </c>
      <c r="D5" s="83" t="inlineStr">
        <is>
          <t>Ce o rupe SUSPECT</t>
        </is>
      </c>
    </row>
    <row r="6">
      <c r="A6" s="81" t="inlineStr">
        <is>
          <t>C-24</t>
        </is>
      </c>
      <c r="B6" s="81" t="inlineStr">
        <is>
          <t>sold C 421 + sold C 423 = rest de plată din stat</t>
        </is>
      </c>
      <c r="C6" s="81" t="inlineStr">
        <is>
          <t>Avans pe 425, nescăzut încă · drepturi neridicate mutate pe 426</t>
        </is>
      </c>
      <c r="D6" s="81" t="inlineStr">
        <is>
          <t>Plată înregistrată pe alt cont decât 421 · salarii restante nereclasificate</t>
        </is>
      </c>
    </row>
    <row r="7">
      <c r="A7" s="81" t="inlineStr">
        <is>
          <t>C-25</t>
        </is>
      </c>
      <c r="B7" s="81" t="inlineStr">
        <is>
          <t>rulaj C 444 = sold C 444</t>
        </is>
      </c>
      <c r="C7" s="81" t="inlineStr">
        <is>
          <t>Rectificativă pe o lună anterioară · plată în avans</t>
        </is>
      </c>
      <c r="D7" s="81" t="inlineStr">
        <is>
          <t>Sold &gt; rulaj constant = stopaj la sursă nevirat. Peste 30 de zile, penal</t>
        </is>
      </c>
    </row>
    <row r="8">
      <c r="A8" s="81" t="inlineStr">
        <is>
          <t>C-26</t>
        </is>
      </c>
      <c r="B8" s="81" t="inlineStr">
        <is>
          <t>rulaj C 4315/4316/436 = soldurile lor</t>
        </is>
      </c>
      <c r="C8" s="81" t="inlineStr">
        <is>
          <t>Rectificativă · eșalonare la plată aprobată de ANAF</t>
        </is>
      </c>
      <c r="D8" s="81" t="inlineStr">
        <is>
          <t>Contribuții restante · bază de calcul care nu corespunde brutului</t>
        </is>
      </c>
    </row>
    <row r="9">
      <c r="A9" s="81" t="inlineStr">
        <is>
          <t>C-27</t>
        </is>
      </c>
      <c r="B9" s="81" t="inlineStr">
        <is>
          <t>cota CAM × rulaj C 421 = rulaj C 436</t>
        </is>
      </c>
      <c r="C9" s="81" t="inlineStr">
        <is>
          <t>Luni cu concedii medicale: CAM nu se datorează pe partea din FNUASS (art. 220^5) · categorii cu cotă redusă</t>
        </is>
      </c>
      <c r="D9" s="81" t="inlineStr">
        <is>
          <t>Sporuri sau prime omise din fondul de salarii · CAM înregistrat invers</t>
        </is>
      </c>
    </row>
    <row r="10">
      <c r="A10" s="81" t="inlineStr">
        <is>
          <t>C-28</t>
        </is>
      </c>
      <c r="B10" s="81" t="inlineStr">
        <is>
          <t>rulaj C 427 = sold C 427</t>
        </is>
      </c>
      <c r="C10" s="81" t="inlineStr">
        <is>
          <t>Poprire înființată la final de lună, cu virare în luna următoare</t>
        </is>
      </c>
      <c r="D10" s="81" t="inlineStr">
        <is>
          <t>Sold care persistă = bani opriți din salariul altcuiva și nevirați</t>
        </is>
      </c>
    </row>
    <row r="11">
      <c r="A11" s="81" t="inlineStr">
        <is>
          <t>C-29</t>
        </is>
      </c>
      <c r="B11" s="81" t="inlineStr">
        <is>
          <t>sold 4423 din balanță = sold din decontul de TVA</t>
        </is>
      </c>
      <c r="C11" s="81" t="inlineStr">
        <is>
          <t>Sume din decizii de impunere, pe analitic distinct (F-421)</t>
        </is>
      </c>
      <c r="D11" s="81" t="inlineStr">
        <is>
          <t>TVA neachitat din perioade precedente, omis din decont</t>
        </is>
      </c>
    </row>
    <row r="12">
      <c r="A12" s="81" t="inlineStr">
        <is>
          <t>—</t>
        </is>
      </c>
      <c r="B12" s="81" t="inlineStr">
        <is>
          <t>sold 473, 581, 542, 4382 = 0</t>
        </is>
      </c>
      <c r="C12" s="81" t="inlineStr">
        <is>
          <t>Operațiune de final de lună, închisă în primele zile ale lunii următoare</t>
        </is>
      </c>
      <c r="D12" s="81" t="inlineStr">
        <is>
          <t>Sold care se reportează = operațiune neterminată, ascunsă în balanță</t>
        </is>
      </c>
    </row>
    <row r="14">
      <c r="A14" s="80" t="inlineStr">
        <is>
          <t>Tabelul B — cadențele, din foaia „Închideri periodice”</t>
        </is>
      </c>
    </row>
    <row r="15">
      <c r="A15" s="79" t="inlineStr">
        <is>
          <t>Lista nu se rescrie aici: e aceeași cu cea din workbook-ul de plan, care o derivă din stările terminale ale fluxurilor (poarta 17).</t>
        </is>
      </c>
    </row>
    <row r="17">
      <c r="A17" s="80" t="inlineStr">
        <is>
          <t>Tabelul C — LIMITĂRI DECLARATE</t>
        </is>
      </c>
    </row>
    <row r="18">
      <c r="A18" s="83" t="inlineStr">
        <is>
          <t>Ce NU face modulul</t>
        </is>
      </c>
      <c r="B18" s="83" t="inlineStr">
        <is>
          <t>De ce contează</t>
        </is>
      </c>
    </row>
    <row r="19">
      <c r="A19" s="81" t="inlineStr">
        <is>
          <t>Verifică solduri, nu documente</t>
        </is>
      </c>
      <c r="B19" s="81" t="inlineStr">
        <is>
          <t>Nu poate spune dacă statul de plată e corect întocmit — doar dacă balanța se potrivește cu el. Un stat greșit, reflectat fidel în balanță, trece.</t>
        </is>
      </c>
    </row>
    <row r="20">
      <c r="A20" s="81" t="inlineStr">
        <is>
          <t>Restul de plată se introduce manual</t>
        </is>
      </c>
      <c r="B20" s="81" t="inlineStr">
        <is>
          <t>Vine din stat, nu din balanță. Dacă îl copiezi din balanță, corelația devine tautologie și nu mai verifică nimic.</t>
        </is>
      </c>
    </row>
    <row r="21">
      <c r="A21" s="81" t="inlineStr">
        <is>
          <t>Conturile fără corelație declarată nu apar</t>
        </is>
      </c>
      <c r="B21" s="81" t="inlineStr">
        <is>
          <t>455, 461, 462, 5187 au cadență, dar niciun flux nu le declară starea terminală. Golul e declarat în `date/inchideri.py`, nu ascuns aici.</t>
        </is>
      </c>
    </row>
    <row r="22">
      <c r="A22" s="81" t="inlineStr">
        <is>
          <t>O singură lună odată</t>
        </is>
      </c>
      <c r="B22" s="81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8" t="inlineStr">
        <is>
          <t>MOD_INCHIDERE_LUNARA — Verificări</t>
        </is>
      </c>
    </row>
    <row r="2">
      <c r="A2" s="79" t="inlineStr">
        <is>
          <t>O linie pe corelație, calculată din Declarații. Coloana „Diferență” e ce contează: zero înseamnă că se potrivește.</t>
        </is>
      </c>
    </row>
    <row r="4">
      <c r="A4" s="80" t="inlineStr">
        <is>
          <t>V1 — obligații lunare: rulaj creditor = sold creditor</t>
        </is>
      </c>
    </row>
    <row r="5">
      <c r="A5" s="83" t="inlineStr">
        <is>
          <t>Cod</t>
        </is>
      </c>
      <c r="B5" s="83" t="inlineStr">
        <is>
          <t>Ce verifică</t>
        </is>
      </c>
      <c r="C5" s="83" t="inlineStr">
        <is>
          <t>Rulaj C</t>
        </is>
      </c>
      <c r="D5" s="83" t="inlineStr">
        <is>
          <t>Sold C</t>
        </is>
      </c>
      <c r="E5" s="83" t="inlineStr">
        <is>
          <t>Diferență</t>
        </is>
      </c>
      <c r="F5" s="83" t="inlineStr">
        <is>
          <t>Verdict</t>
        </is>
      </c>
    </row>
    <row r="6">
      <c r="A6" s="81" t="inlineStr">
        <is>
          <t>C-25</t>
        </is>
      </c>
      <c r="B6" s="81" t="inlineStr">
        <is>
          <t>444 — Impozit pe venituri din salarii</t>
        </is>
      </c>
      <c r="C6" s="81">
        <f>Declarații_INCHIDERE_LUNARA!D11</f>
        <v>3250</v>
      </c>
      <c r="D6" s="81">
        <f>Declarații_INCHIDERE_LUNARA!E11</f>
        <v>3250</v>
      </c>
      <c r="E6" s="81">
        <f>Declarații_INCHIDERE_LUNARA!E11-Declarații_INCHIDERE_LUNARA!D11</f>
        <v>0</v>
      </c>
      <c r="F6" s="81" t="str">
        <f>IF(ABS(E6)&lt;0.01,"OK","ATENȚIE — sold peste rulaj: restanță de "&amp;TEXT(E6,"#,##0")&amp;" lei")</f>
        <v>OK</v>
      </c>
    </row>
    <row r="7">
      <c r="A7" s="81" t="inlineStr">
        <is>
          <t>C-26</t>
        </is>
      </c>
      <c r="B7" s="81" t="inlineStr">
        <is>
          <t>4315 — CAS — contribuția de asigurări sociale</t>
        </is>
      </c>
      <c r="C7" s="81">
        <f>Declarații_INCHIDERE_LUNARA!D12</f>
        <v>12500</v>
      </c>
      <c r="D7" s="81">
        <f>Declarații_INCHIDERE_LUNARA!E12</f>
        <v>12500</v>
      </c>
      <c r="E7" s="81">
        <f>Declarații_INCHIDERE_LUNARA!E12-Declarații_INCHIDERE_LUNARA!D12</f>
        <v>0</v>
      </c>
      <c r="F7" s="81" t="str">
        <f>IF(ABS(E7)&lt;0.01,"OK","ATENȚIE — sold peste rulaj: restanță de "&amp;TEXT(E7,"#,##0")&amp;" lei")</f>
        <v>OK</v>
      </c>
    </row>
    <row r="8">
      <c r="A8" s="81" t="inlineStr">
        <is>
          <t>C-26</t>
        </is>
      </c>
      <c r="B8" s="81" t="inlineStr">
        <is>
          <t>4316 — CASS — asigurări sociale de sănătate</t>
        </is>
      </c>
      <c r="C8" s="81">
        <f>Declarații_INCHIDERE_LUNARA!D13</f>
        <v>5000</v>
      </c>
      <c r="D8" s="81">
        <f>Declarații_INCHIDERE_LUNARA!E13</f>
        <v>5000</v>
      </c>
      <c r="E8" s="81">
        <f>Declarații_INCHIDERE_LUNARA!E13-Declarații_INCHIDERE_LUNARA!D13</f>
        <v>0</v>
      </c>
      <c r="F8" s="81" t="str">
        <f>IF(ABS(E8)&lt;0.01,"OK","ATENȚIE — sold peste rulaj: restanță de "&amp;TEXT(E8,"#,##0")&amp;" lei")</f>
        <v>OK</v>
      </c>
    </row>
    <row r="9">
      <c r="A9" s="81" t="inlineStr">
        <is>
          <t>C-26</t>
        </is>
      </c>
      <c r="B9" s="81" t="inlineStr">
        <is>
          <t>436 — CAM — contribuția asiguratorie pentru muncă</t>
        </is>
      </c>
      <c r="C9" s="81">
        <f>Declarații_INCHIDERE_LUNARA!D14</f>
        <v>1125</v>
      </c>
      <c r="D9" s="81">
        <f>Declarații_INCHIDERE_LUNARA!E14</f>
        <v>1125</v>
      </c>
      <c r="E9" s="81">
        <f>Declarații_INCHIDERE_LUNARA!E14-Declarații_INCHIDERE_LUNARA!D14</f>
        <v>0</v>
      </c>
      <c r="F9" s="81" t="str">
        <f>IF(ABS(E9)&lt;0.01,"OK","ATENȚIE — sold peste rulaj: restanță de "&amp;TEXT(E9,"#,##0")&amp;" lei")</f>
        <v>OK</v>
      </c>
    </row>
    <row r="10">
      <c r="A10" s="81" t="inlineStr">
        <is>
          <t>C-28</t>
        </is>
      </c>
      <c r="B10" s="81" t="inlineStr">
        <is>
          <t>427 — Rețineri din salarii datorate terților</t>
        </is>
      </c>
      <c r="C10" s="81">
        <f>Declarații_INCHIDERE_LUNARA!D15</f>
        <v>0</v>
      </c>
      <c r="D10" s="81">
        <f>Declarații_INCHIDERE_LUNARA!E15</f>
        <v>0</v>
      </c>
      <c r="E10" s="81">
        <f>Declarații_INCHIDERE_LUNARA!E15-Declarații_INCHIDERE_LUNARA!D15</f>
        <v>0</v>
      </c>
      <c r="F10" s="81" t="str">
        <f>IF(ABS(E10)&lt;0.01,"OK","ATENȚIE — sold peste rulaj: restanță de "&amp;TEXT(E10,"#,##0")&amp;" lei")</f>
        <v>OK</v>
      </c>
    </row>
    <row r="12">
      <c r="A12" s="80" t="inlineStr">
        <is>
          <t>V2 — datoria față de salariați</t>
        </is>
      </c>
    </row>
    <row r="13">
      <c r="A13" s="83" t="inlineStr">
        <is>
          <t>Cod</t>
        </is>
      </c>
      <c r="B13" s="83" t="inlineStr">
        <is>
          <t>Ce verifică</t>
        </is>
      </c>
      <c r="C13" s="83" t="inlineStr">
        <is>
          <t>Din balanță</t>
        </is>
      </c>
      <c r="D13" s="83" t="inlineStr">
        <is>
          <t>Din stat</t>
        </is>
      </c>
      <c r="E13" s="83" t="inlineStr">
        <is>
          <t>Diferență</t>
        </is>
      </c>
      <c r="F13" s="83" t="inlineStr">
        <is>
          <t>Verdict</t>
        </is>
      </c>
    </row>
    <row r="14">
      <c r="A14" s="81" t="inlineStr">
        <is>
          <t>C-24</t>
        </is>
      </c>
      <c r="B14" s="81" t="inlineStr">
        <is>
          <t>421 + 423 = rest de plată de pe stat</t>
        </is>
      </c>
      <c r="C14" s="81">
        <f>Declarații_INCHIDERE_LUNARA!B18+Declarații_INCHIDERE_LUNARA!B19</f>
        <v>29250</v>
      </c>
      <c r="D14" s="81">
        <f>Declarații_INCHIDERE_LUNARA!B20</f>
        <v>29250</v>
      </c>
      <c r="E14" s="81">
        <f>Declarații_INCHIDERE_LUNARA!B18+Declarații_INCHIDERE_LUNARA!B19-Declarații_INCHIDERE_LUNARA!B20</f>
        <v>0</v>
      </c>
      <c r="F14" s="81" t="str">
        <f>IF(ABS(E14)&lt;0.01,"OK","ATENȚIE — balanța nu corespunde statului")</f>
        <v>OK</v>
      </c>
    </row>
    <row r="16">
      <c r="A16" s="80" t="inlineStr">
        <is>
          <t>V3 — conturi de tranzit, care trebuie golite</t>
        </is>
      </c>
    </row>
    <row r="17">
      <c r="A17" s="83" t="inlineStr">
        <is>
          <t>Cod</t>
        </is>
      </c>
      <c r="B17" s="83" t="inlineStr">
        <is>
          <t>Ce verifică</t>
        </is>
      </c>
      <c r="C17" s="83" t="inlineStr">
        <is>
          <t>Sold</t>
        </is>
      </c>
      <c r="D17" s="83" t="inlineStr">
        <is>
          <t>Așteptat</t>
        </is>
      </c>
      <c r="E17" s="83" t="inlineStr">
        <is>
          <t>Diferență</t>
        </is>
      </c>
      <c r="F17" s="83" t="inlineStr">
        <is>
          <t>Verdict</t>
        </is>
      </c>
    </row>
    <row r="18">
      <c r="A18" s="81" t="inlineStr">
        <is>
          <t>—</t>
        </is>
      </c>
      <c r="B18" s="81" t="inlineStr">
        <is>
          <t>473 — Decontări din operațiuni în curs de clarificare</t>
        </is>
      </c>
      <c r="C18" s="81">
        <f>Declarații_INCHIDERE_LUNARA!C28</f>
        <v>0</v>
      </c>
      <c r="D18" s="81" t="n">
        <v>0</v>
      </c>
      <c r="E18" s="81">
        <f>Declarații_INCHIDERE_LUNARA!C28</f>
        <v>0</v>
      </c>
      <c r="F18" s="81" t="str">
        <f>IF(ABS(E18)&lt;0.01,"OK","ATENȚIE — operațiune neterminată, ascunsă în balanță")</f>
        <v>OK</v>
      </c>
    </row>
    <row r="19">
      <c r="A19" s="81" t="inlineStr">
        <is>
          <t>—</t>
        </is>
      </c>
      <c r="B19" s="81" t="inlineStr">
        <is>
          <t>581 — Viramente interne</t>
        </is>
      </c>
      <c r="C19" s="81">
        <f>Declarații_INCHIDERE_LUNARA!C29</f>
        <v>0</v>
      </c>
      <c r="D19" s="81" t="n">
        <v>0</v>
      </c>
      <c r="E19" s="81">
        <f>Declarații_INCHIDERE_LUNARA!C29</f>
        <v>0</v>
      </c>
      <c r="F19" s="81" t="str">
        <f>IF(ABS(E19)&lt;0.01,"OK","ATENȚIE — operațiune neterminată, ascunsă în balanță")</f>
        <v>OK</v>
      </c>
    </row>
    <row r="20">
      <c r="A20" s="81" t="inlineStr">
        <is>
          <t>—</t>
        </is>
      </c>
      <c r="B20" s="81" t="inlineStr">
        <is>
          <t>542 — Avansuri de trezorerie</t>
        </is>
      </c>
      <c r="C20" s="81">
        <f>Declarații_INCHIDERE_LUNARA!C30</f>
        <v>0</v>
      </c>
      <c r="D20" s="81" t="n">
        <v>0</v>
      </c>
      <c r="E20" s="81">
        <f>Declarații_INCHIDERE_LUNARA!C30</f>
        <v>0</v>
      </c>
      <c r="F20" s="81" t="str">
        <f>IF(ABS(E20)&lt;0.01,"OK","ATENȚIE — operațiune neterminată, ascunsă în balanță")</f>
        <v>OK</v>
      </c>
    </row>
    <row r="21">
      <c r="A21" s="81" t="inlineStr">
        <is>
          <t>—</t>
        </is>
      </c>
      <c r="B21" s="81" t="inlineStr">
        <is>
          <t>4382 — Alte creanțe sociale (de recuperat de la FNUASS)</t>
        </is>
      </c>
      <c r="C21" s="81">
        <f>Declarații_INCHIDERE_LUNARA!C31</f>
        <v>0</v>
      </c>
      <c r="D21" s="81" t="n">
        <v>0</v>
      </c>
      <c r="E21" s="81">
        <f>Declarații_INCHIDERE_LUNARA!C31</f>
        <v>0</v>
      </c>
      <c r="F21" s="81" t="str">
        <f>IF(ABS(E21)&lt;0.01,"OK","ATENȚIE — operațiune neterminată, ascunsă în balanță")</f>
        <v>OK</v>
      </c>
    </row>
    <row r="23">
      <c r="A23" s="80" t="inlineStr">
        <is>
          <t>V4 — CAM pe cifre și TVA</t>
        </is>
      </c>
    </row>
    <row r="24">
      <c r="A24" s="83" t="inlineStr">
        <is>
          <t>Cod</t>
        </is>
      </c>
      <c r="B24" s="83" t="inlineStr">
        <is>
          <t>Ce verifică</t>
        </is>
      </c>
      <c r="C24" s="83" t="inlineStr">
        <is>
          <t>Calculat</t>
        </is>
      </c>
      <c r="D24" s="83" t="inlineStr">
        <is>
          <t>Din balanță</t>
        </is>
      </c>
      <c r="E24" s="83" t="inlineStr">
        <is>
          <t>Diferență</t>
        </is>
      </c>
      <c r="F24" s="83" t="inlineStr">
        <is>
          <t>Verdict</t>
        </is>
      </c>
    </row>
    <row r="25">
      <c r="A25" s="81" t="inlineStr">
        <is>
          <t>C-27</t>
        </is>
      </c>
      <c r="B25" s="81" t="inlineStr">
        <is>
          <t>cota CAM × brut = rulaj C 436</t>
        </is>
      </c>
      <c r="C25" s="81">
        <f>ROUND(Declarații_INCHIDERE_LUNARA!B23*param_cota_cam,2)</f>
        <v>1125</v>
      </c>
      <c r="D25" s="81">
        <f>Declarații_INCHIDERE_LUNARA!D14</f>
        <v>1125</v>
      </c>
      <c r="E25" s="81">
        <f>Declarații_INCHIDERE_LUNARA!D14-ROUND(Declarații_INCHIDERE_LUNARA!B23*param_cota_cam,2)</f>
        <v>0</v>
      </c>
      <c r="F25" s="81" t="str">
        <f>IF(ABS(E25)&lt;0.01,"OK","ATENȚIE — bază de calcul greșită sau concedii medicale (vezi Reguli A)")</f>
        <v>OK</v>
      </c>
    </row>
    <row r="26">
      <c r="A26" s="81" t="inlineStr">
        <is>
          <t>C-29</t>
        </is>
      </c>
      <c r="B26" s="81" t="inlineStr">
        <is>
          <t>sold 4423 din balanță = sold din decont</t>
        </is>
      </c>
      <c r="C26" s="81">
        <f>Declarații_INCHIDERE_LUNARA!B34</f>
        <v>5250</v>
      </c>
      <c r="D26" s="81">
        <f>Declarații_INCHIDERE_LUNARA!B35</f>
        <v>5250</v>
      </c>
      <c r="E26" s="81">
        <f>Declarații_INCHIDERE_LUNARA!B34-Declarații_INCHIDERE_LUNARA!B35</f>
        <v>0</v>
      </c>
      <c r="F26" s="81" t="str">
        <f>IF(ABS(E26)&lt;0.01,"OK","ATENȚIE — decontul și balanța nu spun același lucru")</f>
        <v>OK</v>
      </c>
    </row>
    <row r="28">
      <c r="A28" s="80" t="inlineStr">
        <is>
          <t>Control final</t>
        </is>
      </c>
    </row>
    <row r="29">
      <c r="A29" s="81" t="inlineStr">
        <is>
          <t>Check — toate corelațiile lunii</t>
        </is>
      </c>
      <c r="B29" s="81">
        <f>ABS(E6)+ABS(E7)+ABS(E8)+ABS(E9)+ABS(E10)+ABS(E14)+ABS(E18)+ABS(E19)+ABS(E20)+ABS(E21)+ABS(E25)+ABS(E26)</f>
        <v>0</v>
      </c>
      <c r="C29" s="81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8" t="inlineStr">
        <is>
          <t>MOD_INCHIDERE_LUNARA — Abateri</t>
        </is>
      </c>
    </row>
    <row r="2">
      <c r="A2" s="79" t="inlineStr">
        <is>
          <t>Coloana „Include” spune DA doar unde corelația nu s-a potrivit. Lista e completă: dacă toate sunt NU, luna e curată.</t>
        </is>
      </c>
    </row>
    <row r="4">
      <c r="A4" s="83" t="inlineStr">
        <is>
          <t>Include</t>
        </is>
      </c>
      <c r="B4" s="83" t="inlineStr">
        <is>
          <t>Cod</t>
        </is>
      </c>
      <c r="C4" s="83" t="inlineStr">
        <is>
          <t>Ce nu s-a potrivit</t>
        </is>
      </c>
      <c r="D4" s="83" t="inlineStr">
        <is>
          <t>Diferență</t>
        </is>
      </c>
      <c r="E4" s="83" t="inlineStr">
        <is>
          <t>Ce se face</t>
        </is>
      </c>
    </row>
    <row r="5">
      <c r="A5" s="81" t="str">
        <f>IF(ABS(Verificări_INCHIDERE_LUNARA!E6)&lt;0.01,"NU","DA")</f>
        <v>NU</v>
      </c>
      <c r="B5" s="81" t="inlineStr">
        <is>
          <t>C-25</t>
        </is>
      </c>
      <c r="C5" s="81" t="inlineStr">
        <is>
          <t>444 Impozit pe venituri din salarii</t>
        </is>
      </c>
      <c r="D5" s="81">
        <f>Verificări_INCHIDERE_LUNARA!E6</f>
        <v>0</v>
      </c>
      <c r="E5" s="81" t="inlineStr">
        <is>
          <t>Se verifică fișa de plătitor din SPV. Stopaj nevirat peste 30 de zile = răspundere penală, nu întârziere.</t>
        </is>
      </c>
    </row>
    <row r="6">
      <c r="A6" s="81" t="str">
        <f>IF(ABS(Verificări_INCHIDERE_LUNARA!E7)&lt;0.01,"NU","DA")</f>
        <v>NU</v>
      </c>
      <c r="B6" s="81" t="inlineStr">
        <is>
          <t>C-26</t>
        </is>
      </c>
      <c r="C6" s="81" t="inlineStr">
        <is>
          <t>4315 CAS — contribuția de asigurări sociale</t>
        </is>
      </c>
      <c r="D6" s="81">
        <f>Verificări_INCHIDERE_LUNARA!E7</f>
        <v>0</v>
      </c>
      <c r="E6" s="81" t="inlineStr">
        <is>
          <t>Se confruntă cu D112. Dacă e eșalonare, se notează; altfel e restanță.</t>
        </is>
      </c>
    </row>
    <row r="7">
      <c r="A7" s="81" t="str">
        <f>IF(ABS(Verificări_INCHIDERE_LUNARA!E8)&lt;0.01,"NU","DA")</f>
        <v>NU</v>
      </c>
      <c r="B7" s="81" t="inlineStr">
        <is>
          <t>C-26</t>
        </is>
      </c>
      <c r="C7" s="81" t="inlineStr">
        <is>
          <t>4316 CASS — asigurări sociale de sănătate</t>
        </is>
      </c>
      <c r="D7" s="81">
        <f>Verificări_INCHIDERE_LUNARA!E8</f>
        <v>0</v>
      </c>
      <c r="E7" s="81" t="inlineStr">
        <is>
          <t>Se confruntă cu D112. Dacă e eșalonare, se notează; altfel e restanță.</t>
        </is>
      </c>
    </row>
    <row r="8">
      <c r="A8" s="81" t="str">
        <f>IF(ABS(Verificări_INCHIDERE_LUNARA!E9)&lt;0.01,"NU","DA")</f>
        <v>NU</v>
      </c>
      <c r="B8" s="81" t="inlineStr">
        <is>
          <t>C-26</t>
        </is>
      </c>
      <c r="C8" s="81" t="inlineStr">
        <is>
          <t>436 CAM — contribuția asiguratorie pentru muncă</t>
        </is>
      </c>
      <c r="D8" s="81">
        <f>Verificări_INCHIDERE_LUNARA!E9</f>
        <v>0</v>
      </c>
      <c r="E8" s="81" t="inlineStr">
        <is>
          <t>Se confruntă cu D112. Dacă e eșalonare, se notează; altfel e restanță.</t>
        </is>
      </c>
    </row>
    <row r="9">
      <c r="A9" s="81" t="str">
        <f>IF(ABS(Verificări_INCHIDERE_LUNARA!E10)&lt;0.01,"NU","DA")</f>
        <v>NU</v>
      </c>
      <c r="B9" s="81" t="inlineStr">
        <is>
          <t>C-28</t>
        </is>
      </c>
      <c r="C9" s="81" t="inlineStr">
        <is>
          <t>427 Rețineri din salarii datorate terților</t>
        </is>
      </c>
      <c r="D9" s="81">
        <f>Verificări_INCHIDERE_LUNARA!E10</f>
        <v>0</v>
      </c>
      <c r="E9" s="81" t="inlineStr">
        <is>
          <t>Se virează imediat. Banii sunt ai salariatului, opriți pentru altcineva.</t>
        </is>
      </c>
    </row>
    <row r="10">
      <c r="A10" s="81" t="str">
        <f>IF(ABS(Verificări_INCHIDERE_LUNARA!E14)&lt;0.01,"NU","DA")</f>
        <v>NU</v>
      </c>
      <c r="B10" s="81" t="inlineStr">
        <is>
          <t>C-24</t>
        </is>
      </c>
      <c r="C10" s="81" t="inlineStr">
        <is>
          <t>421 + 423 vs. stat</t>
        </is>
      </c>
      <c r="D10" s="81">
        <f>Verificări_INCHIDERE_LUNARA!E14</f>
        <v>0</v>
      </c>
      <c r="E10" s="81" t="inlineStr">
        <is>
          <t>Se scot statele lună de lună și se caută luna în care s-a rupt. Cauza tipică: plată pe alt cont decât 421.</t>
        </is>
      </c>
    </row>
    <row r="11">
      <c r="A11" s="81" t="str">
        <f>IF(ABS(Verificări_INCHIDERE_LUNARA!E18)&lt;0.01,"NU","DA")</f>
        <v>NU</v>
      </c>
      <c r="B11" s="81" t="inlineStr">
        <is>
          <t>—</t>
        </is>
      </c>
      <c r="C11" s="81" t="inlineStr">
        <is>
          <t>473 sold zero</t>
        </is>
      </c>
      <c r="D11" s="81">
        <f>Verificări_INCHIDERE_LUNARA!E18</f>
        <v>0</v>
      </c>
      <c r="E11" s="81" t="inlineStr">
        <is>
          <t>Se identifică operațiunea neterminată și se închide. Un sold reportat pe un cont de tranzit ascunde ceva.</t>
        </is>
      </c>
    </row>
    <row r="12">
      <c r="A12" s="81" t="str">
        <f>IF(ABS(Verificări_INCHIDERE_LUNARA!E19)&lt;0.01,"NU","DA")</f>
        <v>NU</v>
      </c>
      <c r="B12" s="81" t="inlineStr">
        <is>
          <t>—</t>
        </is>
      </c>
      <c r="C12" s="81" t="inlineStr">
        <is>
          <t>581 sold zero</t>
        </is>
      </c>
      <c r="D12" s="81">
        <f>Verificări_INCHIDERE_LUNARA!E19</f>
        <v>0</v>
      </c>
      <c r="E12" s="81" t="inlineStr">
        <is>
          <t>Se identifică operațiunea neterminată și se închide. Un sold reportat pe un cont de tranzit ascunde ceva.</t>
        </is>
      </c>
    </row>
    <row r="13">
      <c r="A13" s="81" t="str">
        <f>IF(ABS(Verificări_INCHIDERE_LUNARA!E20)&lt;0.01,"NU","DA")</f>
        <v>NU</v>
      </c>
      <c r="B13" s="81" t="inlineStr">
        <is>
          <t>—</t>
        </is>
      </c>
      <c r="C13" s="81" t="inlineStr">
        <is>
          <t>542 sold zero</t>
        </is>
      </c>
      <c r="D13" s="81">
        <f>Verificări_INCHIDERE_LUNARA!E20</f>
        <v>0</v>
      </c>
      <c r="E13" s="81" t="inlineStr">
        <is>
          <t>Se identifică operațiunea neterminată și se închide. Un sold reportat pe un cont de tranzit ascunde ceva.</t>
        </is>
      </c>
    </row>
    <row r="14">
      <c r="A14" s="81" t="str">
        <f>IF(ABS(Verificări_INCHIDERE_LUNARA!E21)&lt;0.01,"NU","DA")</f>
        <v>NU</v>
      </c>
      <c r="B14" s="81" t="inlineStr">
        <is>
          <t>—</t>
        </is>
      </c>
      <c r="C14" s="81" t="inlineStr">
        <is>
          <t>4382 sold zero</t>
        </is>
      </c>
      <c r="D14" s="81">
        <f>Verificări_INCHIDERE_LUNARA!E21</f>
        <v>0</v>
      </c>
      <c r="E14" s="81" t="inlineStr">
        <is>
          <t>Se identifică operațiunea neterminată și se închide. Un sold reportat pe un cont de tranzit ascunde ceva.</t>
        </is>
      </c>
    </row>
    <row r="15">
      <c r="A15" s="81" t="str">
        <f>IF(ABS(Verificări_INCHIDERE_LUNARA!E25)&lt;0.01,"NU","DA")</f>
        <v>NU</v>
      </c>
      <c r="B15" s="81" t="inlineStr">
        <is>
          <t>C-27</t>
        </is>
      </c>
      <c r="C15" s="81" t="inlineStr">
        <is>
          <t>CAM pe cifre</t>
        </is>
      </c>
      <c r="D15" s="81">
        <f>Verificări_INCHIDERE_LUNARA!E25</f>
        <v>0</v>
      </c>
      <c r="E15" s="81" t="inlineStr">
        <is>
          <t>Se verifică dacă luna are concedii medicale — CAM nu se datorează pe partea din FNUASS. Altfel, bază de calcul incompletă.</t>
        </is>
      </c>
    </row>
    <row r="16">
      <c r="A16" s="81" t="str">
        <f>IF(ABS(Verificări_INCHIDERE_LUNARA!E26)&lt;0.01,"NU","DA")</f>
        <v>NU</v>
      </c>
      <c r="B16" s="81" t="inlineStr">
        <is>
          <t>C-29</t>
        </is>
      </c>
      <c r="C16" s="81" t="inlineStr">
        <is>
          <t>4423 vs. decont</t>
        </is>
      </c>
      <c r="D16" s="81">
        <f>Verificări_INCHIDERE_LUNARA!E26</f>
        <v>0</v>
      </c>
      <c r="E16" s="81" t="inlineStr">
        <is>
          <t>Se verifică dacă e sumă din decizie de impunere (analitic distinct) sau TVA neachitat din perioade precedente, omis din decont.</t>
        </is>
      </c>
    </row>
    <row r="18">
      <c r="A18" s="81" t="inlineStr">
        <is>
          <t>Check — număr de abateri</t>
        </is>
      </c>
      <c r="B18" s="81">
        <f>COUNTIF(A5:A16,"DA")</f>
        <v>0</v>
      </c>
      <c r="C18" s="81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2026-08-21T13:28:00Z</dcterms:modified>
  <cp:revision>0</cp:revision>
</cp:coreProperties>
</file>