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DIVIDENDE" sheetId="24" state="visible" r:id="rId24"/>
    <sheet xmlns:r="http://schemas.openxmlformats.org/officeDocument/2006/relationships" name="Reguli_DIVIDENDE" sheetId="25" state="visible" r:id="rId25"/>
    <sheet xmlns:r="http://schemas.openxmlformats.org/officeDocument/2006/relationships" name="Jurnale_DIVIDENDE" sheetId="26" state="visible" r:id="rId26"/>
    <sheet xmlns:r="http://schemas.openxmlformats.org/officeDocument/2006/relationships" name="NotaExport_DIVIDENDE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NEUTRALIZARE" sheetId="32" state="visible" r:id="rId32"/>
    <sheet xmlns:r="http://schemas.openxmlformats.org/officeDocument/2006/relationships" name="Reguli_NEUTRALIZARE" sheetId="33" state="visible" r:id="rId33"/>
    <sheet xmlns:r="http://schemas.openxmlformats.org/officeDocument/2006/relationships" name="Jurnale_NEUTRALIZARE" sheetId="34" state="visible" r:id="rId34"/>
    <sheet xmlns:r="http://schemas.openxmlformats.org/officeDocument/2006/relationships" name="NotaExport_NEUTRALIZARE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APROV_TRANZIT" sheetId="44" state="visible" r:id="rId44"/>
    <sheet xmlns:r="http://schemas.openxmlformats.org/officeDocument/2006/relationships" name="Reguli_APROV_TRANZIT" sheetId="45" state="visible" r:id="rId45"/>
    <sheet xmlns:r="http://schemas.openxmlformats.org/officeDocument/2006/relationships" name="Jurnale_APROV_TRANZIT" sheetId="46" state="visible" r:id="rId46"/>
    <sheet xmlns:r="http://schemas.openxmlformats.org/officeDocument/2006/relationships" name="NotaExport_APROV_TRANZIT" sheetId="47" state="visible" r:id="rId47"/>
    <sheet xmlns:r="http://schemas.openxmlformats.org/officeDocument/2006/relationships" name="Declarații_TAXARE_INVERSA" sheetId="48" state="visible" r:id="rId48"/>
    <sheet xmlns:r="http://schemas.openxmlformats.org/officeDocument/2006/relationships" name="Reguli_TAXARE_INVERSA" sheetId="49" state="visible" r:id="rId49"/>
    <sheet xmlns:r="http://schemas.openxmlformats.org/officeDocument/2006/relationships" name="Jurnale_TAXARE_INVERSA" sheetId="50" state="visible" r:id="rId50"/>
    <sheet xmlns:r="http://schemas.openxmlformats.org/officeDocument/2006/relationships" name="NotaExport_TAXARE_INVERSA" sheetId="51" state="visible" r:id="rId51"/>
    <sheet xmlns:r="http://schemas.openxmlformats.org/officeDocument/2006/relationships" name="Declarații_AMANUNT" sheetId="52" state="visible" r:id="rId52"/>
    <sheet xmlns:r="http://schemas.openxmlformats.org/officeDocument/2006/relationships" name="Reguli_AMANUNT" sheetId="53" state="visible" r:id="rId53"/>
    <sheet xmlns:r="http://schemas.openxmlformats.org/officeDocument/2006/relationships" name="Jurnale_AMANUNT" sheetId="54" state="visible" r:id="rId54"/>
    <sheet xmlns:r="http://schemas.openxmlformats.org/officeDocument/2006/relationships" name="NotaExport_AMANUNT" sheetId="55" state="visible" r:id="rId55"/>
    <sheet xmlns:r="http://schemas.openxmlformats.org/officeDocument/2006/relationships" name="Declarații_IMPORT" sheetId="56" state="visible" r:id="rId56"/>
    <sheet xmlns:r="http://schemas.openxmlformats.org/officeDocument/2006/relationships" name="Reguli_IMPORT" sheetId="57" state="visible" r:id="rId57"/>
    <sheet xmlns:r="http://schemas.openxmlformats.org/officeDocument/2006/relationships" name="Jurnale_IMPORT" sheetId="58" state="visible" r:id="rId58"/>
    <sheet xmlns:r="http://schemas.openxmlformats.org/officeDocument/2006/relationships" name="NotaExport_IMPORT" sheetId="59" state="visible" r:id="rId59"/>
    <sheet xmlns:r="http://schemas.openxmlformats.org/officeDocument/2006/relationships" name="Declarații_TVA_INC" sheetId="60" state="visible" r:id="rId60"/>
    <sheet xmlns:r="http://schemas.openxmlformats.org/officeDocument/2006/relationships" name="Reguli_TVA_INC" sheetId="61" state="visible" r:id="rId61"/>
    <sheet xmlns:r="http://schemas.openxmlformats.org/officeDocument/2006/relationships" name="Jurnale_TVA_INC" sheetId="62" state="visible" r:id="rId62"/>
    <sheet xmlns:r="http://schemas.openxmlformats.org/officeDocument/2006/relationships" name="NotaExport_TVA_INC" sheetId="63" state="visible" r:id="rId63"/>
    <sheet xmlns:r="http://schemas.openxmlformats.org/officeDocument/2006/relationships" name="Declarații_INCHIDERE_TVA" sheetId="64" state="visible" r:id="rId64"/>
    <sheet xmlns:r="http://schemas.openxmlformats.org/officeDocument/2006/relationships" name="Reguli_INCHIDERE_TVA" sheetId="65" state="visible" r:id="rId65"/>
    <sheet xmlns:r="http://schemas.openxmlformats.org/officeDocument/2006/relationships" name="Jurnale_INCHIDERE_TVA" sheetId="66" state="visible" r:id="rId66"/>
    <sheet xmlns:r="http://schemas.openxmlformats.org/officeDocument/2006/relationships" name="NotaExport_INCHIDERE_TVA" sheetId="67" state="visible" r:id="rId67"/>
    <sheet xmlns:r="http://schemas.openxmlformats.org/officeDocument/2006/relationships" name="Declarații_FARA_DOCUMENT" sheetId="68" state="visible" r:id="rId68"/>
    <sheet xmlns:r="http://schemas.openxmlformats.org/officeDocument/2006/relationships" name="Reguli_FARA_DOCUMENT" sheetId="69" state="visible" r:id="rId69"/>
    <sheet xmlns:r="http://schemas.openxmlformats.org/officeDocument/2006/relationships" name="Jurnale_FARA_DOCUMENT" sheetId="70" state="visible" r:id="rId70"/>
    <sheet xmlns:r="http://schemas.openxmlformats.org/officeDocument/2006/relationships" name="NotaExport_FARA_DOCUMENT" sheetId="71" state="visible" r:id="rId71"/>
    <sheet xmlns:r="http://schemas.openxmlformats.org/officeDocument/2006/relationships" name="Declarații_INTERMEDIAR" sheetId="72" state="visible" r:id="rId72"/>
    <sheet xmlns:r="http://schemas.openxmlformats.org/officeDocument/2006/relationships" name="Reguli_INTERMEDIAR" sheetId="73" state="visible" r:id="rId73"/>
    <sheet xmlns:r="http://schemas.openxmlformats.org/officeDocument/2006/relationships" name="Jurnale_INTERMEDIAR" sheetId="74" state="visible" r:id="rId74"/>
    <sheet xmlns:r="http://schemas.openxmlformats.org/officeDocument/2006/relationships" name="NotaExport_INTERMEDIAR" sheetId="75" state="visible" r:id="rId75"/>
    <sheet xmlns:r="http://schemas.openxmlformats.org/officeDocument/2006/relationships" name="Declarații_AVANSURI" sheetId="76" state="visible" r:id="rId76"/>
    <sheet xmlns:r="http://schemas.openxmlformats.org/officeDocument/2006/relationships" name="Reguli_AVANSURI" sheetId="77" state="visible" r:id="rId77"/>
    <sheet xmlns:r="http://schemas.openxmlformats.org/officeDocument/2006/relationships" name="Jurnale_AVANSURI" sheetId="78" state="visible" r:id="rId78"/>
    <sheet xmlns:r="http://schemas.openxmlformats.org/officeDocument/2006/relationships" name="NotaExport_AVANSURI" sheetId="79" state="visible" r:id="rId79"/>
    <sheet xmlns:r="http://schemas.openxmlformats.org/officeDocument/2006/relationships" name="Declarații_SALARII" sheetId="80" state="visible" r:id="rId80"/>
    <sheet xmlns:r="http://schemas.openxmlformats.org/officeDocument/2006/relationships" name="Reguli_SALARII" sheetId="81" state="visible" r:id="rId81"/>
    <sheet xmlns:r="http://schemas.openxmlformats.org/officeDocument/2006/relationships" name="Jurnale_SALARII" sheetId="82" state="visible" r:id="rId82"/>
    <sheet xmlns:r="http://schemas.openxmlformats.org/officeDocument/2006/relationships" name="NotaExport_SALARII" sheetId="83" state="visible" r:id="rId83"/>
    <sheet xmlns:r="http://schemas.openxmlformats.org/officeDocument/2006/relationships" name="Declarații_SALARII_EVENIMENTE" sheetId="84" state="visible" r:id="rId84"/>
    <sheet xmlns:r="http://schemas.openxmlformats.org/officeDocument/2006/relationships" name="Reguli_SALARII_EVENIMENTE" sheetId="85" state="visible" r:id="rId85"/>
    <sheet xmlns:r="http://schemas.openxmlformats.org/officeDocument/2006/relationships" name="Jurnale_SALARII_EVENIMENTE" sheetId="86" state="visible" r:id="rId86"/>
    <sheet xmlns:r="http://schemas.openxmlformats.org/officeDocument/2006/relationships" name="NotaExport_SALARII_EVENIMENTE" sheetId="87" state="visible" r:id="rId87"/>
    <sheet xmlns:r="http://schemas.openxmlformats.org/officeDocument/2006/relationships" name="Declarații_DECONT" sheetId="88" state="visible" r:id="rId88"/>
    <sheet xmlns:r="http://schemas.openxmlformats.org/officeDocument/2006/relationships" name="Reguli_DECONT" sheetId="89" state="visible" r:id="rId89"/>
    <sheet xmlns:r="http://schemas.openxmlformats.org/officeDocument/2006/relationships" name="Registru_DECONT" sheetId="90" state="visible" r:id="rId90"/>
    <sheet xmlns:r="http://schemas.openxmlformats.org/officeDocument/2006/relationships" name="Jurnale_DECONT" sheetId="91" state="visible" r:id="rId91"/>
    <sheet xmlns:r="http://schemas.openxmlformats.org/officeDocument/2006/relationships" name="NotaExport_DECONT" sheetId="92" state="visible" r:id="rId92"/>
    <sheet xmlns:r="http://schemas.openxmlformats.org/officeDocument/2006/relationships" name="Declarații_CONTROL_BALANTA" sheetId="93" state="visible" r:id="rId93"/>
    <sheet xmlns:r="http://schemas.openxmlformats.org/officeDocument/2006/relationships" name="Reguli_CONTROL_BALANTA" sheetId="94" state="visible" r:id="rId94"/>
    <sheet xmlns:r="http://schemas.openxmlformats.org/officeDocument/2006/relationships" name="Verificări_CONTROL_BALANTA" sheetId="95" state="visible" r:id="rId95"/>
    <sheet xmlns:r="http://schemas.openxmlformats.org/officeDocument/2006/relationships" name="Abateri_CONTROL_BALANTA" sheetId="96" state="visible" r:id="rId96"/>
    <sheet xmlns:r="http://schemas.openxmlformats.org/officeDocument/2006/relationships" name="Declarații_INCHIDERE_LUNARA" sheetId="97" state="visible" r:id="rId97"/>
    <sheet xmlns:r="http://schemas.openxmlformats.org/officeDocument/2006/relationships" name="Reguli_INCHIDERE_LUNARA" sheetId="98" state="visible" r:id="rId98"/>
    <sheet xmlns:r="http://schemas.openxmlformats.org/officeDocument/2006/relationships" name="Verificări_INCHIDERE_LUNARA" sheetId="99" state="visible" r:id="rId99"/>
    <sheet xmlns:r="http://schemas.openxmlformats.org/officeDocument/2006/relationships" name="Abateri_INCHIDERE_LUNARA" sheetId="100" state="visible" r:id="rId100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  <definedName name="param_cota_impozit_dividend">Parametri!$B$28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styles" Target="styles.xml" Id="rId101"/><Relationship Type="http://schemas.openxmlformats.org/officeDocument/2006/relationships/theme" Target="theme/theme1.xml" Id="rId10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24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MOD_CONTROL_BALANTA,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  <row r="28">
      <c r="A28" s="53" t="inlineStr">
        <is>
          <t>Impozit pe dividende</t>
        </is>
      </c>
      <c r="B28" s="54" t="n">
        <v>0.16</v>
      </c>
      <c r="C28" s="51" t="inlineStr">
        <is>
          <t>param_cota_impozit_dividend — art. 43 CF, modificat prin L. 141/2025 — cota urmează data DISTRIBUIRII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MOD_DIVIDENDE</t>
        </is>
      </c>
      <c r="C20" s="61" t="inlineStr">
        <is>
          <t>F-109, F-110</t>
        </is>
      </c>
      <c r="D20" s="61" t="inlineStr">
        <is>
          <t>La fiecare hotărâre AGA de repartizare</t>
        </is>
      </c>
      <c r="E20" s="61" t="inlineStr">
        <is>
          <t>Total repartizat, cotele din 1012, sold 121, profit final la 31.12</t>
        </is>
      </c>
      <c r="F20" s="61" t="inlineStr">
        <is>
          <t>Σ cote = 100%; sume = cotă × total; interimare ≤ sold 121; impozit pe două căi</t>
        </is>
      </c>
      <c r="G20" s="61" t="inlineStr">
        <is>
          <t>A Repartizare pe asociați; B Impozitul de 16%; C Interimare cu plafon; D Storno la 31.12 + D710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MOD_IMOBILIZARI</t>
        </is>
      </c>
      <c r="C21" s="61" t="inlineStr">
        <is>
          <t>F-203, F-205, F-207, F-214</t>
        </is>
      </c>
      <c r="D21" s="61" t="inlineStr">
        <is>
          <t>Pe mijloc fix + lunar</t>
        </is>
      </c>
      <c r="E21" s="61" t="inlineStr">
        <is>
          <t>Valoare, regim TVA, cod clasificare, durată, dată PIF, taxe vamale, transport</t>
        </is>
      </c>
      <c r="F21" s="61" t="inlineStr">
        <is>
          <t>Prag 5.000 lei (MF vs. obiect de inventar); tranzit 223/224 dacă nu e recepționat</t>
        </is>
      </c>
      <c r="G21" s="61" t="inlineStr">
        <is>
          <t>B1 Intrare; B2 TVA pe regim; B3 Costuri capitalizate; B4 Amortizare lunară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MOD_SUBVENTIE</t>
        </is>
      </c>
      <c r="C22" s="61" t="inlineStr">
        <is>
          <t>F-210</t>
        </is>
      </c>
      <c r="D22" s="61" t="inlineStr">
        <is>
          <t>Lunar, pe activ subvenționat</t>
        </is>
      </c>
      <c r="E22" s="61" t="inlineStr">
        <is>
          <t>Valoare subvenție, valoare activ, durata de amortizare, luna curentă</t>
        </is>
      </c>
      <c r="F22" s="61" t="inlineStr">
        <is>
          <t>Cota de finanțare — eliberarea e proporțională dacă subvenția acoperă parțial</t>
        </is>
      </c>
      <c r="G22" s="61" t="inlineStr">
        <is>
          <t>B1 Încasarea subvenției; B2 Achiziția activului; B3 Amortizare + eliberare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MOD_IESIRE_MF</t>
        </is>
      </c>
      <c r="C23" s="61" t="inlineStr">
        <is>
          <t>F-211, F-212</t>
        </is>
      </c>
      <c r="D23" s="61" t="inlineStr">
        <is>
          <t>Pe eveniment de ieșire</t>
        </is>
      </c>
      <c r="E23" s="61" t="inlineStr">
        <is>
          <t>Valoare de intrare, amortizare cumulată, preț de vânzare, tip ieșire, documente</t>
        </is>
      </c>
      <c r="F23" s="61" t="inlineStr">
        <is>
          <t>Test deductibilitate (valoare rămasă vs. venit); documentarea prețului</t>
        </is>
      </c>
      <c r="G23" s="61" t="inlineStr">
        <is>
          <t>B1 Descărcare amortizare; B2 Valoare rămasă; B3 Vânzare; B4 Piese recuperate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MOD_IMPORT</t>
        </is>
      </c>
      <c r="C25" s="61" t="inlineStr">
        <is>
          <t>F-319, F-320</t>
        </is>
      </c>
      <c r="D25" s="61" t="inlineStr">
        <is>
          <t>Pe declarație vamală</t>
        </is>
      </c>
      <c r="E25" s="61" t="inlineStr">
        <is>
          <t>Valoarea mărfii, taxele vamale, transportul intern, cota TVA, calea (comisionar sau plată directă)</t>
        </is>
      </c>
      <c r="F25" s="61" t="inlineStr">
        <is>
          <t>Baza TVA = marfă + taxe vamale, fără transportul intern; 446.VAMA sold 0</t>
        </is>
      </c>
      <c r="G25" s="61" t="inlineStr">
        <is>
          <t>A Import prin comisionar (446.VAMA); B Import cu plată directă în vamă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0" t="inlineStr">
        <is>
          <t>NU</t>
        </is>
      </c>
      <c r="B28" s="61" t="inlineStr">
        <is>
          <t>MOD_SALARII_EVENIMENTE</t>
        </is>
      </c>
      <c r="C28" s="61" t="inlineStr">
        <is>
          <t>F-416, F-417, F-418, F-419</t>
        </is>
      </c>
      <c r="D28" s="61" t="inlineStr">
        <is>
          <t>Pe eveniment, pe angajat</t>
        </is>
      </c>
      <c r="E28" s="61" t="inlineStr">
        <is>
          <t>Indemnizație brută și partea angajatorului; net de plată și tipul creanței poprite; sume neridicate; creanță față de fost salariat</t>
        </is>
      </c>
      <c r="F28" s="61" t="inlineStr">
        <is>
          <t>Patru comutatoare independente — evenimentele pot coexista în aceeași lună</t>
        </is>
      </c>
      <c r="G28" s="61" t="inlineStr">
        <is>
          <t>A Concediu medical; B Poprire; C Drepturi neridicate; D Creanță fost salariat</t>
        </is>
      </c>
      <c r="H28" s="61" t="inlineStr">
        <is>
          <t>IMPLEMENTAT</t>
        </is>
      </c>
    </row>
    <row r="29">
      <c r="A29" s="62" t="inlineStr">
        <is>
          <t>DA</t>
        </is>
      </c>
      <c r="B29" s="61" t="inlineStr">
        <is>
          <t>MOD_CONTROL_BALANTA</t>
        </is>
      </c>
      <c r="C29" s="61" t="inlineStr">
        <is>
          <t>F-214, F-104</t>
        </is>
      </c>
      <c r="D29" s="61" t="inlineStr">
        <is>
          <t>Lunar, pe balanța de verificare; obligatoriu la preluarea unei societăți</t>
        </is>
      </c>
      <c r="E29" s="61" t="inlineStr">
        <is>
          <t>Σ analitice și sold sintetic pe fiecare cont urmărit; rulajele claselor 6 și 7; soldul lui 121; total sume debitoare și creditoare</t>
        </is>
      </c>
      <c r="F29" s="61" t="inlineStr">
        <is>
          <t>Fiecare comparație are două intrări din surse diferite — vezi Reguli, tabelul C</t>
        </is>
      </c>
      <c r="G29" s="61" t="inlineStr">
        <is>
          <t>V1 Analitic ↔ sintetic; V2 121 cu clasele 6 și 7; V3 Solduri cu semn contrar naturii; V4 Continuitatea total-sumelor</t>
        </is>
      </c>
      <c r="H29" s="61" t="inlineStr">
        <is>
          <t>IMPLEMENTAT</t>
        </is>
      </c>
    </row>
    <row r="30">
      <c r="A30" s="62" t="inlineStr">
        <is>
          <t>DA</t>
        </is>
      </c>
      <c r="B30" s="61" t="inlineStr">
        <is>
          <t>MOD_INCHIDERE_LUNARA</t>
        </is>
      </c>
      <c r="C30" s="61" t="inlineStr">
        <is>
          <t>F-422, F-413</t>
        </is>
      </c>
      <c r="D30" s="61" t="inlineStr">
        <is>
          <t>Lunar, pe balanța de verificare</t>
        </is>
      </c>
      <c r="E30" s="61" t="inlineStr">
        <is>
          <t>Rulaj debitor, rulaj creditor și sold pentru conturile cu cadență; restul de plată de pe stat; soldul din decontul de TVA</t>
        </is>
      </c>
      <c r="F30" s="61" t="inlineStr">
        <is>
          <t>Verifică solduri, nu documente — vezi Reguli, tabelul C</t>
        </is>
      </c>
      <c r="G30" s="61" t="inlineStr">
        <is>
          <t>V1 Obligații lunare (rulaj = sold); V2 Datoria față de salariați; V3 Conturi care trebuie golite; V4 Verificarea CAM pe cifre</t>
        </is>
      </c>
      <c r="H30" s="61" t="inlineStr">
        <is>
          <t>IMPLEMENTAT</t>
        </is>
      </c>
    </row>
    <row r="32">
      <c r="A32" s="63" t="inlineStr">
        <is>
          <t>REGULĂ DE SUMONARE</t>
        </is>
      </c>
    </row>
    <row r="33">
      <c r="A33" s="46" t="inlineStr">
        <is>
          <t>1. În CatalogModule setezi Activ=DA doar pe modulele necesare lunii.</t>
        </is>
      </c>
    </row>
    <row r="34">
      <c r="A34" s="46" t="inlineStr">
        <is>
          <t>2. Completezi variabilele din foaia Declarații_Modul (galben).</t>
        </is>
      </c>
    </row>
    <row r="35">
      <c r="A35" s="46" t="inlineStr">
        <is>
          <t>3. Jurnalele și NotaExport se populează automat doar pentru modulele active.</t>
        </is>
      </c>
    </row>
    <row r="36">
      <c r="A36" s="46" t="inlineStr">
        <is>
          <t>4. Verifici Check=0 pe fiecare bloc; filtrezi NotaExport pe Include=DA și imporți.</t>
        </is>
      </c>
    </row>
    <row r="37">
      <c r="A37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5:H35"/>
    <mergeCell ref="A2:H2"/>
    <mergeCell ref="A36:H36"/>
    <mergeCell ref="A33:H33"/>
    <mergeCell ref="A1:H1"/>
    <mergeCell ref="A37:H37"/>
    <mergeCell ref="A32:H32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MOD_DIVIDENDE — Declarații (input)</t>
        </is>
      </c>
    </row>
    <row r="2">
      <c r="A2" s="44" t="inlineStr">
        <is>
          <t>Valorile implicite reproduc monografiile din F-109 (30.000 lei, trei asociați în cote egale) și F-110 (interimare de 80.000 pe un 121 de 80.000, regularizate la un profit final de 70.000).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Exercițiul repartizat (AAAA)</t>
        </is>
      </c>
      <c r="B7" s="64" t="inlineStr">
        <is>
          <t>2025</t>
        </is>
      </c>
    </row>
    <row r="8">
      <c r="A8" s="43" t="inlineStr">
        <is>
          <t>Hotărârea AGA (număr și dată)</t>
        </is>
      </c>
      <c r="B8" s="64" t="inlineStr">
        <is>
          <t>12 / 2026-04-20</t>
        </is>
      </c>
    </row>
    <row r="9">
      <c r="A9" s="43" t="inlineStr">
        <is>
          <t>Data notei contabile</t>
        </is>
      </c>
      <c r="B9" s="64" t="inlineStr">
        <is>
          <t>2026-04-30</t>
        </is>
      </c>
    </row>
    <row r="11">
      <c r="A11" s="42" t="inlineStr">
        <is>
          <t>2. Blocul A — Repartizarea dividendelor certe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Sold 1171 pe exercițiul repartizat (creditor)</t>
        </is>
      </c>
      <c r="B13" s="64" t="n">
        <v>30000</v>
      </c>
      <c r="C13" s="44" t="inlineStr">
        <is>
          <t>Sold DEBITOR = pierdere neacoperită: nu se distribuie nimic</t>
        </is>
      </c>
    </row>
    <row r="14">
      <c r="A14" s="43" t="inlineStr">
        <is>
          <t>Total repartizat prin hotărârea AGA</t>
        </is>
      </c>
      <c r="B14" s="64" t="n">
        <v>30000</v>
      </c>
    </row>
    <row r="16">
      <c r="A16" s="44" t="inlineStr">
        <is>
          <t>Cotele se citesc din DENUMIRILE analiticelor lui 1012, nu din hotărâre. Sumele se introduc așa cum apar în hotărâre; modulul le recalculează alături și compară — de-aia sunt intrare, nu formulă.</t>
        </is>
      </c>
    </row>
    <row r="17">
      <c r="A17" s="42" t="inlineStr">
        <is>
          <t>2.1 Asociatul 1</t>
        </is>
      </c>
    </row>
    <row r="18">
      <c r="A18" s="43" t="inlineStr">
        <is>
          <t>Nume (din 1012)</t>
        </is>
      </c>
      <c r="B18" s="64" t="inlineStr">
        <is>
          <t>Ionescu</t>
        </is>
      </c>
    </row>
    <row r="19">
      <c r="A19" s="43" t="inlineStr">
        <is>
          <t>Cota de participare (din denumirea analiticului)</t>
        </is>
      </c>
      <c r="B19" s="64" t="n">
        <v>0.3333</v>
      </c>
    </row>
    <row r="20">
      <c r="A20" s="43" t="inlineStr">
        <is>
          <t>Sumă din hotărârea AGA</t>
        </is>
      </c>
      <c r="B20" s="64" t="n">
        <v>10000</v>
      </c>
    </row>
    <row r="21">
      <c r="A21" s="43" t="inlineStr">
        <is>
          <t>Recalculat: cotă × total</t>
        </is>
      </c>
      <c r="B21" s="43">
        <f>ROUND(B19*B14,2)</f>
        <v>9999</v>
      </c>
    </row>
    <row r="22">
      <c r="A22" s="42" t="inlineStr">
        <is>
          <t>2.2 Asociatul 2</t>
        </is>
      </c>
    </row>
    <row r="23">
      <c r="A23" s="43" t="inlineStr">
        <is>
          <t>Nume (din 1012)</t>
        </is>
      </c>
      <c r="B23" s="64" t="inlineStr">
        <is>
          <t>Popescu</t>
        </is>
      </c>
    </row>
    <row r="24">
      <c r="A24" s="43" t="inlineStr">
        <is>
          <t>Cota de participare</t>
        </is>
      </c>
      <c r="B24" s="64" t="n">
        <v>0.3333</v>
      </c>
    </row>
    <row r="25">
      <c r="A25" s="43" t="inlineStr">
        <is>
          <t>Sumă din hotărârea AGA</t>
        </is>
      </c>
      <c r="B25" s="64" t="n">
        <v>10000</v>
      </c>
    </row>
    <row r="26">
      <c r="A26" s="43" t="inlineStr">
        <is>
          <t>Recalculat: cotă × total</t>
        </is>
      </c>
      <c r="B26" s="43">
        <f>ROUND(B24*B14,2)</f>
        <v>9999</v>
      </c>
    </row>
    <row r="27">
      <c r="A27" s="42" t="inlineStr">
        <is>
          <t>2.3 Asociatul 3</t>
        </is>
      </c>
    </row>
    <row r="28">
      <c r="A28" s="43" t="inlineStr">
        <is>
          <t>Nume (din 1012)</t>
        </is>
      </c>
      <c r="B28" s="64" t="inlineStr">
        <is>
          <t>Xulescu</t>
        </is>
      </c>
    </row>
    <row r="29">
      <c r="A29" s="43" t="inlineStr">
        <is>
          <t>Cota de participare</t>
        </is>
      </c>
      <c r="B29" s="64" t="n">
        <v>0.3334</v>
      </c>
    </row>
    <row r="30">
      <c r="A30" s="43" t="inlineStr">
        <is>
          <t>Sumă din hotărârea AGA</t>
        </is>
      </c>
      <c r="B30" s="64" t="n">
        <v>10000</v>
      </c>
    </row>
    <row r="31">
      <c r="A31" s="43" t="inlineStr">
        <is>
          <t>Recalculat: cotă × total</t>
        </is>
      </c>
      <c r="B31" s="43">
        <f>ROUND(B29*B14,2)</f>
        <v>10002</v>
      </c>
    </row>
    <row r="32">
      <c r="A32" s="43" t="inlineStr">
        <is>
          <t>Toleranța de rotunjire a cotelor (auto)</t>
        </is>
      </c>
      <c r="B32" s="43">
        <f>ROUND(B14*0.0001,2)</f>
        <v>3</v>
      </c>
      <c r="C32" s="44" t="inlineStr">
        <is>
          <t>O sutime de procent din total — precizia cu care se scrie cota în denumirea analiticului</t>
        </is>
      </c>
    </row>
    <row r="34">
      <c r="A34" s="42" t="inlineStr">
        <is>
          <t>3. Blocul B — Impozitul pe dividende</t>
        </is>
      </c>
    </row>
    <row r="35">
      <c r="A35" s="43" t="inlineStr">
        <is>
          <t>Cota de impozit</t>
        </is>
      </c>
      <c r="B35" s="43">
        <f>param_cota_impozit_dividend</f>
        <v>0.16</v>
      </c>
    </row>
    <row r="36">
      <c r="A36" s="43" t="inlineStr">
        <is>
          <t>Impozit reținut, din nota contabilă</t>
        </is>
      </c>
      <c r="B36" s="64" t="n">
        <v>4800</v>
      </c>
    </row>
    <row r="37">
      <c r="A37" s="43" t="inlineStr">
        <is>
          <t>Recalculat, calea 1: Σ (16% × brutul fiecărui asociat)</t>
        </is>
      </c>
      <c r="B37" s="43">
        <f>ROUND(B20*B35,2)+ROUND(B25*B35,2)+ROUND(B30*B35,2)</f>
        <v>4800</v>
      </c>
    </row>
    <row r="38">
      <c r="A38" s="43" t="inlineStr">
        <is>
          <t>Recalculat, calea 2: 16% × totalul din hotărâre</t>
        </is>
      </c>
      <c r="B38" s="43">
        <f>ROUND(B14*B35,2)</f>
        <v>4800</v>
      </c>
    </row>
    <row r="39">
      <c r="A39" s="43" t="inlineStr">
        <is>
          <t>S-au ridicat dividendele? (DA/NU)</t>
        </is>
      </c>
      <c r="B39" s="64" t="inlineStr">
        <is>
          <t>DA</t>
        </is>
      </c>
      <c r="C39" s="44" t="inlineStr">
        <is>
          <t>NU → 457 rămâne cu sold, dar impozitul se plătește oricum</t>
        </is>
      </c>
    </row>
    <row r="41">
      <c r="A41" s="42" t="inlineStr">
        <is>
          <t>4. Blocul C — Dividende interimare</t>
        </is>
      </c>
    </row>
    <row r="42">
      <c r="A42" s="43" t="inlineStr">
        <is>
          <t>Se aplică? (DA/NU)</t>
        </is>
      </c>
      <c r="B42" s="64" t="inlineStr">
        <is>
          <t>DA</t>
        </is>
      </c>
    </row>
    <row r="43">
      <c r="A43" s="43" t="inlineStr">
        <is>
          <t>S-a făcut inventarierea? (DA/NU)</t>
        </is>
      </c>
      <c r="B43" s="64" t="inlineStr">
        <is>
          <t>DA</t>
        </is>
      </c>
    </row>
    <row r="44">
      <c r="A44" s="43" t="inlineStr">
        <is>
          <t>S-a întocmit bilanțul interimar? (DA/NU)</t>
        </is>
      </c>
      <c r="B44" s="64" t="inlineStr">
        <is>
          <t>DA</t>
        </is>
      </c>
    </row>
    <row r="45">
      <c r="A45" s="43" t="inlineStr">
        <is>
          <t>Sold creditor 121 la data bilanțului interimar</t>
        </is>
      </c>
      <c r="B45" s="64" t="n">
        <v>80000</v>
      </c>
      <c r="C45" s="44" t="inlineStr">
        <is>
          <t>Din BALANȚĂ, după înregistrarea impozitului — nu din extras</t>
        </is>
      </c>
    </row>
    <row r="46">
      <c r="A46" s="43" t="inlineStr">
        <is>
          <t>Suma cerută de administrator</t>
        </is>
      </c>
      <c r="B46" s="64" t="n">
        <v>100000</v>
      </c>
    </row>
    <row r="47">
      <c r="A47" s="43" t="inlineStr">
        <is>
          <t>Suma efectiv repartizată</t>
        </is>
      </c>
      <c r="B47" s="64" t="n">
        <v>80000</v>
      </c>
    </row>
    <row r="48">
      <c r="A48" s="43" t="inlineStr">
        <is>
          <t>Impozit pe interimare, din nota contabilă</t>
        </is>
      </c>
      <c r="B48" s="64" t="n">
        <v>12800</v>
      </c>
    </row>
    <row r="49">
      <c r="A49" s="43" t="inlineStr">
        <is>
          <t>Recalculat: 16% × repartizat</t>
        </is>
      </c>
      <c r="B49" s="43">
        <f>ROUND(B47*B35,2)</f>
        <v>12800</v>
      </c>
    </row>
    <row r="51">
      <c r="A51" s="42" t="inlineStr">
        <is>
          <t>5. Blocul D — Regularizarea la 31.12</t>
        </is>
      </c>
    </row>
    <row r="52">
      <c r="A52" s="43" t="inlineStr">
        <is>
          <t>Se aplică? (DA/NU)</t>
        </is>
      </c>
      <c r="B52" s="64" t="inlineStr">
        <is>
          <t>DA</t>
        </is>
      </c>
    </row>
    <row r="53">
      <c r="A53" s="43" t="inlineStr">
        <is>
          <t>Profit realizat la 31.12 (sold 121)</t>
        </is>
      </c>
      <c r="B53" s="64" t="n">
        <v>70000</v>
      </c>
    </row>
    <row r="54">
      <c r="A54" s="43" t="inlineStr">
        <is>
          <t>Diferența de stornat (auto)</t>
        </is>
      </c>
      <c r="B54" s="43">
        <f>MAX(0,B47-B53)</f>
        <v>10000</v>
      </c>
    </row>
    <row r="55">
      <c r="A55" s="43" t="inlineStr">
        <is>
          <t>Storno de impozit (auto)</t>
        </is>
      </c>
      <c r="B55" s="43">
        <f>ROUND(B54*B35,2)</f>
        <v>1600</v>
      </c>
    </row>
    <row r="57">
      <c r="A57" s="42" t="inlineStr">
        <is>
          <t>6. Conturi</t>
        </is>
      </c>
    </row>
    <row r="58">
      <c r="A58" s="43" t="inlineStr">
        <is>
          <t>Cont rezultat reportat</t>
        </is>
      </c>
      <c r="B58" s="64" t="inlineStr">
        <is>
          <t>1171</t>
        </is>
      </c>
    </row>
    <row r="59">
      <c r="A59" s="43" t="inlineStr">
        <is>
          <t>Cont dividende asociat 1</t>
        </is>
      </c>
      <c r="B59" s="64" t="inlineStr">
        <is>
          <t>457.1</t>
        </is>
      </c>
    </row>
    <row r="60">
      <c r="A60" s="43" t="inlineStr">
        <is>
          <t>Cont dividende asociat 2</t>
        </is>
      </c>
      <c r="B60" s="64" t="inlineStr">
        <is>
          <t>457.2</t>
        </is>
      </c>
    </row>
    <row r="61">
      <c r="A61" s="43" t="inlineStr">
        <is>
          <t>Cont dividende asociat 3</t>
        </is>
      </c>
      <c r="B61" s="64" t="inlineStr">
        <is>
          <t>457.3</t>
        </is>
      </c>
    </row>
    <row r="62">
      <c r="A62" s="43" t="inlineStr">
        <is>
          <t>Cont impozit pe dividende</t>
        </is>
      </c>
      <c r="B62" s="64" t="inlineStr">
        <is>
          <t>446.dividende</t>
        </is>
      </c>
    </row>
    <row r="63">
      <c r="A63" s="43" t="inlineStr">
        <is>
          <t>Cont dividende interimare</t>
        </is>
      </c>
      <c r="B63" s="64" t="inlineStr">
        <is>
          <t>463</t>
        </is>
      </c>
    </row>
    <row r="64">
      <c r="A64" s="43" t="inlineStr">
        <is>
          <t>Cont decontări cu asociații</t>
        </is>
      </c>
      <c r="B64" s="64" t="inlineStr">
        <is>
          <t>456</t>
        </is>
      </c>
    </row>
    <row r="65">
      <c r="A65" s="43" t="inlineStr">
        <is>
          <t>Cont trezorerie</t>
        </is>
      </c>
      <c r="B65" s="64" t="inlineStr">
        <is>
          <t>5121</t>
        </is>
      </c>
    </row>
    <row r="67">
      <c r="A67" s="42" t="inlineStr">
        <is>
          <t>7. Sufix</t>
        </is>
      </c>
    </row>
    <row r="68">
      <c r="A68" s="43" t="inlineStr">
        <is>
          <t>Sufix</t>
        </is>
      </c>
      <c r="B68" s="43" t="str">
        <f>"— AGA " &amp; B8 &amp; ", exercițiul " &amp; B7</f>
        <v>— AGA 12 / 2026-04-20, exercițiul 2025</v>
      </c>
    </row>
    <row r="70">
      <c r="A70" s="42" t="inlineStr">
        <is>
          <t>8. Control</t>
        </is>
      </c>
    </row>
    <row r="71">
      <c r="A71" s="43" t="inlineStr">
        <is>
          <t>Modul activ?</t>
        </is>
      </c>
      <c r="B71" s="43" t="str">
        <f>IF(INDEX(CatalogModule!$A$1:$A$200,MATCH("MOD_DIVIDENDE",CatalogModule!$B$1:$B$200,0))="DA","ACTIV","INACTIV")</f>
        <v>INACTIV</v>
      </c>
    </row>
    <row r="72">
      <c r="A72" s="43" t="inlineStr">
        <is>
          <t>Verificare: Σ cotelor de participare = 100%</t>
        </is>
      </c>
      <c r="B72" s="43" t="str">
        <f>IF(OR(B12&lt;&gt;"DA",ABS(B19+B24+B29-1)&lt;0.0001),"OK — cotele acoperă exact capitalul","EROARE — Σ cote = " &amp; TEXT(B19+B24+B29,"0.00%") &amp; "; un asociat lipsește din 1012 sau un procent e greșit")</f>
        <v>OK — cotele acoperă exact capitalul</v>
      </c>
    </row>
    <row r="73">
      <c r="A73" s="43" t="inlineStr">
        <is>
          <t>Verificare: sumele din AGA = cotă × total</t>
        </is>
      </c>
      <c r="B73" s="43" t="str">
        <f>IF(OR(B12&lt;&gt;"DA",AND(ABS(B20-B21)&lt;=B32,ABS(B25-B26)&lt;=B32,ABS(B30-B31)&lt;=B32)),"OK — repartizarea din hotărâre urmează cotele din 1012, în limita rotunjirii procentelor","EROARE — hotărârea repartizează altfel decât spun cotele din balanță: abateri de " &amp; TEXT(B20-B21,"#,##0.00") &amp; " / " &amp; TEXT(B25-B26,"#,##0.00") &amp; " / " &amp; TEXT(B30-B31,"#,##0.00") &amp; " lei, peste toleranța de " &amp; TEXT(B32,"#,##0.00"))</f>
        <v>OK — repartizarea din hotărâre urmează cotele din 1012, în limita rotunjirii procentelor</v>
      </c>
    </row>
    <row r="74">
      <c r="A74" s="43" t="inlineStr">
        <is>
          <t>Verificare: Σ sumelor repartizate = totalul din hotărâre</t>
        </is>
      </c>
      <c r="B74" s="43" t="str">
        <f>IF(OR(B12&lt;&gt;"DA",ABS(B20+B25+B30-B14)&lt;0.01),"OK","EROARE — Σ pe asociați diferă de total cu " &amp; TEXT(B20+B25+B30-B14,"#,##0.00") &amp; " lei")</f>
        <v>OK</v>
      </c>
    </row>
    <row r="75">
      <c r="A75" s="43" t="inlineStr">
        <is>
          <t>Verificare: există sursă în 1171 pentru ce se repartizează</t>
        </is>
      </c>
      <c r="B75" s="43" t="str">
        <f>IF(OR(B12&lt;&gt;"DA",B13&gt;=B14),"OK",IF(B13&lt;0,"BLOCAT — 1171 are sold debitor: cu pierdere neacoperită nu se distribuie nimic (art. 69 L. 31/1990)","EROARE — se repartizează mai mult decât are 1171, lipsă " &amp; TEXT(B14-B13,"#,##0.00") &amp; " lei"))</f>
        <v>OK</v>
      </c>
    </row>
    <row r="76">
      <c r="A76" s="43" t="inlineStr">
        <is>
          <t>Verificare: impozitul reținut, pe două căi</t>
        </is>
      </c>
      <c r="B76" s="43" t="str">
        <f>IF(B12&lt;&gt;"DA","—",IF(AND(ABS(B36-B37)&lt;0.01,ABS(B36-B38)&lt;0.02),"OK — 16% verificat și pe asociat, și pe total","EROARE — impozit " &amp; TEXT(B36,"#,##0.00") &amp; " vs. " &amp; TEXT(B37,"#,##0.00") &amp; " pe asociat și " &amp; TEXT(B38,"#,##0.00") &amp; " pe total"))</f>
        <v>OK — 16% verificat și pe asociat, și pe total</v>
      </c>
    </row>
    <row r="77">
      <c r="A77" s="43" t="inlineStr">
        <is>
          <t>Verificare: interimarele nu depășesc soldul lui 121</t>
        </is>
      </c>
      <c r="B77" s="43" t="str">
        <f>IF(B42&lt;&gt;"DA","—",IF(B47&lt;=B45,"OK — sub plafon, rezervă de " &amp; TEXT(B45-B47,"#,##0.00") &amp; " lei","EROARE — depășire de " &amp; TEXT(B47-B45,"#,##0.00") &amp; " lei, care se va storna la 31.12 și se va restitui"))</f>
        <v>OK — sub plafon, rezervă de 0,.00 lei</v>
      </c>
    </row>
    <row r="78">
      <c r="A78" s="43" t="inlineStr">
        <is>
          <t>Verificare: condițiile legale ale interimarelor</t>
        </is>
      </c>
      <c r="B78" s="43" t="str">
        <f>IF(B42&lt;&gt;"DA","—",IF(AND(B43="DA",B44="DA"),"OK — inventariere și bilanț interimar făcute","BLOCAT — interimarele cer INVENTARIERE și bilanț interimar; sunt condiții legale, nu formalități"))</f>
        <v>OK — inventariere și bilanț interimar făcute</v>
      </c>
    </row>
    <row r="79">
      <c r="A79" s="43" t="inlineStr">
        <is>
          <t>Informativ: cât a cerut administratorul vs. cât poate ridica net</t>
        </is>
      </c>
      <c r="B79" s="43" t="str">
        <f>IF(B42&lt;&gt;"DA","—","Cerut " &amp; TEXT(B46,"#,##0") &amp; " lei; repartizabil " &amp; TEXT(MIN(B46,B45),"#,##0") &amp; "; ridicat net " &amp; TEXT(B47-B48,"#,##0") &amp; " lei")</f>
        <v>Cerut 100,000 lei; repartizabil 80,000; ridicat net 67,200 lei</v>
      </c>
    </row>
    <row r="80">
      <c r="A80" s="43" t="inlineStr">
        <is>
          <t>Verificare: după storno, 463 rămâne la nivelul profitului realizat</t>
        </is>
      </c>
      <c r="B80" s="43" t="str">
        <f>IF(B52&lt;&gt;"DA","—",IF(ABS((B47-B54)-MIN(B47,B53))&lt;0.01,"OK — 463 = " &amp; TEXT(B47-B54,"#,##0.00") &amp; " lei, adică profitul realizat","EROARE — stornarea nu aduce 463 la profitul realizat"))</f>
        <v>OK — 463 = 70,000.00 lei, adică profitul realizat</v>
      </c>
    </row>
    <row r="81">
      <c r="A81" s="43" t="inlineStr">
        <is>
          <t>Termenul care surprinde</t>
        </is>
      </c>
      <c r="B81" s="43" t="inlineStr">
        <is>
          <t>Impozitul pe dividende se plătește până la 25.01 a anului următor repartizării, CHIAR DACĂ dividendele nu au fost ridicate. Obligația e față de buget, nu față de asociat.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18" customWidth="1" style="40" min="2" max="2"/>
    <col width="42" customWidth="1" style="40" min="3" max="3"/>
    <col width="52" customWidth="1" style="40" min="4" max="4"/>
  </cols>
  <sheetData>
    <row r="1">
      <c r="A1" s="41" t="inlineStr">
        <is>
          <t>MOD_DIVIDENDE — Reguli (tabele fixe)</t>
        </is>
      </c>
    </row>
    <row r="2">
      <c r="A2" s="44" t="inlineStr">
        <is>
          <t>Ce e regulă dată, nu formulă: tipurile de dividend, declarațiile și calendarul interimarelor.</t>
        </is>
      </c>
    </row>
    <row r="4">
      <c r="A4" s="42" t="inlineStr">
        <is>
          <t>Tabel A — Cele două feluri de dividende</t>
        </is>
      </c>
    </row>
    <row r="5">
      <c r="A5" s="65" t="inlineStr">
        <is>
          <t>Tip</t>
        </is>
      </c>
      <c r="B5" s="65" t="inlineStr">
        <is>
          <t>Cont</t>
        </is>
      </c>
      <c r="C5" s="65" t="inlineStr">
        <is>
          <t>Din ce se repartizează</t>
        </is>
      </c>
      <c r="D5" s="65" t="inlineStr">
        <is>
          <t>Ce document cere</t>
        </is>
      </c>
    </row>
    <row r="6">
      <c r="A6" s="43" t="inlineStr">
        <is>
          <t>Certe</t>
        </is>
      </c>
      <c r="B6" s="43" t="inlineStr">
        <is>
          <t>457</t>
        </is>
      </c>
      <c r="C6" s="43" t="inlineStr">
        <is>
          <t>Din rezultatul unui exercițiu ÎNCHEIAT (1171)</t>
        </is>
      </c>
      <c r="D6" s="43" t="inlineStr">
        <is>
          <t>Hotărâre AGA. Condiție: 1171 fără sold debitor pe niciun an</t>
        </is>
      </c>
    </row>
    <row r="7">
      <c r="A7" s="43" t="inlineStr">
        <is>
          <t>Interimare</t>
        </is>
      </c>
      <c r="B7" s="43" t="inlineStr">
        <is>
          <t>463 → 456</t>
        </is>
      </c>
      <c r="C7" s="43" t="inlineStr">
        <is>
          <t>Din profitul anului CURENT, doar trimestrial</t>
        </is>
      </c>
      <c r="D7" s="43" t="inlineStr">
        <is>
          <t>Hotărâre AGA + INVENTARIERE + bilanț interimar</t>
        </is>
      </c>
    </row>
    <row r="9">
      <c r="A9" s="42" t="inlineStr">
        <is>
          <t>Tabel B — Declarațiile</t>
        </is>
      </c>
    </row>
    <row r="10">
      <c r="A10" s="65" t="inlineStr">
        <is>
          <t>Declarație</t>
        </is>
      </c>
      <c r="B10" s="65" t="inlineStr">
        <is>
          <t>Cadență</t>
        </is>
      </c>
      <c r="C10" s="65" t="inlineStr">
        <is>
          <t>Ce conține</t>
        </is>
      </c>
    </row>
    <row r="11">
      <c r="A11" s="43" t="inlineStr">
        <is>
          <t>D100</t>
        </is>
      </c>
      <c r="B11" s="43" t="inlineStr">
        <is>
          <t>Ori de câte ori e impozit de plată</t>
        </is>
      </c>
      <c r="C11" s="43" t="inlineStr">
        <is>
          <t>Impozitul pe dividende. Atenție la rubrica separată pentru persoane fizice — nu se confundă cu impozitul datorat de persoane juridice</t>
        </is>
      </c>
    </row>
    <row r="12">
      <c r="A12" s="43" t="inlineStr">
        <is>
          <t>D205</t>
        </is>
      </c>
      <c r="B12" s="43" t="inlineStr">
        <is>
          <t>Anual, cumulativ</t>
        </is>
      </c>
      <c r="C12" s="43" t="inlineStr">
        <is>
          <t>Declarație informativă. Două rubrici distincte: dividende DISTRIBUITE și dividende RIDICATE. Se confruntă cu D100 și cu fișa contului 446</t>
        </is>
      </c>
    </row>
    <row r="13">
      <c r="A13" s="43" t="inlineStr">
        <is>
          <t>Declarația Unică</t>
        </is>
      </c>
      <c r="B13" s="43" t="inlineStr">
        <is>
          <t>Anual, de către asociat</t>
        </is>
      </c>
      <c r="C13" s="43" t="inlineStr">
        <is>
          <t>CASS. ❓ Notițele spun că se datorează la dividendele RIDICATE, nu la cele distribuite — de confirmat cu formatorul</t>
        </is>
      </c>
    </row>
    <row r="14">
      <c r="A14" s="43" t="inlineStr">
        <is>
          <t>D710</t>
        </is>
      </c>
      <c r="B14" s="43" t="inlineStr">
        <is>
          <t>La regularizarea de la 31.12</t>
        </is>
      </c>
      <c r="C14" s="43" t="inlineStr">
        <is>
          <t>Rectificativa lui D100. Apare suma plătită inițial și cea corectată; diferența plătită în plus se compensează sau se restituie la cerere</t>
        </is>
      </c>
    </row>
    <row r="16">
      <c r="A16" s="42" t="inlineStr">
        <is>
          <t>Tabel C — Calendarul interimarelor</t>
        </is>
      </c>
    </row>
    <row r="17">
      <c r="A17" s="44" t="inlineStr">
        <is>
          <t>Nu e intuitiv: hotărârea se ia într-o lună, înregistrarea se face în alta.</t>
        </is>
      </c>
    </row>
    <row r="18">
      <c r="A18" s="65" t="inlineStr">
        <is>
          <t>Momentul</t>
        </is>
      </c>
      <c r="B18" s="65" t="inlineStr">
        <is>
          <t>Ce se întâmplă</t>
        </is>
      </c>
    </row>
    <row r="19">
      <c r="A19" s="43" t="inlineStr">
        <is>
          <t>30.06</t>
        </is>
      </c>
      <c r="B19" s="43" t="inlineStr">
        <is>
          <t>Închiderea a șase luni. Soldul lui 121 la data asta E plafonul</t>
        </is>
      </c>
    </row>
    <row r="20">
      <c r="A20" s="43" t="inlineStr">
        <is>
          <t>iunie</t>
        </is>
      </c>
      <c r="B20" s="43" t="inlineStr">
        <is>
          <t>LUNA în care se face înregistrarea contabilă — bilanțul interimar are rubrică separată pentru 463, deci acolo vede ANAF ce s-a repartizat</t>
        </is>
      </c>
    </row>
    <row r="21">
      <c r="A21" s="43" t="inlineStr">
        <is>
          <t>iulie</t>
        </is>
      </c>
      <c r="B21" s="43" t="inlineStr">
        <is>
          <t>LUNA în care se ia hotărârea AGA: are nevoie de balanța închisă</t>
        </is>
      </c>
    </row>
    <row r="22">
      <c r="A22" s="43" t="inlineStr">
        <is>
          <t>31.07</t>
        </is>
      </c>
      <c r="B22" s="43" t="inlineStr">
        <is>
          <t>Termenul de depunere a bilanțului interimar</t>
        </is>
      </c>
    </row>
    <row r="23">
      <c r="A23" s="43" t="inlineStr">
        <is>
          <t>31.12</t>
        </is>
      </c>
      <c r="B23" s="43" t="inlineStr">
        <is>
          <t>Comparația cu profitul realizat. Dacă e mai mic, se stornează diferența</t>
        </is>
      </c>
    </row>
    <row r="24">
      <c r="A24" s="43" t="inlineStr">
        <is>
          <t>25.01</t>
        </is>
      </c>
      <c r="B24" s="43" t="inlineStr">
        <is>
          <t>Termenul de plată a impozitului, indiferent dacă s-a ridicat sau nu</t>
        </is>
      </c>
    </row>
    <row r="26">
      <c r="A26" s="42" t="inlineStr">
        <is>
          <t>Tabel D — Porți de calitate</t>
        </is>
      </c>
    </row>
    <row r="27">
      <c r="A27" s="44" t="inlineStr">
        <is>
          <t>• Cotele se citesc din DENUMIRILE analiticelor lui 1012; hotărârea AGA se contraverifică cu ele, nu invers</t>
        </is>
      </c>
    </row>
    <row r="28">
      <c r="A28" s="44" t="inlineStr">
        <is>
          <t>• Fără hotărâre AGA nu se înregistrează dividende — nici certe, nici interimare</t>
        </is>
      </c>
    </row>
    <row r="29">
      <c r="A29" s="44" t="inlineStr">
        <is>
          <t>• Cu sold debitor pe 1171 (pierdere neacoperită) nu se distribuie nimic</t>
        </is>
      </c>
    </row>
    <row r="30">
      <c r="A30" s="44" t="inlineStr">
        <is>
          <t>• Interimarele cer inventariere ȘI bilanț interimar, și se acordă doar trimestrial</t>
        </is>
      </c>
    </row>
    <row r="31">
      <c r="A31" s="44" t="inlineStr">
        <is>
          <t>• Plafonul interimarelor e soldul lui 121, nu disponibilul din bancă</t>
        </is>
      </c>
    </row>
    <row r="32">
      <c r="A32" s="44" t="inlineStr">
        <is>
          <t>• Impozitul se datorează la DISTRIBUIRE; termenul de 25.01 nu depinde de ridicare</t>
        </is>
      </c>
    </row>
    <row r="33">
      <c r="A33" s="44" t="inlineStr">
        <is>
          <t>• 457 se stinge doar prin 446 sau prin trezorerie — nu prin 4551 sau 461 (vezi C-34)</t>
        </is>
      </c>
    </row>
    <row r="34">
      <c r="A34" s="44" t="inlineStr">
        <is>
          <t>• D205 se confruntă cu D100 și cu fișa contului 446: se caută o plată făcută fără declarație</t>
        </is>
      </c>
    </row>
    <row r="36">
      <c r="A36" s="42" t="inlineStr">
        <is>
          <t>Temei legal</t>
        </is>
      </c>
    </row>
    <row r="37">
      <c r="A37" s="65" t="inlineStr">
        <is>
          <t>Ce se sprijină pe el</t>
        </is>
      </c>
      <c r="B37" s="65" t="inlineStr">
        <is>
          <t>Temei</t>
        </is>
      </c>
    </row>
    <row r="38">
      <c r="A38" s="43" t="inlineStr">
        <is>
          <t>Dividendele se repartizează proporțional cu cota de participare la capitalul social</t>
        </is>
      </c>
      <c r="B38" s="43" t="inlineStr">
        <is>
          <t>art. 67 alin. (2) Legea 31/1990</t>
        </is>
      </c>
    </row>
    <row r="39">
      <c r="A39" s="43" t="inlineStr">
        <is>
          <t>Cota de impozit pe dividende, 16% pentru distribuirile de la 01.01.2026</t>
        </is>
      </c>
      <c r="B39" s="43" t="inlineStr">
        <is>
          <t>art. 43 Cod fiscal, astfel cum a fost modificat prin Legea 141/2025</t>
        </is>
      </c>
    </row>
    <row r="40">
      <c r="A40" s="43" t="inlineStr">
        <is>
          <t>Termenul de plată: 25 ianuarie a anului următor celui în care s-a aprobat repartizarea, dacă dividendele nu au fost ridicate</t>
        </is>
      </c>
      <c r="B40" s="43" t="inlineStr">
        <is>
          <t>art. 43 alin. (3) Cod fiscal</t>
        </is>
      </c>
    </row>
    <row r="41">
      <c r="A41" s="43" t="inlineStr">
        <is>
          <t>Dividendele interimare, trimestrial, pe baza situațiilor financiare interimare</t>
        </is>
      </c>
      <c r="B41" s="43" t="inlineStr">
        <is>
          <t>art. 67 alin. (2) și (4) Legea 31/1990 — cu inventariere prealabilă</t>
        </is>
      </c>
    </row>
    <row r="42">
      <c r="A42" s="43" t="inlineStr">
        <is>
          <t>Regularizarea la 31.12 și restituirea diferenței distribuite în plus</t>
        </is>
      </c>
      <c r="B42" s="43" t="inlineStr">
        <is>
          <t>art. 67 alin. (4) Legea 31/1990</t>
        </is>
      </c>
    </row>
    <row r="43">
      <c r="A43" s="43" t="inlineStr">
        <is>
          <t>Nu se distribuie dividende cât timp există pierdere contabilă reportată neacoperită</t>
        </is>
      </c>
      <c r="B43" s="43" t="inlineStr">
        <is>
          <t>art. 69 Legea 31/1990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8" customWidth="1" style="40" min="2" max="2"/>
    <col width="14" customWidth="1" style="40" min="3" max="3"/>
    <col width="52" customWidth="1" style="40" min="4" max="4"/>
    <col width="18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MOD_DIVIDENDE — Jurnale (generate automat)</t>
        </is>
      </c>
    </row>
    <row r="2">
      <c r="A2" s="44" t="inlineStr">
        <is>
          <t>Blocurile neactivate ies cu zero. Blocul D produce sume NEGATIVE: e stornare, nu o înregistrare inversă.</t>
        </is>
      </c>
    </row>
    <row r="4">
      <c r="A4" s="42" t="inlineStr">
        <is>
          <t>Bloc A — Repartizarea pe asociați</t>
        </is>
      </c>
    </row>
    <row r="5">
      <c r="A5" s="43" t="inlineStr">
        <is>
          <t>Data:</t>
        </is>
      </c>
      <c r="B5" s="43" t="str">
        <f>Declarații_DIVIDENDE!B9</f>
        <v>2026-04-30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Declarații_DIVIDENDE!B58</f>
        <v>1171</v>
      </c>
      <c r="C7" s="43">
        <f>IF(Declarații_DIVIDENDE!B12="DA",Declarații_DIVIDENDE!B20,0)</f>
        <v>10000</v>
      </c>
      <c r="D7" s="43" t="str">
        <f>"Repartizare dividende " &amp; Declarații_DIVIDENDE!B18 &amp; " " &amp; Declarații_DIVIDENDE!B68</f>
        <v>Repartizare dividende Ionescu — AGA 12 / 2026-04-20, exercițiul 2025</v>
      </c>
      <c r="E7" s="43" t="str">
        <f>Declarații_DIVIDENDE!B59</f>
        <v>457.1</v>
      </c>
      <c r="F7" s="43">
        <f>IF(Declarații_DIVIDENDE!B12="DA",Declarații_DIVIDENDE!B20,0)</f>
        <v>10000</v>
      </c>
      <c r="G7" s="43" t="str">
        <f>"Dividende de plată " &amp; Declarații_DIVIDENDE!B18 &amp; " " &amp; Declarații_DIVIDENDE!B68</f>
        <v>Dividende de plată Ionescu — AGA 12 / 2026-04-20, exercițiul 2025</v>
      </c>
    </row>
    <row r="8">
      <c r="A8" s="43" t="n">
        <v>2</v>
      </c>
      <c r="B8" s="43" t="str">
        <f>Declarații_DIVIDENDE!B58</f>
        <v>1171</v>
      </c>
      <c r="C8" s="43">
        <f>IF(Declarații_DIVIDENDE!B12="DA",Declarații_DIVIDENDE!B25,0)</f>
        <v>10000</v>
      </c>
      <c r="D8" s="43" t="str">
        <f>"Repartizare dividende " &amp; Declarații_DIVIDENDE!B23 &amp; " " &amp; Declarații_DIVIDENDE!B68</f>
        <v>Repartizare dividende Popescu — AGA 12 / 2026-04-20, exercițiul 2025</v>
      </c>
      <c r="E8" s="43" t="str">
        <f>Declarații_DIVIDENDE!B60</f>
        <v>457.2</v>
      </c>
      <c r="F8" s="43">
        <f>IF(Declarații_DIVIDENDE!B12="DA",Declarații_DIVIDENDE!B25,0)</f>
        <v>10000</v>
      </c>
      <c r="G8" s="43" t="str">
        <f>"Dividende de plată " &amp; Declarații_DIVIDENDE!B23 &amp; " " &amp; Declarații_DIVIDENDE!B68</f>
        <v>Dividende de plată Popescu — AGA 12 / 2026-04-20, exercițiul 2025</v>
      </c>
    </row>
    <row r="9">
      <c r="A9" s="43" t="n">
        <v>3</v>
      </c>
      <c r="B9" s="43" t="str">
        <f>Declarații_DIVIDENDE!B58</f>
        <v>1171</v>
      </c>
      <c r="C9" s="43">
        <f>IF(Declarații_DIVIDENDE!B12="DA",Declarații_DIVIDENDE!B30,0)</f>
        <v>10000</v>
      </c>
      <c r="D9" s="43" t="str">
        <f>"Repartizare dividende " &amp; Declarații_DIVIDENDE!B28 &amp; " " &amp; Declarații_DIVIDENDE!B68</f>
        <v>Repartizare dividende Xulescu — AGA 12 / 2026-04-20, exercițiul 2025</v>
      </c>
      <c r="E9" s="43" t="str">
        <f>Declarații_DIVIDENDE!B61</f>
        <v>457.3</v>
      </c>
      <c r="F9" s="43">
        <f>IF(Declarații_DIVIDENDE!B12="DA",Declarații_DIVIDENDE!B30,0)</f>
        <v>10000</v>
      </c>
      <c r="G9" s="43" t="str">
        <f>"Dividende de plată " &amp; Declarații_DIVIDENDE!B28 &amp; " " &amp; Declarații_DIVIDENDE!B68</f>
        <v>Dividende de plată Xulescu — AGA 12 / 2026-04-20, exercițiul 2025</v>
      </c>
    </row>
    <row r="10">
      <c r="A10" s="43" t="inlineStr">
        <is>
          <t>Check A (Σ pe asociați = totalul din hotărâre)</t>
        </is>
      </c>
      <c r="B10" s="43">
        <f>C7+C8+C9-IF(Declarații_DIVIDENDE!B12="DA",Declarații_DIVIDENDE!B14,0)</f>
        <v>0</v>
      </c>
      <c r="C10" s="43" t="str">
        <f>IF(ABS(B10)&lt;0.01,"OK — repartizarea acoperă exact totalul din AGA","EROARE — Σ pe asociați ≠ total")</f>
        <v>OK — repartizarea acoperă exact totalul din AGA</v>
      </c>
    </row>
    <row r="12">
      <c r="A12" s="42" t="inlineStr">
        <is>
          <t>Bloc B — Impozitul de 16%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Declarații_DIVIDENDE!B59</f>
        <v>457.1</v>
      </c>
      <c r="C14" s="43">
        <f>IF(Declarații_DIVIDENDE!B12="DA",ROUND(Declarații_DIVIDENDE!B20*Declarații_DIVIDENDE!B35,2),0)</f>
        <v>1600</v>
      </c>
      <c r="D14" s="43" t="str">
        <f>"Impozit 16% dividende " &amp; Declarații_DIVIDENDE!B18 &amp; " " &amp; Declarații_DIVIDENDE!B68</f>
        <v>Impozit 16% dividende Ionescu — AGA 12 / 2026-04-20, exercițiul 2025</v>
      </c>
      <c r="E14" s="43" t="str">
        <f>Declarații_DIVIDENDE!B62</f>
        <v>446.dividende</v>
      </c>
      <c r="F14" s="43">
        <f>IF(Declarații_DIVIDENDE!B12="DA",ROUND(Declarații_DIVIDENDE!B20*Declarații_DIVIDENDE!B35,2),0)</f>
        <v>1600</v>
      </c>
      <c r="G14" s="43" t="str">
        <f>"Impozit pe dividende de plată " &amp; Declarații_DIVIDENDE!B68</f>
        <v>Impozit pe dividende de plată — AGA 12 / 2026-04-20, exercițiul 2025</v>
      </c>
    </row>
    <row r="15">
      <c r="A15" s="43" t="n">
        <v>2</v>
      </c>
      <c r="B15" s="43" t="str">
        <f>Declarații_DIVIDENDE!B60</f>
        <v>457.2</v>
      </c>
      <c r="C15" s="43">
        <f>IF(Declarații_DIVIDENDE!B12="DA",ROUND(Declarații_DIVIDENDE!B25*Declarații_DIVIDENDE!B35,2),0)</f>
        <v>1600</v>
      </c>
      <c r="D15" s="43" t="str">
        <f>"Impozit 16% dividende " &amp; Declarații_DIVIDENDE!B23 &amp; " " &amp; Declarații_DIVIDENDE!B68</f>
        <v>Impozit 16% dividende Popescu — AGA 12 / 2026-04-20, exercițiul 2025</v>
      </c>
      <c r="E15" s="43" t="str">
        <f>Declarații_DIVIDENDE!B62</f>
        <v>446.dividende</v>
      </c>
      <c r="F15" s="43">
        <f>IF(Declarații_DIVIDENDE!B12="DA",ROUND(Declarații_DIVIDENDE!B25*Declarații_DIVIDENDE!B35,2),0)</f>
        <v>1600</v>
      </c>
      <c r="G15" s="43" t="str">
        <f>"Impozit pe dividende de plată " &amp; Declarații_DIVIDENDE!B68</f>
        <v>Impozit pe dividende de plată — AGA 12 / 2026-04-20, exercițiul 2025</v>
      </c>
    </row>
    <row r="16">
      <c r="A16" s="43" t="n">
        <v>3</v>
      </c>
      <c r="B16" s="43" t="str">
        <f>Declarații_DIVIDENDE!B61</f>
        <v>457.3</v>
      </c>
      <c r="C16" s="43">
        <f>IF(Declarații_DIVIDENDE!B12="DA",ROUND(Declarații_DIVIDENDE!B30*Declarații_DIVIDENDE!B35,2),0)</f>
        <v>1600</v>
      </c>
      <c r="D16" s="43" t="str">
        <f>"Impozit 16% dividende " &amp; Declarații_DIVIDENDE!B28 &amp; " " &amp; Declarații_DIVIDENDE!B68</f>
        <v>Impozit 16% dividende Xulescu — AGA 12 / 2026-04-20, exercițiul 2025</v>
      </c>
      <c r="E16" s="43" t="str">
        <f>Declarații_DIVIDENDE!B62</f>
        <v>446.dividende</v>
      </c>
      <c r="F16" s="43">
        <f>IF(Declarații_DIVIDENDE!B12="DA",ROUND(Declarații_DIVIDENDE!B30*Declarații_DIVIDENDE!B35,2),0)</f>
        <v>1600</v>
      </c>
      <c r="G16" s="43" t="str">
        <f>"Impozit pe dividende de plată " &amp; Declarații_DIVIDENDE!B68</f>
        <v>Impozit pe dividende de plată — AGA 12 / 2026-04-20, exercițiul 2025</v>
      </c>
    </row>
    <row r="17">
      <c r="A17" s="43" t="n">
        <v>4</v>
      </c>
      <c r="B17" s="43" t="str">
        <f>Declarații_DIVIDENDE!B62</f>
        <v>446.dividende</v>
      </c>
      <c r="C17" s="43">
        <f>IF(Declarații_DIVIDENDE!B12="DA",Declarații_DIVIDENDE!B36,0)</f>
        <v>4800</v>
      </c>
      <c r="D17" s="43" t="str">
        <f>"Plata impozitului pe dividende (termen 25.01) " &amp; Declarații_DIVIDENDE!B68</f>
        <v>Plata impozitului pe dividende (termen 25.01) — AGA 12 / 2026-04-20, exercițiul 2025</v>
      </c>
      <c r="E17" s="43" t="str">
        <f>Declarații_DIVIDENDE!B65</f>
        <v>5121</v>
      </c>
      <c r="F17" s="43">
        <f>IF(Declarații_DIVIDENDE!B12="DA",Declarații_DIVIDENDE!B36,0)</f>
        <v>4800</v>
      </c>
      <c r="G17" s="43" t="str">
        <f>"Ieșire trezorerie " &amp; Declarații_DIVIDENDE!B68</f>
        <v>Ieșire trezorerie — AGA 12 / 2026-04-20, exercițiul 2025</v>
      </c>
    </row>
    <row r="18">
      <c r="A18" s="43" t="inlineStr">
        <is>
          <t>Check B (impozitul din notă = Σ reținerilor pe asociat)</t>
        </is>
      </c>
      <c r="B18" s="43">
        <f>Declarații_DIVIDENDE!B36*IF(Declarații_DIVIDENDE!B12="DA",1,0)-C14-C15-C16</f>
        <v>0</v>
      </c>
      <c r="C18" s="43" t="str">
        <f>IF(ABS(B18)&lt;0.01,"OK — 16% pe fiecare analitic de 457","EROARE — impozitul plătit nu e suma reținerilor")</f>
        <v>OK — 16% pe fiecare analitic de 457</v>
      </c>
    </row>
    <row r="20">
      <c r="A20" s="42" t="inlineStr">
        <is>
          <t>Bloc B2 — Plata dividendelor nete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Declarații_DIVIDENDE!B59</f>
        <v>457.1</v>
      </c>
      <c r="C22" s="43">
        <f>IF(AND(Declarații_DIVIDENDE!B12="DA",Declarații_DIVIDENDE!B39="DA"),Declarații_DIVIDENDE!B20-ROUND(Declarații_DIVIDENDE!B20*Declarații_DIVIDENDE!B35,2),0)</f>
        <v>8400</v>
      </c>
      <c r="D22" s="43" t="str">
        <f>"Plată dividend net " &amp; Declarații_DIVIDENDE!B18 &amp; " " &amp; Declarații_DIVIDENDE!B68</f>
        <v>Plată dividend net Ionescu — AGA 12 / 2026-04-20, exercițiul 2025</v>
      </c>
      <c r="E22" s="43" t="str">
        <f>Declarații_DIVIDENDE!B65</f>
        <v>5121</v>
      </c>
      <c r="F22" s="43">
        <f>IF(AND(Declarații_DIVIDENDE!B12="DA",Declarații_DIVIDENDE!B39="DA"),Declarații_DIVIDENDE!B20-ROUND(Declarații_DIVIDENDE!B20*Declarații_DIVIDENDE!B35,2),0)</f>
        <v>8400</v>
      </c>
      <c r="G22" s="43" t="str">
        <f>"Ieșire trezorerie " &amp; Declarații_DIVIDENDE!B68</f>
        <v>Ieșire trezorerie — AGA 12 / 2026-04-20, exercițiul 2025</v>
      </c>
    </row>
    <row r="23">
      <c r="A23" s="43" t="n">
        <v>2</v>
      </c>
      <c r="B23" s="43" t="str">
        <f>Declarații_DIVIDENDE!B60</f>
        <v>457.2</v>
      </c>
      <c r="C23" s="43">
        <f>IF(AND(Declarații_DIVIDENDE!B12="DA",Declarații_DIVIDENDE!B39="DA"),Declarații_DIVIDENDE!B25-ROUND(Declarații_DIVIDENDE!B25*Declarații_DIVIDENDE!B35,2),0)</f>
        <v>8400</v>
      </c>
      <c r="D23" s="43" t="str">
        <f>"Plată dividend net " &amp; Declarații_DIVIDENDE!B23 &amp; " " &amp; Declarații_DIVIDENDE!B68</f>
        <v>Plată dividend net Popescu — AGA 12 / 2026-04-20, exercițiul 2025</v>
      </c>
      <c r="E23" s="43" t="str">
        <f>Declarații_DIVIDENDE!B65</f>
        <v>5121</v>
      </c>
      <c r="F23" s="43">
        <f>IF(AND(Declarații_DIVIDENDE!B12="DA",Declarații_DIVIDENDE!B39="DA"),Declarații_DIVIDENDE!B25-ROUND(Declarații_DIVIDENDE!B25*Declarații_DIVIDENDE!B35,2),0)</f>
        <v>8400</v>
      </c>
      <c r="G23" s="43" t="str">
        <f>"Ieșire trezorerie " &amp; Declarații_DIVIDENDE!B68</f>
        <v>Ieșire trezorerie — AGA 12 / 2026-04-20, exercițiul 2025</v>
      </c>
    </row>
    <row r="24">
      <c r="A24" s="43" t="n">
        <v>3</v>
      </c>
      <c r="B24" s="43" t="str">
        <f>Declarații_DIVIDENDE!B61</f>
        <v>457.3</v>
      </c>
      <c r="C24" s="43">
        <f>IF(AND(Declarații_DIVIDENDE!B12="DA",Declarații_DIVIDENDE!B39="DA"),Declarații_DIVIDENDE!B30-ROUND(Declarații_DIVIDENDE!B30*Declarații_DIVIDENDE!B35,2),0)</f>
        <v>8400</v>
      </c>
      <c r="D24" s="43" t="str">
        <f>"Plată dividend net " &amp; Declarații_DIVIDENDE!B28 &amp; " " &amp; Declarații_DIVIDENDE!B68</f>
        <v>Plată dividend net Xulescu — AGA 12 / 2026-04-20, exercițiul 2025</v>
      </c>
      <c r="E24" s="43" t="str">
        <f>Declarații_DIVIDENDE!B65</f>
        <v>5121</v>
      </c>
      <c r="F24" s="43">
        <f>IF(AND(Declarații_DIVIDENDE!B12="DA",Declarații_DIVIDENDE!B39="DA"),Declarații_DIVIDENDE!B30-ROUND(Declarații_DIVIDENDE!B30*Declarații_DIVIDENDE!B35,2),0)</f>
        <v>8400</v>
      </c>
      <c r="G24" s="43" t="str">
        <f>"Ieșire trezorerie " &amp; Declarații_DIVIDENDE!B68</f>
        <v>Ieșire trezorerie — AGA 12 / 2026-04-20, exercițiul 2025</v>
      </c>
    </row>
    <row r="25">
      <c r="A25" s="43" t="inlineStr">
        <is>
          <t>Check B2 (457 se stinge integral după plată)</t>
        </is>
      </c>
      <c r="B25" s="43">
        <f>C7+C8+C9-C14-C15-C16-C22-C23-C24</f>
        <v>0</v>
      </c>
      <c r="C25" s="43" t="str">
        <f>IF(ABS(B25)&lt;0.01,"OK — 457 = 0 pe fiecare analitic",IF(Declarații_DIVIDENDE!B39&lt;&gt;"DA","AȘTEPTARE — dividende neridicate: 457 rămâne cu sold, impozitul e plătit","EROARE — 457 nu se stinge"))</f>
        <v>OK — 457 = 0 pe fiecare analitic</v>
      </c>
    </row>
    <row r="27">
      <c r="A27" s="42" t="inlineStr">
        <is>
          <t>Bloc C — Dividende interimare</t>
        </is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Declarații_DIVIDENDE!B63</f>
        <v>463</v>
      </c>
      <c r="C29" s="43">
        <f>IF(Declarații_DIVIDENDE!B42="DA",Declarații_DIVIDENDE!B47,0)</f>
        <v>80000</v>
      </c>
      <c r="D29" s="43" t="str">
        <f>"Dividende interimare repartizate " &amp; Declarații_DIVIDENDE!B68</f>
        <v>Dividende interimare repartizate — AGA 12 / 2026-04-20, exercițiul 2025</v>
      </c>
      <c r="E29" s="43" t="str">
        <f>Declarații_DIVIDENDE!B64</f>
        <v>456</v>
      </c>
      <c r="F29" s="43">
        <f>IF(Declarații_DIVIDENDE!B42="DA",Declarații_DIVIDENDE!B47,0)</f>
        <v>80000</v>
      </c>
      <c r="G29" s="43" t="str">
        <f>"Datorie față de asociat, interimar " &amp; Declarații_DIVIDENDE!B68</f>
        <v>Datorie față de asociat, interimar — AGA 12 / 2026-04-20, exercițiul 2025</v>
      </c>
    </row>
    <row r="30">
      <c r="A30" s="43" t="n">
        <v>2</v>
      </c>
      <c r="B30" s="43" t="str">
        <f>Declarații_DIVIDENDE!B64</f>
        <v>456</v>
      </c>
      <c r="C30" s="43">
        <f>IF(Declarații_DIVIDENDE!B42="DA",Declarații_DIVIDENDE!B48,0)</f>
        <v>12800</v>
      </c>
      <c r="D30" s="43" t="str">
        <f>"Impozit 16% pe dividende interimare " &amp; Declarații_DIVIDENDE!B68</f>
        <v>Impozit 16% pe dividende interimare — AGA 12 / 2026-04-20, exercițiul 2025</v>
      </c>
      <c r="E30" s="43" t="str">
        <f>Declarații_DIVIDENDE!B62</f>
        <v>446.dividende</v>
      </c>
      <c r="F30" s="43">
        <f>IF(Declarații_DIVIDENDE!B42="DA",Declarații_DIVIDENDE!B48,0)</f>
        <v>12800</v>
      </c>
      <c r="G30" s="43" t="str">
        <f>"Impozit de plată " &amp; Declarații_DIVIDENDE!B68</f>
        <v>Impozit de plată — AGA 12 / 2026-04-20, exercițiul 2025</v>
      </c>
    </row>
    <row r="31">
      <c r="A31" s="43" t="n">
        <v>3</v>
      </c>
      <c r="B31" s="43" t="str">
        <f>Declarații_DIVIDENDE!B64</f>
        <v>456</v>
      </c>
      <c r="C31" s="43">
        <f>IF(Declarații_DIVIDENDE!B42="DA",Declarații_DIVIDENDE!B47-Declarații_DIVIDENDE!B48,0)</f>
        <v>67200</v>
      </c>
      <c r="D31" s="43" t="str">
        <f>"Plata dividendelor interimare " &amp; Declarații_DIVIDENDE!B68</f>
        <v>Plata dividendelor interimare — AGA 12 / 2026-04-20, exercițiul 2025</v>
      </c>
      <c r="E31" s="43" t="str">
        <f>Declarații_DIVIDENDE!B65</f>
        <v>5121</v>
      </c>
      <c r="F31" s="43">
        <f>IF(Declarații_DIVIDENDE!B42="DA",Declarații_DIVIDENDE!B47-Declarații_DIVIDENDE!B48,0)</f>
        <v>67200</v>
      </c>
      <c r="G31" s="43" t="str">
        <f>"Ieșire trezorerie " &amp; Declarații_DIVIDENDE!B68</f>
        <v>Ieșire trezorerie — AGA 12 / 2026-04-20, exercițiul 2025</v>
      </c>
    </row>
    <row r="32">
      <c r="A32" s="43" t="inlineStr">
        <is>
          <t>Check C (456 se stinge integral)</t>
        </is>
      </c>
      <c r="B32" s="43">
        <f>F29-C30-C31</f>
        <v>0</v>
      </c>
      <c r="C32" s="43" t="str">
        <f>IF(ABS(B32)&lt;0.01,"OK — 456 = 0; 463 rămâne creanță până la 31.12","EROARE — 456 nu se stinge")</f>
        <v>OK — 456 = 0; 463 rămâne creanță până la 31.12</v>
      </c>
    </row>
    <row r="33">
      <c r="A33" s="43" t="inlineStr">
        <is>
          <t>Check C2 (repartizat ≤ sold 121)</t>
        </is>
      </c>
      <c r="B33" s="43">
        <f>IF(Declarații_DIVIDENDE!B42="DA",MAX(0,Declarații_DIVIDENDE!B47-Declarații_DIVIDENDE!B45),0)</f>
        <v>0</v>
      </c>
      <c r="C33" s="43" t="str">
        <f>IF(B33&lt;0.01,"OK — sub plafonul profitului realizat","EROARE — depășire de " &amp; TEXT(B33,"#,##0.00") &amp; " lei")</f>
        <v>OK — sub plafonul profitului realizat</v>
      </c>
    </row>
    <row r="35">
      <c r="A35" s="42" t="inlineStr">
        <is>
          <t>Bloc D — Regularizarea la 31.12 (storno)</t>
        </is>
      </c>
    </row>
    <row r="36">
      <c r="A36" s="44" t="inlineStr">
        <is>
          <t>Sumele sunt NEGATIVE: stornarea se face în roșu, nu prin înregistrare inversă. Cele două rânduri se echilibrează fiecare în parte.</t>
        </is>
      </c>
    </row>
    <row r="37">
      <c r="A37" s="65" t="inlineStr">
        <is>
          <t>Nr</t>
        </is>
      </c>
      <c r="B37" s="65" t="inlineStr">
        <is>
          <t>Cont Dr</t>
        </is>
      </c>
      <c r="C37" s="65" t="inlineStr">
        <is>
          <t>Sumă Dr</t>
        </is>
      </c>
      <c r="D37" s="65" t="inlineStr">
        <is>
          <t>Descriere Dr</t>
        </is>
      </c>
      <c r="E37" s="65" t="inlineStr">
        <is>
          <t>Cont Cr</t>
        </is>
      </c>
      <c r="F37" s="65" t="inlineStr">
        <is>
          <t>Sumă Cr</t>
        </is>
      </c>
      <c r="G37" s="65" t="inlineStr">
        <is>
          <t>Descriere Cr</t>
        </is>
      </c>
    </row>
    <row r="38">
      <c r="A38" s="43" t="n">
        <v>1</v>
      </c>
      <c r="B38" s="43" t="str">
        <f>Declarații_DIVIDENDE!B63</f>
        <v>463</v>
      </c>
      <c r="C38" s="43">
        <f>IF(Declarații_DIVIDENDE!B52="DA",-Declarații_DIVIDENDE!B54,0)</f>
        <v>-10000</v>
      </c>
      <c r="D38" s="43" t="str">
        <f>"Storno dividende interimare nerealizate " &amp; Declarații_DIVIDENDE!B68</f>
        <v>Storno dividende interimare nerealizate — AGA 12 / 2026-04-20, exercițiul 2025</v>
      </c>
      <c r="E38" s="43" t="str">
        <f>Declarații_DIVIDENDE!B64</f>
        <v>456</v>
      </c>
      <c r="F38" s="43">
        <f>IF(Declarații_DIVIDENDE!B52="DA",-Declarații_DIVIDENDE!B54,0)</f>
        <v>-10000</v>
      </c>
      <c r="G38" s="43" t="str">
        <f>"Storno datorie față de asociat " &amp; Declarații_DIVIDENDE!B68</f>
        <v>Storno datorie față de asociat — AGA 12 / 2026-04-20, exercițiul 2025</v>
      </c>
    </row>
    <row r="39">
      <c r="A39" s="43" t="n">
        <v>2</v>
      </c>
      <c r="B39" s="43" t="str">
        <f>Declarații_DIVIDENDE!B64</f>
        <v>456</v>
      </c>
      <c r="C39" s="43">
        <f>IF(Declarații_DIVIDENDE!B52="DA",-Declarații_DIVIDENDE!B55,0)</f>
        <v>-1600</v>
      </c>
      <c r="D39" s="43" t="str">
        <f>"Storno impozit pe partea nerealizată " &amp; Declarații_DIVIDENDE!B68</f>
        <v>Storno impozit pe partea nerealizată — AGA 12 / 2026-04-20, exercițiul 2025</v>
      </c>
      <c r="E39" s="43" t="str">
        <f>Declarații_DIVIDENDE!B62</f>
        <v>446.dividende</v>
      </c>
      <c r="F39" s="43">
        <f>IF(Declarații_DIVIDENDE!B52="DA",-Declarații_DIVIDENDE!B55,0)</f>
        <v>-1600</v>
      </c>
      <c r="G39" s="43" t="str">
        <f>"Storno impozit de plată (rectificativă D710) " &amp; Declarații_DIVIDENDE!B68</f>
        <v>Storno impozit de plată (rectificativă D710) — AGA 12 / 2026-04-20, exercițiul 2025</v>
      </c>
    </row>
    <row r="40">
      <c r="A40" s="43" t="n">
        <v>3</v>
      </c>
      <c r="B40" s="43" t="str">
        <f>Declarații_DIVIDENDE!B63</f>
        <v>463</v>
      </c>
      <c r="C40" s="43" t="n">
        <v>0</v>
      </c>
      <c r="D40" s="43" t="inlineStr">
        <is>
          <t>"Anul următor, la AGA: 121 = 1171, apoi 1171 = 463 pe partea rămasă"</t>
        </is>
      </c>
      <c r="E40" s="43" t="str">
        <f>Declarații_DIVIDENDE!B63</f>
        <v>463</v>
      </c>
      <c r="F40" s="43" t="n">
        <v>0</v>
      </c>
      <c r="G40" s="43" t="inlineStr">
        <is>
          <t>"Vezi F-110 pașii de închidere"</t>
        </is>
      </c>
    </row>
    <row r="41">
      <c r="A41" s="43" t="inlineStr">
        <is>
          <t>Check D (storno = repartizat − profit realizat)</t>
        </is>
      </c>
      <c r="B41" s="43">
        <f>IF(Declarații_DIVIDENDE!B52="DA",ABS(C38)-MAX(0,Declarații_DIVIDENDE!B47-Declarații_DIVIDENDE!B53),0)</f>
        <v>0</v>
      </c>
      <c r="C41" s="43" t="str">
        <f>IF(ABS(B41)&lt;0.01,"OK — se stornează exact partea nerealizată","EROARE — stornarea nu corespunde diferenței")</f>
        <v>OK — se stornează exact partea nerealizată</v>
      </c>
    </row>
    <row r="43">
      <c r="A43" s="43" t="inlineStr">
        <is>
          <t>Check global</t>
        </is>
      </c>
      <c r="B43" s="43">
        <f>ABS(B10)+ABS(B18)+ABS(B25)+ABS(B32)+ABS(B33)+ABS(B41)</f>
        <v>0</v>
      </c>
      <c r="C43" s="43" t="str">
        <f>IF(B43&lt;0.01,"OK — toate blocurile se închid","EROARE — cel puțin un bloc nu se închide")</f>
        <v>OK — toate blocurile se închid</v>
      </c>
    </row>
    <row r="45">
      <c r="A45" s="42" t="inlineStr">
        <is>
          <t>Stare terminală</t>
        </is>
      </c>
    </row>
    <row r="46">
      <c r="A46" s="44" t="inlineStr">
        <is>
          <t>După blocul B2: 1171 repartizat integral, 446 = 0, 457 = 0 pe fiecare analitic (dacă s-a ridicat). După blocul D: 463 rămâne la nivelul profitului realizat și se soldează anul următor, prin 1171. Rămâne de depus D710 și de recuperat de la asociat diferența stornată.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MOD_DIVIDENDE — Notă pentru import</t>
        </is>
      </c>
    </row>
    <row r="2">
      <c r="A2" s="44" t="inlineStr">
        <is>
          <t>Filtrează Include=DA. Rândurile de storno au sumă negativă și se importă ca atare — includerea lor se decide după sumă ≠ 0, nu după semn.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Repartizare asociat 1</t>
        </is>
      </c>
      <c r="C5" s="43" t="str">
        <f>Declarații_DIVIDENDE!B9</f>
        <v>2026-04-30</v>
      </c>
      <c r="D5" s="43" t="str">
        <f>Jurnale_DIVIDENDE!B7</f>
        <v>1171</v>
      </c>
      <c r="E5" s="43" t="str">
        <f>Jurnale_DIVIDENDE!E7</f>
        <v>457.1</v>
      </c>
      <c r="F5" s="43">
        <f>Jurnale_DIVIDENDE!C7</f>
        <v>10000</v>
      </c>
      <c r="G5" s="43" t="str">
        <f>Jurnale_DIVIDENDE!D7</f>
        <v>Repartizare dividende Ionescu — AGA 12 / 2026-04-20, exercițiul 2025</v>
      </c>
      <c r="H5" s="43" t="inlineStr">
        <is>
          <t>Hotărâre AGA</t>
        </is>
      </c>
      <c r="I5" s="43" t="str">
        <f>IF(AND(ISNUMBER(F5),ABS(F5)&gt;0),"DA","NU")</f>
        <v>DA</v>
      </c>
    </row>
    <row r="6">
      <c r="A6" s="43" t="n">
        <v>2</v>
      </c>
      <c r="B6" s="43" t="inlineStr">
        <is>
          <t>A Repartizare asociat 2</t>
        </is>
      </c>
      <c r="C6" s="43" t="str">
        <f>Declarații_DIVIDENDE!B9</f>
        <v>2026-04-30</v>
      </c>
      <c r="D6" s="43" t="str">
        <f>Jurnale_DIVIDENDE!B8</f>
        <v>1171</v>
      </c>
      <c r="E6" s="43" t="str">
        <f>Jurnale_DIVIDENDE!E8</f>
        <v>457.2</v>
      </c>
      <c r="F6" s="43">
        <f>Jurnale_DIVIDENDE!C8</f>
        <v>10000</v>
      </c>
      <c r="G6" s="43" t="str">
        <f>Jurnale_DIVIDENDE!D8</f>
        <v>Repartizare dividende Popescu — AGA 12 / 2026-04-20, exercițiul 2025</v>
      </c>
      <c r="H6" s="43" t="inlineStr">
        <is>
          <t>Hotărâre AGA</t>
        </is>
      </c>
      <c r="I6" s="43" t="str">
        <f>IF(AND(ISNUMBER(F6),ABS(F6)&gt;0),"DA","NU")</f>
        <v>DA</v>
      </c>
    </row>
    <row r="7">
      <c r="A7" s="43" t="n">
        <v>3</v>
      </c>
      <c r="B7" s="43" t="inlineStr">
        <is>
          <t>A Repartizare asociat 3</t>
        </is>
      </c>
      <c r="C7" s="43" t="str">
        <f>Declarații_DIVIDENDE!B9</f>
        <v>2026-04-30</v>
      </c>
      <c r="D7" s="43" t="str">
        <f>Jurnale_DIVIDENDE!B9</f>
        <v>1171</v>
      </c>
      <c r="E7" s="43" t="str">
        <f>Jurnale_DIVIDENDE!E9</f>
        <v>457.3</v>
      </c>
      <c r="F7" s="43">
        <f>Jurnale_DIVIDENDE!C9</f>
        <v>10000</v>
      </c>
      <c r="G7" s="43" t="str">
        <f>Jurnale_DIVIDENDE!D9</f>
        <v>Repartizare dividende Xulescu — AGA 12 / 2026-04-20, exercițiul 2025</v>
      </c>
      <c r="H7" s="43" t="inlineStr">
        <is>
          <t>Hotărâre AGA</t>
        </is>
      </c>
      <c r="I7" s="43" t="str">
        <f>IF(AND(ISNUMBER(F7),ABS(F7)&gt;0),"DA","NU")</f>
        <v>DA</v>
      </c>
    </row>
    <row r="8">
      <c r="A8" s="43" t="n">
        <v>4</v>
      </c>
      <c r="B8" s="43" t="inlineStr">
        <is>
          <t>B Impozit asociat 1</t>
        </is>
      </c>
      <c r="C8" s="43" t="str">
        <f>Declarații_DIVIDENDE!B9</f>
        <v>2026-04-30</v>
      </c>
      <c r="D8" s="43" t="str">
        <f>Jurnale_DIVIDENDE!B14</f>
        <v>457.1</v>
      </c>
      <c r="E8" s="43" t="str">
        <f>Jurnale_DIVIDENDE!E14</f>
        <v>446.dividende</v>
      </c>
      <c r="F8" s="43">
        <f>Jurnale_DIVIDENDE!C14</f>
        <v>1600</v>
      </c>
      <c r="G8" s="43" t="str">
        <f>Jurnale_DIVIDENDE!D14</f>
        <v>Impozit 16% dividende Ionescu — AGA 12 / 2026-04-20, exercițiul 2025</v>
      </c>
      <c r="H8" s="43" t="inlineStr">
        <is>
          <t>Notă contabilă</t>
        </is>
      </c>
      <c r="I8" s="43" t="str">
        <f>IF(AND(ISNUMBER(F8),ABS(F8)&gt;0),"DA","NU")</f>
        <v>DA</v>
      </c>
    </row>
    <row r="9">
      <c r="A9" s="43" t="n">
        <v>5</v>
      </c>
      <c r="B9" s="43" t="inlineStr">
        <is>
          <t>B Impozit asociat 2</t>
        </is>
      </c>
      <c r="C9" s="43" t="str">
        <f>Declarații_DIVIDENDE!B9</f>
        <v>2026-04-30</v>
      </c>
      <c r="D9" s="43" t="str">
        <f>Jurnale_DIVIDENDE!B15</f>
        <v>457.2</v>
      </c>
      <c r="E9" s="43" t="str">
        <f>Jurnale_DIVIDENDE!E15</f>
        <v>446.dividende</v>
      </c>
      <c r="F9" s="43">
        <f>Jurnale_DIVIDENDE!C15</f>
        <v>1600</v>
      </c>
      <c r="G9" s="43" t="str">
        <f>Jurnale_DIVIDENDE!D15</f>
        <v>Impozit 16% dividende Popescu — AGA 12 / 2026-04-20, exercițiul 2025</v>
      </c>
      <c r="H9" s="43" t="inlineStr">
        <is>
          <t>Notă contabilă</t>
        </is>
      </c>
      <c r="I9" s="43" t="str">
        <f>IF(AND(ISNUMBER(F9),ABS(F9)&gt;0),"DA","NU")</f>
        <v>DA</v>
      </c>
    </row>
    <row r="10">
      <c r="A10" s="43" t="n">
        <v>6</v>
      </c>
      <c r="B10" s="43" t="inlineStr">
        <is>
          <t>B Impozit asociat 3</t>
        </is>
      </c>
      <c r="C10" s="43" t="str">
        <f>Declarații_DIVIDENDE!B9</f>
        <v>2026-04-30</v>
      </c>
      <c r="D10" s="43" t="str">
        <f>Jurnale_DIVIDENDE!B16</f>
        <v>457.3</v>
      </c>
      <c r="E10" s="43" t="str">
        <f>Jurnale_DIVIDENDE!E16</f>
        <v>446.dividende</v>
      </c>
      <c r="F10" s="43">
        <f>Jurnale_DIVIDENDE!C16</f>
        <v>1600</v>
      </c>
      <c r="G10" s="43" t="str">
        <f>Jurnale_DIVIDENDE!D16</f>
        <v>Impozit 16% dividende Xulescu — AGA 12 / 2026-04-20, exercițiul 2025</v>
      </c>
      <c r="H10" s="43" t="inlineStr">
        <is>
          <t>Notă contabilă</t>
        </is>
      </c>
      <c r="I10" s="43" t="str">
        <f>IF(AND(ISNUMBER(F10),ABS(F10)&gt;0),"DA","NU")</f>
        <v>DA</v>
      </c>
    </row>
    <row r="11">
      <c r="A11" s="43" t="n">
        <v>7</v>
      </c>
      <c r="B11" s="43" t="inlineStr">
        <is>
          <t>B Plata impozitului</t>
        </is>
      </c>
      <c r="C11" s="43" t="str">
        <f>Declarații_DIVIDENDE!B9</f>
        <v>2026-04-30</v>
      </c>
      <c r="D11" s="43" t="str">
        <f>Jurnale_DIVIDENDE!B17</f>
        <v>446.dividende</v>
      </c>
      <c r="E11" s="43" t="str">
        <f>Jurnale_DIVIDENDE!E17</f>
        <v>5121</v>
      </c>
      <c r="F11" s="43">
        <f>Jurnale_DIVIDENDE!C17</f>
        <v>4800</v>
      </c>
      <c r="G11" s="43" t="str">
        <f>Jurnale_DIVIDENDE!D17</f>
        <v>Plata impozitului pe dividende (termen 25.01) — AGA 12 / 2026-04-20, exercițiul 2025</v>
      </c>
      <c r="H11" s="43" t="inlineStr">
        <is>
          <t>Ordin de plată</t>
        </is>
      </c>
      <c r="I11" s="43" t="str">
        <f>IF(AND(ISNUMBER(F11),ABS(F11)&gt;0),"DA","NU")</f>
        <v>DA</v>
      </c>
    </row>
    <row r="12">
      <c r="A12" s="43" t="n">
        <v>8</v>
      </c>
      <c r="B12" s="43" t="inlineStr">
        <is>
          <t>B2 Plată net asociat 1</t>
        </is>
      </c>
      <c r="C12" s="43" t="str">
        <f>Declarații_DIVIDENDE!B9</f>
        <v>2026-04-30</v>
      </c>
      <c r="D12" s="43" t="str">
        <f>Jurnale_DIVIDENDE!B22</f>
        <v>457.1</v>
      </c>
      <c r="E12" s="43" t="str">
        <f>Jurnale_DIVIDENDE!E22</f>
        <v>5121</v>
      </c>
      <c r="F12" s="43">
        <f>Jurnale_DIVIDENDE!C22</f>
        <v>8400</v>
      </c>
      <c r="G12" s="43" t="str">
        <f>Jurnale_DIVIDENDE!D22</f>
        <v>Plată dividend net Ionescu — AGA 12 / 2026-04-20, exercițiul 2025</v>
      </c>
      <c r="H12" s="43" t="inlineStr">
        <is>
          <t>Ordin de plată</t>
        </is>
      </c>
      <c r="I12" s="43" t="str">
        <f>IF(AND(ISNUMBER(F12),ABS(F12)&gt;0),"DA","NU")</f>
        <v>DA</v>
      </c>
    </row>
    <row r="13">
      <c r="A13" s="43" t="n">
        <v>9</v>
      </c>
      <c r="B13" s="43" t="inlineStr">
        <is>
          <t>B2 Plată net asociat 2</t>
        </is>
      </c>
      <c r="C13" s="43" t="str">
        <f>Declarații_DIVIDENDE!B9</f>
        <v>2026-04-30</v>
      </c>
      <c r="D13" s="43" t="str">
        <f>Jurnale_DIVIDENDE!B23</f>
        <v>457.2</v>
      </c>
      <c r="E13" s="43" t="str">
        <f>Jurnale_DIVIDENDE!E23</f>
        <v>5121</v>
      </c>
      <c r="F13" s="43">
        <f>Jurnale_DIVIDENDE!C23</f>
        <v>8400</v>
      </c>
      <c r="G13" s="43" t="str">
        <f>Jurnale_DIVIDENDE!D23</f>
        <v>Plată dividend net Popescu — AGA 12 / 2026-04-20, exercițiul 2025</v>
      </c>
      <c r="H13" s="43" t="inlineStr">
        <is>
          <t>Ordin de plată</t>
        </is>
      </c>
      <c r="I13" s="43" t="str">
        <f>IF(AND(ISNUMBER(F13),ABS(F13)&gt;0),"DA","NU")</f>
        <v>DA</v>
      </c>
    </row>
    <row r="14">
      <c r="A14" s="43" t="n">
        <v>10</v>
      </c>
      <c r="B14" s="43" t="inlineStr">
        <is>
          <t>B2 Plată net asociat 3</t>
        </is>
      </c>
      <c r="C14" s="43" t="str">
        <f>Declarații_DIVIDENDE!B9</f>
        <v>2026-04-30</v>
      </c>
      <c r="D14" s="43" t="str">
        <f>Jurnale_DIVIDENDE!B24</f>
        <v>457.3</v>
      </c>
      <c r="E14" s="43" t="str">
        <f>Jurnale_DIVIDENDE!E24</f>
        <v>5121</v>
      </c>
      <c r="F14" s="43">
        <f>Jurnale_DIVIDENDE!C24</f>
        <v>8400</v>
      </c>
      <c r="G14" s="43" t="str">
        <f>Jurnale_DIVIDENDE!D24</f>
        <v>Plată dividend net Xulescu — AGA 12 / 2026-04-20, exercițiul 2025</v>
      </c>
      <c r="H14" s="43" t="inlineStr">
        <is>
          <t>Ordin de plată</t>
        </is>
      </c>
      <c r="I14" s="43" t="str">
        <f>IF(AND(ISNUMBER(F14),ABS(F14)&gt;0),"DA","NU")</f>
        <v>DA</v>
      </c>
    </row>
    <row r="15">
      <c r="A15" s="43" t="n">
        <v>11</v>
      </c>
      <c r="B15" s="43" t="inlineStr">
        <is>
          <t>C Interimare — repartizare</t>
        </is>
      </c>
      <c r="C15" s="43" t="str">
        <f>Declarații_DIVIDENDE!B9</f>
        <v>2026-04-30</v>
      </c>
      <c r="D15" s="43" t="str">
        <f>Jurnale_DIVIDENDE!B29</f>
        <v>463</v>
      </c>
      <c r="E15" s="43" t="str">
        <f>Jurnale_DIVIDENDE!E29</f>
        <v>456</v>
      </c>
      <c r="F15" s="43">
        <f>Jurnale_DIVIDENDE!C29</f>
        <v>80000</v>
      </c>
      <c r="G15" s="43" t="str">
        <f>Jurnale_DIVIDENDE!D29</f>
        <v>Dividende interimare repartizate — AGA 12 / 2026-04-20, exercițiul 2025</v>
      </c>
      <c r="H15" s="43" t="inlineStr">
        <is>
          <t>Hotărâre AGA + bilanț interimar</t>
        </is>
      </c>
      <c r="I15" s="43" t="str">
        <f>IF(AND(ISNUMBER(F15),ABS(F15)&gt;0),"DA","NU")</f>
        <v>DA</v>
      </c>
    </row>
    <row r="16">
      <c r="A16" s="43" t="n">
        <v>12</v>
      </c>
      <c r="B16" s="43" t="inlineStr">
        <is>
          <t>C Interimare — impozit</t>
        </is>
      </c>
      <c r="C16" s="43" t="str">
        <f>Declarații_DIVIDENDE!B9</f>
        <v>2026-04-30</v>
      </c>
      <c r="D16" s="43" t="str">
        <f>Jurnale_DIVIDENDE!B30</f>
        <v>456</v>
      </c>
      <c r="E16" s="43" t="str">
        <f>Jurnale_DIVIDENDE!E30</f>
        <v>446.dividende</v>
      </c>
      <c r="F16" s="43">
        <f>Jurnale_DIVIDENDE!C30</f>
        <v>12800</v>
      </c>
      <c r="G16" s="43" t="str">
        <f>Jurnale_DIVIDENDE!D30</f>
        <v>Impozit 16% pe dividende interimare — AGA 12 / 2026-04-20, exercițiul 2025</v>
      </c>
      <c r="H16" s="43" t="inlineStr">
        <is>
          <t>Notă contabilă</t>
        </is>
      </c>
      <c r="I16" s="43" t="str">
        <f>IF(AND(ISNUMBER(F16),ABS(F16)&gt;0),"DA","NU")</f>
        <v>DA</v>
      </c>
    </row>
    <row r="17">
      <c r="A17" s="43" t="n">
        <v>13</v>
      </c>
      <c r="B17" s="43" t="inlineStr">
        <is>
          <t>C Interimare — plată</t>
        </is>
      </c>
      <c r="C17" s="43" t="str">
        <f>Declarații_DIVIDENDE!B9</f>
        <v>2026-04-30</v>
      </c>
      <c r="D17" s="43" t="str">
        <f>Jurnale_DIVIDENDE!B31</f>
        <v>456</v>
      </c>
      <c r="E17" s="43" t="str">
        <f>Jurnale_DIVIDENDE!E31</f>
        <v>5121</v>
      </c>
      <c r="F17" s="43">
        <f>Jurnale_DIVIDENDE!C31</f>
        <v>67200</v>
      </c>
      <c r="G17" s="43" t="str">
        <f>Jurnale_DIVIDENDE!D31</f>
        <v>Plata dividendelor interimare — AGA 12 / 2026-04-20, exercițiul 2025</v>
      </c>
      <c r="H17" s="43" t="inlineStr">
        <is>
          <t>Ordin de plată</t>
        </is>
      </c>
      <c r="I17" s="43" t="str">
        <f>IF(AND(ISNUMBER(F17),ABS(F17)&gt;0),"DA","NU")</f>
        <v>DA</v>
      </c>
    </row>
    <row r="18">
      <c r="A18" s="43" t="n">
        <v>14</v>
      </c>
      <c r="B18" s="43" t="inlineStr">
        <is>
          <t>D Storno interimare</t>
        </is>
      </c>
      <c r="C18" s="43" t="str">
        <f>Declarații_DIVIDENDE!B9</f>
        <v>2026-04-30</v>
      </c>
      <c r="D18" s="43" t="str">
        <f>Jurnale_DIVIDENDE!B38</f>
        <v>463</v>
      </c>
      <c r="E18" s="43" t="str">
        <f>Jurnale_DIVIDENDE!E38</f>
        <v>456</v>
      </c>
      <c r="F18" s="43">
        <f>Jurnale_DIVIDENDE!C38</f>
        <v>-10000</v>
      </c>
      <c r="G18" s="43" t="str">
        <f>Jurnale_DIVIDENDE!D38</f>
        <v>Storno dividende interimare nerealizate — AGA 12 / 2026-04-20, exercițiul 2025</v>
      </c>
      <c r="H18" s="43" t="inlineStr">
        <is>
          <t>Notă contabilă 31.12</t>
        </is>
      </c>
      <c r="I18" s="43" t="str">
        <f>IF(AND(ISNUMBER(F18),ABS(F18)&gt;0),"DA","NU")</f>
        <v>DA</v>
      </c>
    </row>
    <row r="19">
      <c r="A19" s="43" t="n">
        <v>15</v>
      </c>
      <c r="B19" s="43" t="inlineStr">
        <is>
          <t>D Storno impozit</t>
        </is>
      </c>
      <c r="C19" s="43" t="str">
        <f>Declarații_DIVIDENDE!B9</f>
        <v>2026-04-30</v>
      </c>
      <c r="D19" s="43" t="str">
        <f>Jurnale_DIVIDENDE!B39</f>
        <v>456</v>
      </c>
      <c r="E19" s="43" t="str">
        <f>Jurnale_DIVIDENDE!E39</f>
        <v>446.dividende</v>
      </c>
      <c r="F19" s="43">
        <f>Jurnale_DIVIDENDE!C39</f>
        <v>-1600</v>
      </c>
      <c r="G19" s="43" t="str">
        <f>Jurnale_DIVIDENDE!D39</f>
        <v>Storno impozit pe partea nerealizată — AGA 12 / 2026-04-20, exercițiul 2025</v>
      </c>
      <c r="H19" s="43" t="inlineStr">
        <is>
          <t>Notă contabilă + D710</t>
        </is>
      </c>
      <c r="I19" s="43" t="str">
        <f>IF(AND(ISNUMBER(F19),ABS(F19)&gt;0),"DA","NU")</f>
        <v>DA</v>
      </c>
    </row>
    <row r="20">
      <c r="A20" s="43" t="n">
        <v>16</v>
      </c>
      <c r="B20" s="43" t="inlineStr">
        <is>
          <t>D Închidere anul următor</t>
        </is>
      </c>
      <c r="C20" s="43" t="str">
        <f>Declarații_DIVIDENDE!B9</f>
        <v>2026-04-30</v>
      </c>
      <c r="D20" s="43" t="str">
        <f>Jurnale_DIVIDENDE!B40</f>
        <v>463</v>
      </c>
      <c r="E20" s="43" t="str">
        <f>Jurnale_DIVIDENDE!E40</f>
        <v>463</v>
      </c>
      <c r="F20" s="43">
        <f>Jurnale_DIVIDENDE!C40</f>
        <v>0</v>
      </c>
      <c r="G20" s="43" t="str">
        <f>Jurnale_DIVIDENDE!D40</f>
        <v>"Anul următor, la AGA: 121 = 1171, apoi 1171 = 463 pe partea rămasă"</v>
      </c>
      <c r="H20" s="43" t="inlineStr">
        <is>
          <t>Hotărâre AGA anul următor</t>
        </is>
      </c>
      <c r="I20" s="43" t="str">
        <f>IF(AND(ISNUMBER(F20),ABS(F20)&gt;0),"DA","NU")</f>
        <v>NU</v>
      </c>
    </row>
    <row r="22">
      <c r="A22" s="43" t="inlineStr">
        <is>
          <t>Rânduri de importat</t>
        </is>
      </c>
      <c r="B22" s="43">
        <f>COUNTIF(I5:I20,"DA")</f>
        <v>15</v>
      </c>
    </row>
    <row r="23">
      <c r="A23" s="43" t="inlineStr">
        <is>
          <t>Check global</t>
        </is>
      </c>
      <c r="B23" s="43">
        <f>Jurnale_DIVIDENDE!B43</f>
        <v>0</v>
      </c>
      <c r="C23" s="43" t="str">
        <f>IF(ABS(B23)&lt;0.01,"OK","EROARE")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8" customWidth="1" style="40" min="2" max="2"/>
    <col width="18" customWidth="1" style="40" min="3" max="3"/>
    <col width="54" customWidth="1" style="40" min="4" max="4"/>
  </cols>
  <sheetData>
    <row r="1">
      <c r="A1" s="41" t="inlineStr">
        <is>
          <t>MOD_CONTROL_BALANTA — Declarații (input)</t>
        </is>
      </c>
    </row>
    <row r="2">
      <c r="A2" s="44" t="inlineStr">
        <is>
          <t>Cele două coloane se transcriu din DOUĂ rapoarte diferite ale aceleiași balanțe — analitică și sintetică. Dacă ar veni din același loc, sau dacă una s-ar calcula din cealaltă, verificarea ar fi verde întotdeauna.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verificată (AAAA-LL)</t>
        </is>
      </c>
      <c r="B7" s="64" t="inlineStr">
        <is>
          <t>2026-07</t>
        </is>
      </c>
    </row>
    <row r="8">
      <c r="A8" s="43" t="inlineStr">
        <is>
          <t>E prima lună după preluarea societății? (DA/NU)</t>
        </is>
      </c>
      <c r="B8" s="64" t="inlineStr">
        <is>
          <t>NU</t>
        </is>
      </c>
      <c r="C8" s="44" t="inlineStr">
        <is>
          <t>DA activează blocul V4 — continuitatea total-sumelor</t>
        </is>
      </c>
    </row>
    <row r="10">
      <c r="A10" s="42" t="inlineStr">
        <is>
          <t>2. Analitic ↔ sintetic — cele două coloane, din două rapoarte</t>
        </is>
      </c>
    </row>
    <row r="11">
      <c r="A11" s="65" t="inlineStr">
        <is>
          <t>Cont</t>
        </is>
      </c>
      <c r="B11" s="65" t="inlineStr">
        <is>
          <t>Σ analitice</t>
        </is>
      </c>
      <c r="C11" s="65" t="inlineStr">
        <is>
          <t>Sold sintetic</t>
        </is>
      </c>
      <c r="D11" s="65" t="inlineStr">
        <is>
          <t>Sursa externă de confruntat</t>
        </is>
      </c>
    </row>
    <row r="12">
      <c r="A12" s="43" t="inlineStr">
        <is>
          <t>512x — Conturi la bănci</t>
        </is>
      </c>
      <c r="B12" s="43" t="n">
        <v>145320.5</v>
      </c>
      <c r="C12" s="43" t="n">
        <v>145320.5</v>
      </c>
      <c r="D12" s="43" t="inlineStr">
        <is>
          <t>Extrasul de cont, pe fiecare bancă</t>
        </is>
      </c>
    </row>
    <row r="13">
      <c r="A13" s="43" t="inlineStr">
        <is>
          <t>4111 — Clienți</t>
        </is>
      </c>
      <c r="B13" s="43" t="n">
        <v>238400</v>
      </c>
      <c r="C13" s="43" t="n">
        <v>238400</v>
      </c>
      <c r="D13" s="43" t="inlineStr">
        <is>
          <t>Confirmarea de sold / fișa partenerului</t>
        </is>
      </c>
    </row>
    <row r="14">
      <c r="A14" s="43" t="inlineStr">
        <is>
          <t>401 — Furnizori</t>
        </is>
      </c>
      <c r="B14" s="43" t="n">
        <v>176250</v>
      </c>
      <c r="C14" s="43" t="n">
        <v>176250</v>
      </c>
      <c r="D14" s="43" t="inlineStr">
        <is>
          <t>Fișa partenerului</t>
        </is>
      </c>
    </row>
    <row r="15">
      <c r="A15" s="43" t="inlineStr">
        <is>
          <t>542 — Avansuri de trezorerie</t>
        </is>
      </c>
      <c r="B15" s="43" t="n">
        <v>5000</v>
      </c>
      <c r="C15" s="43" t="n">
        <v>5000</v>
      </c>
      <c r="D15" s="43" t="inlineStr">
        <is>
          <t>Deconturile semnate, pe fiecare salariat</t>
        </is>
      </c>
    </row>
    <row r="16">
      <c r="A16" s="43" t="inlineStr">
        <is>
          <t>21x / 28x — Imobilizări și amortizarea lor</t>
        </is>
      </c>
      <c r="B16" s="43" t="n">
        <v>412000</v>
      </c>
      <c r="C16" s="43" t="n">
        <v>412000</v>
      </c>
      <c r="D16" s="43" t="inlineStr">
        <is>
          <t>Registrul mijloacelor fixe (F-214)</t>
        </is>
      </c>
    </row>
    <row r="17">
      <c r="A17" s="43" t="inlineStr">
        <is>
          <t>446 — Alte impozite și taxe</t>
        </is>
      </c>
      <c r="B17" s="43" t="n">
        <v>12240</v>
      </c>
      <c r="C17" s="43" t="n">
        <v>12240</v>
      </c>
      <c r="D17" s="43" t="inlineStr">
        <is>
          <t>Fișa pe plătitor din SPV</t>
        </is>
      </c>
    </row>
    <row r="18">
      <c r="A18" s="43" t="inlineStr">
        <is>
          <t>455 — Sume datorate asociaților</t>
        </is>
      </c>
      <c r="B18" s="43" t="n">
        <v>20000</v>
      </c>
      <c r="C18" s="43" t="n">
        <v>20000</v>
      </c>
      <c r="D18" s="43" t="inlineStr">
        <is>
          <t>Contractele de creditare</t>
        </is>
      </c>
    </row>
    <row r="19">
      <c r="A19" s="43" t="inlineStr">
        <is>
          <t>1012 — Capital subscris vărsat</t>
        </is>
      </c>
      <c r="B19" s="43" t="n">
        <v>30000</v>
      </c>
      <c r="C19" s="43" t="n">
        <v>30000</v>
      </c>
      <c r="D19" s="43" t="inlineStr">
        <is>
          <t>Certificatul constatator ONRC</t>
        </is>
      </c>
    </row>
    <row r="21">
      <c r="A21" s="42" t="inlineStr">
        <is>
          <t>3. Închiderea claselor 6 și 7 în 121</t>
        </is>
      </c>
    </row>
    <row r="22">
      <c r="A22" s="43" t="inlineStr">
        <is>
          <t>Rulaj total clasa 6 (cheltuieli)</t>
        </is>
      </c>
      <c r="B22" s="64" t="n">
        <v>480000</v>
      </c>
    </row>
    <row r="23">
      <c r="A23" s="43" t="inlineStr">
        <is>
          <t>Rulaj total clasa 7 (venituri)</t>
        </is>
      </c>
      <c r="B23" s="64" t="n">
        <v>560000</v>
      </c>
    </row>
    <row r="24">
      <c r="A24" s="43" t="inlineStr">
        <is>
          <t>Sold 121 din balanță (creditor pozitiv)</t>
        </is>
      </c>
      <c r="B24" s="64" t="n">
        <v>80000</v>
      </c>
      <c r="C24" s="44" t="inlineStr">
        <is>
          <t>Se citește din balanță, nu se calculează din cele de mai sus</t>
        </is>
      </c>
    </row>
    <row r="26">
      <c r="A26" s="42" t="inlineStr">
        <is>
          <t>4. Solduri, pentru verificarea semnului</t>
        </is>
      </c>
    </row>
    <row r="27">
      <c r="A27" s="44" t="inlineStr">
        <is>
          <t>Soldul se scrie CU SEMN: pozitiv = debitor, negativ = creditor. Natura contului vine din tabelul din Reguli, nu din semnul introdus.</t>
        </is>
      </c>
    </row>
    <row r="28">
      <c r="A28" s="65" t="inlineStr">
        <is>
          <t>Cont</t>
        </is>
      </c>
      <c r="B28" s="65" t="inlineStr">
        <is>
          <t>Sold cu semn</t>
        </is>
      </c>
      <c r="C28" s="65" t="inlineStr"/>
      <c r="D28" s="65" t="inlineStr"/>
    </row>
    <row r="29">
      <c r="A29" s="43" t="inlineStr">
        <is>
          <t>4111</t>
        </is>
      </c>
      <c r="B29" s="43" t="n">
        <v>238400</v>
      </c>
      <c r="C29" s="43" t="inlineStr"/>
      <c r="D29" s="43" t="inlineStr"/>
    </row>
    <row r="30">
      <c r="A30" s="43" t="inlineStr">
        <is>
          <t>401</t>
        </is>
      </c>
      <c r="B30" s="43" t="n">
        <v>-176250</v>
      </c>
      <c r="C30" s="43" t="inlineStr"/>
      <c r="D30" s="43" t="inlineStr"/>
    </row>
    <row r="31">
      <c r="A31" s="43" t="inlineStr">
        <is>
          <t>409</t>
        </is>
      </c>
      <c r="B31" s="43" t="n">
        <v>8500</v>
      </c>
      <c r="C31" s="43" t="inlineStr"/>
      <c r="D31" s="43" t="inlineStr"/>
    </row>
    <row r="32">
      <c r="A32" s="43" t="inlineStr">
        <is>
          <t>419</t>
        </is>
      </c>
      <c r="B32" s="43" t="n">
        <v>-12100</v>
      </c>
      <c r="C32" s="43" t="inlineStr"/>
      <c r="D32" s="43" t="inlineStr"/>
    </row>
    <row r="33">
      <c r="A33" s="43" t="inlineStr">
        <is>
          <t>4551</t>
        </is>
      </c>
      <c r="B33" s="43" t="n">
        <v>-20000</v>
      </c>
      <c r="C33" s="43" t="inlineStr"/>
      <c r="D33" s="43" t="inlineStr"/>
    </row>
    <row r="34">
      <c r="A34" s="43" t="inlineStr">
        <is>
          <t>5191</t>
        </is>
      </c>
      <c r="B34" s="43" t="n">
        <v>-1000</v>
      </c>
      <c r="C34" s="43" t="inlineStr"/>
      <c r="D34" s="43" t="inlineStr"/>
    </row>
    <row r="35">
      <c r="A35" s="43" t="inlineStr">
        <is>
          <t>444</t>
        </is>
      </c>
      <c r="B35" s="43" t="n">
        <v>-3250</v>
      </c>
      <c r="C35" s="43" t="inlineStr"/>
      <c r="D35" s="43" t="inlineStr"/>
    </row>
    <row r="36">
      <c r="A36" s="43" t="inlineStr">
        <is>
          <t>4282</t>
        </is>
      </c>
      <c r="B36" s="43" t="n">
        <v>1200</v>
      </c>
      <c r="C36" s="43" t="inlineStr"/>
      <c r="D36" s="43" t="inlineStr"/>
    </row>
    <row r="38">
      <c r="A38" s="42" t="inlineStr">
        <is>
          <t>5. Continuitatea total-sumelor (doar la preluare)</t>
        </is>
      </c>
    </row>
    <row r="39">
      <c r="A39" s="43" t="inlineStr">
        <is>
          <t>Total sume DEBITOARE, balanța lunii anterioare</t>
        </is>
      </c>
      <c r="B39" s="64" t="n">
        <v>2450000</v>
      </c>
    </row>
    <row r="40">
      <c r="A40" s="43" t="inlineStr">
        <is>
          <t>Total sume CREDITOARE, balanța lunii anterioare</t>
        </is>
      </c>
      <c r="B40" s="64" t="n">
        <v>2450000</v>
      </c>
    </row>
    <row r="41">
      <c r="A41" s="43" t="inlineStr">
        <is>
          <t>Total sume DEBITOARE, luna curentă</t>
        </is>
      </c>
      <c r="B41" s="64" t="n">
        <v>2780000</v>
      </c>
    </row>
    <row r="42">
      <c r="A42" s="43" t="inlineStr">
        <is>
          <t>Total sume CREDITOARE, luna curentă</t>
        </is>
      </c>
      <c r="B42" s="64" t="n">
        <v>2780000</v>
      </c>
    </row>
    <row r="44">
      <c r="A44" s="42" t="inlineStr">
        <is>
          <t>6. Control</t>
        </is>
      </c>
    </row>
    <row r="45">
      <c r="A45" s="43" t="inlineStr">
        <is>
          <t>Modul activ?</t>
        </is>
      </c>
      <c r="B45" s="43" t="str">
        <f>IF(INDEX(CatalogModule!$A$1:$A$200,MATCH("MOD_CONTROL_BALANTA",CatalogModule!$B$1:$B$200,0))="DA","ACTIV","INACTIV")</f>
        <v>ACTIV</v>
      </c>
    </row>
    <row r="46">
      <c r="A46" s="43" t="inlineStr">
        <is>
          <t>Cauza cea mai frecventă a diferenței analitic ↔ sintetic</t>
        </is>
      </c>
      <c r="B46" s="43" t="inlineStr">
        <is>
          <t>O operațiune făcută DUPĂ închiderea de lună, fără refacerea închiderii. Programul te lasă, iar diferența nu se anunță singură.</t>
        </is>
      </c>
    </row>
    <row r="47">
      <c r="A47" s="43" t="inlineStr">
        <is>
          <t>Ordinea de verificare</t>
        </is>
      </c>
      <c r="B47" s="43" t="inlineStr">
        <is>
          <t>Tabelul A din Reguli e ordonat după cât de mult strică eroarea, nu după simbolul contului — cum a cerut formatorul la finalul ședinței.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30" customWidth="1" style="40" min="2" max="2"/>
    <col width="52" customWidth="1" style="40" min="3" max="3"/>
    <col width="40" customWidth="1" style="40" min="4" max="4"/>
  </cols>
  <sheetData>
    <row r="1">
      <c r="A1" s="41" t="inlineStr">
        <is>
          <t>MOD_CONTROL_BALANTA — Reguli (tabele fixe)</t>
        </is>
      </c>
    </row>
    <row r="2">
      <c r="A2" s="44" t="inlineStr">
        <is>
          <t>Ce e regulă dată, nu formulă: ordinea de verificare, naturile conturilor și limitele modulului.</t>
        </is>
      </c>
    </row>
    <row r="4">
      <c r="A4" s="42" t="inlineStr">
        <is>
          <t>Tabelul A — Ordinea de verificare</t>
        </is>
      </c>
    </row>
    <row r="5">
      <c r="A5" s="44" t="inlineStr">
        <is>
          <t>Ordonat după cât de mult strică eroarea, nu după simbolul contului. Formatorul a cerut explicit „conturile cele mai comune, cele mai esențiale, în ce ordine”.</t>
        </is>
      </c>
    </row>
    <row r="6">
      <c r="A6" s="65" t="inlineStr">
        <is>
          <t>Cont</t>
        </is>
      </c>
      <c r="B6" s="65" t="inlineStr">
        <is>
          <t>Denumire</t>
        </is>
      </c>
      <c r="C6" s="65" t="inlineStr">
        <is>
          <t>De ce are analitic obligatoriu</t>
        </is>
      </c>
      <c r="D6" s="65" t="inlineStr">
        <is>
          <t>Sursa externă</t>
        </is>
      </c>
    </row>
    <row r="7">
      <c r="A7" s="43" t="inlineStr">
        <is>
          <t>512x</t>
        </is>
      </c>
      <c r="B7" s="43" t="inlineStr">
        <is>
          <t>Conturi la bănci</t>
        </is>
      </c>
      <c r="C7" s="43" t="inlineStr">
        <is>
          <t>Extrasul e o sursă externă, independentă de contabilitate — deci diferența se localizează, nu se presupune</t>
        </is>
      </c>
      <c r="D7" s="43" t="inlineStr">
        <is>
          <t>Extrasul de cont, pe fiecare bancă</t>
        </is>
      </c>
    </row>
    <row r="8">
      <c r="A8" s="43" t="inlineStr">
        <is>
          <t>4111</t>
        </is>
      </c>
      <c r="B8" s="43" t="inlineStr">
        <is>
          <t>Clienți</t>
        </is>
      </c>
      <c r="C8" s="43" t="inlineStr">
        <is>
          <t>Fișa clientului e documentul pe care îl vede și partenerul; o denaturezi o dată și se propagă în toate confirmările de sold</t>
        </is>
      </c>
      <c r="D8" s="43" t="inlineStr">
        <is>
          <t>Confirmarea de sold / fișa partenerului</t>
        </is>
      </c>
    </row>
    <row r="9">
      <c r="A9" s="43" t="inlineStr">
        <is>
          <t>401</t>
        </is>
      </c>
      <c r="B9" s="43" t="inlineStr">
        <is>
          <t>Furnizori</t>
        </is>
      </c>
      <c r="C9" s="43" t="inlineStr">
        <is>
          <t>Oglinda lui 4111. E și a doua căsuță verde din softul formatorului</t>
        </is>
      </c>
      <c r="D9" s="43" t="inlineStr">
        <is>
          <t>Fișa partenerului</t>
        </is>
      </c>
    </row>
    <row r="10">
      <c r="A10" s="43" t="inlineStr">
        <is>
          <t>542</t>
        </is>
      </c>
      <c r="B10" s="43" t="inlineStr">
        <is>
          <t>Avansuri de trezorerie</t>
        </is>
      </c>
      <c r="C10" s="43" t="inlineStr">
        <is>
          <t>Soldul merge în ambele sensuri pe persoane diferite; pe sintetic se anulează și arată aproape zero — corect ca sumă, fals pe fiecare om</t>
        </is>
      </c>
      <c r="D10" s="43" t="inlineStr">
        <is>
          <t>Deconturile semnate, pe fiecare salariat</t>
        </is>
      </c>
    </row>
    <row r="11">
      <c r="A11" s="43" t="inlineStr">
        <is>
          <t>21x / 28x</t>
        </is>
      </c>
      <c r="B11" s="43" t="inlineStr">
        <is>
          <t>Imobilizări și amortizarea lor</t>
        </is>
      </c>
      <c r="C11" s="43" t="inlineStr">
        <is>
          <t>Prima verificare cerută de formator pentru aplicație. Registrul mijloacelor fixe e sursa externă</t>
        </is>
      </c>
      <c r="D11" s="43" t="inlineStr">
        <is>
          <t>Registrul mijloacelor fixe (F-214)</t>
        </is>
      </c>
    </row>
    <row r="12">
      <c r="A12" s="43" t="inlineStr">
        <is>
          <t>446</t>
        </is>
      </c>
      <c r="B12" s="43" t="inlineStr">
        <is>
          <t>Alte impozite și taxe</t>
        </is>
      </c>
      <c r="C12" s="43" t="inlineStr">
        <is>
          <t>Se ține pe analitic DE LA BUN ÎNCEPUT — a doua taxă apare întotdeauna, iar despărțirea retroactivă e mult mai scumpă decât analiticul făcut din prima</t>
        </is>
      </c>
      <c r="D12" s="43" t="inlineStr">
        <is>
          <t>Fișa pe plătitor din SPV</t>
        </is>
      </c>
    </row>
    <row r="13">
      <c r="A13" s="43" t="inlineStr">
        <is>
          <t>455</t>
        </is>
      </c>
      <c r="B13" s="43" t="inlineStr">
        <is>
          <t>Sume datorate asociaților</t>
        </is>
      </c>
      <c r="C13" s="43" t="inlineStr">
        <is>
          <t>Fără analitic, compensarea între doi asociați se ascunde într-un sold total care arată curat (C-30)</t>
        </is>
      </c>
      <c r="D13" s="43" t="inlineStr">
        <is>
          <t>Contractele de creditare</t>
        </is>
      </c>
    </row>
    <row r="14">
      <c r="A14" s="43" t="inlineStr">
        <is>
          <t>1012</t>
        </is>
      </c>
      <c r="B14" s="43" t="inlineStr">
        <is>
          <t>Capital subscris vărsat</t>
        </is>
      </c>
      <c r="C14" s="43" t="inlineStr">
        <is>
          <t>Cotele trebuie să se citească din balanță în ziua în care vine hotărârea AGA (C-31)</t>
        </is>
      </c>
      <c r="D14" s="43" t="inlineStr">
        <is>
          <t>Certificatul constatator ONRC</t>
        </is>
      </c>
    </row>
    <row r="16">
      <c r="A16" s="42" t="inlineStr">
        <is>
          <t>Tabelul B — Naturile conturilor verificate</t>
        </is>
      </c>
    </row>
    <row r="17">
      <c r="A17" s="44" t="inlineStr">
        <is>
          <t>Natura vine de aici, nu din soldul introdus. Un cont de activ cu sold creditor nu e o curiozitate de balanță — e o eroare care încă n-a fost căutată (C-23).</t>
        </is>
      </c>
    </row>
    <row r="18">
      <c r="A18" s="65" t="inlineStr">
        <is>
          <t>Cont</t>
        </is>
      </c>
      <c r="B18" s="65" t="inlineStr">
        <is>
          <t>Natura</t>
        </is>
      </c>
      <c r="C18" s="65" t="inlineStr">
        <is>
          <t>Sensul normal al soldului</t>
        </is>
      </c>
      <c r="D18" s="65" t="inlineStr"/>
    </row>
    <row r="19">
      <c r="A19" s="43" t="inlineStr">
        <is>
          <t>4111</t>
        </is>
      </c>
      <c r="B19" s="43" t="inlineStr">
        <is>
          <t>Activ</t>
        </is>
      </c>
      <c r="C19" s="43" t="inlineStr">
        <is>
          <t>Debitor</t>
        </is>
      </c>
      <c r="D19" s="43" t="inlineStr"/>
    </row>
    <row r="20">
      <c r="A20" s="43" t="inlineStr">
        <is>
          <t>401</t>
        </is>
      </c>
      <c r="B20" s="43" t="inlineStr">
        <is>
          <t>Pasiv</t>
        </is>
      </c>
      <c r="C20" s="43" t="inlineStr">
        <is>
          <t>Creditor</t>
        </is>
      </c>
      <c r="D20" s="43" t="inlineStr"/>
    </row>
    <row r="21">
      <c r="A21" s="43" t="inlineStr">
        <is>
          <t>409</t>
        </is>
      </c>
      <c r="B21" s="43" t="inlineStr">
        <is>
          <t>Activ</t>
        </is>
      </c>
      <c r="C21" s="43" t="inlineStr">
        <is>
          <t>Debitor</t>
        </is>
      </c>
      <c r="D21" s="43" t="inlineStr"/>
    </row>
    <row r="22">
      <c r="A22" s="43" t="inlineStr">
        <is>
          <t>419</t>
        </is>
      </c>
      <c r="B22" s="43" t="inlineStr">
        <is>
          <t>Pasiv</t>
        </is>
      </c>
      <c r="C22" s="43" t="inlineStr">
        <is>
          <t>Creditor</t>
        </is>
      </c>
      <c r="D22" s="43" t="inlineStr"/>
    </row>
    <row r="23">
      <c r="A23" s="43" t="inlineStr">
        <is>
          <t>4551</t>
        </is>
      </c>
      <c r="B23" s="43" t="inlineStr">
        <is>
          <t>Pasiv</t>
        </is>
      </c>
      <c r="C23" s="43" t="inlineStr">
        <is>
          <t>Creditor</t>
        </is>
      </c>
      <c r="D23" s="43" t="inlineStr"/>
    </row>
    <row r="24">
      <c r="A24" s="43" t="inlineStr">
        <is>
          <t>5191</t>
        </is>
      </c>
      <c r="B24" s="43" t="inlineStr">
        <is>
          <t>Pasiv</t>
        </is>
      </c>
      <c r="C24" s="43" t="inlineStr">
        <is>
          <t>Creditor</t>
        </is>
      </c>
      <c r="D24" s="43" t="inlineStr"/>
    </row>
    <row r="25">
      <c r="A25" s="43" t="inlineStr">
        <is>
          <t>444</t>
        </is>
      </c>
      <c r="B25" s="43" t="inlineStr">
        <is>
          <t>Pasiv</t>
        </is>
      </c>
      <c r="C25" s="43" t="inlineStr">
        <is>
          <t>Creditor</t>
        </is>
      </c>
      <c r="D25" s="43" t="inlineStr"/>
    </row>
    <row r="26">
      <c r="A26" s="43" t="inlineStr">
        <is>
          <t>4282</t>
        </is>
      </c>
      <c r="B26" s="43" t="inlineStr">
        <is>
          <t>Activ</t>
        </is>
      </c>
      <c r="C26" s="43" t="inlineStr">
        <is>
          <t>Debitor</t>
        </is>
      </c>
      <c r="D26" s="43" t="inlineStr"/>
    </row>
    <row r="28">
      <c r="A28" s="42" t="inlineStr">
        <is>
          <t>Tabelul C — LIMITĂRI DECLARATE</t>
        </is>
      </c>
    </row>
    <row r="29">
      <c r="A29" s="44" t="inlineStr">
        <is>
          <t>• Modulul verifică CE I SE DĂ, nu balanța însăși. Dacă ambele coloane sunt transcrise greșit în același fel, iese verde — e verificare de coerență, nu de exactitate.</t>
        </is>
      </c>
    </row>
    <row r="30">
      <c r="A30" s="44" t="inlineStr">
        <is>
          <t>• Lista conturilor cu analitic obligatoriu e o convenție de cabinet, nu o regulă legală. Se completează pe măsură ce apar conturi noi cu analitic.</t>
        </is>
      </c>
    </row>
    <row r="31">
      <c r="A31" s="44" t="inlineStr">
        <is>
          <t>• Cifrele se introduc; modulul nu citește balanța din fișier. Citirea automată e sarcina următoare — vezi tabelul D.</t>
        </is>
      </c>
    </row>
    <row r="32">
      <c r="A32" s="44" t="inlineStr">
        <is>
          <t>• Decontul de TVA (a treia căsuță a formatorului) NU e aici: e deja implementat în MOD_INCHIDERE_LUNARA, blocul V4, corelația C-29.</t>
        </is>
      </c>
    </row>
    <row r="33">
      <c r="A33" s="44" t="inlineStr">
        <is>
          <t>• V4 se rulează doar la preluare. În restul lunilor continuitatea e dată de faptul că lucrezi în același fișier.</t>
        </is>
      </c>
    </row>
    <row r="35">
      <c r="A35" s="42" t="inlineStr">
        <is>
          <t>Tabelul D — Ce rămâne de automatizat</t>
        </is>
      </c>
    </row>
    <row r="36">
      <c r="A36" s="65" t="inlineStr">
        <is>
          <t>Pasul</t>
        </is>
      </c>
      <c r="B36" s="65" t="inlineStr">
        <is>
          <t>Ce ar face</t>
        </is>
      </c>
      <c r="C36" s="65" t="inlineStr">
        <is>
          <t>De ce nu e făcut încă</t>
        </is>
      </c>
      <c r="D36" s="65" t="inlineStr"/>
    </row>
    <row r="37">
      <c r="A37" s="43" t="inlineStr">
        <is>
          <t>Citirea balanței</t>
        </is>
      </c>
      <c r="B37" s="43" t="inlineStr">
        <is>
          <t>Preluarea cifrelor direct din fișierul de balanță</t>
        </is>
      </c>
      <c r="C37" s="43" t="inlineStr">
        <is>
          <t>Formatul diferă de la un program la altul; cere o hartă pe fiecare</t>
        </is>
      </c>
      <c r="D37" s="43" t="inlineStr"/>
    </row>
    <row r="38">
      <c r="A38" s="43" t="inlineStr">
        <is>
          <t>Detectarea analiticelor</t>
        </is>
      </c>
      <c r="B38" s="43" t="inlineStr">
        <is>
          <t>Recunoașterea automată a conturilor cu analitic</t>
        </is>
      </c>
      <c r="C38" s="43" t="inlineStr">
        <is>
          <t>Cere convenția de denumire a analiticelor, care nu e uniformă</t>
        </is>
      </c>
      <c r="D38" s="43" t="inlineStr"/>
    </row>
    <row r="39">
      <c r="A39" s="43" t="inlineStr">
        <is>
          <t>Localizarea diferenței</t>
        </is>
      </c>
      <c r="B39" s="43" t="inlineStr">
        <is>
          <t>Nu doar CĂ diferă, ci pe ce analitic</t>
        </is>
      </c>
      <c r="C39" s="43" t="inlineStr">
        <is>
          <t>Cere balanța analitică rând cu rând, nu doar totalul</t>
        </is>
      </c>
      <c r="D39" s="43" t="inlineStr"/>
    </row>
    <row r="41">
      <c r="A41" s="42" t="inlineStr">
        <is>
          <t>Temei legal</t>
        </is>
      </c>
    </row>
    <row r="42">
      <c r="A42" s="65" t="inlineStr">
        <is>
          <t>Ce se sprijină pe el</t>
        </is>
      </c>
      <c r="B42" s="65" t="inlineStr">
        <is>
          <t>Temei</t>
        </is>
      </c>
    </row>
    <row r="43">
      <c r="A43" s="43" t="inlineStr">
        <is>
          <t>Contabilitatea analitică se ține obligatoriu, în dezvoltarea celei sintetice</t>
        </is>
      </c>
      <c r="B43" s="43" t="inlineStr">
        <is>
          <t>Legea contabilității 82/1991, art. 2 alin. (1)</t>
        </is>
      </c>
    </row>
    <row r="44">
      <c r="A44" s="43" t="inlineStr">
        <is>
          <t>Balanța de verificare are rolul de a controla exactitatea înregistrărilor și concordanța dintre contabilitatea sintetică și cea analitică</t>
        </is>
      </c>
      <c r="B44" s="43" t="inlineStr">
        <is>
          <t>Legea 82/1991, art. 22 — chiar rostul declarat al balanței</t>
        </is>
      </c>
    </row>
    <row r="45">
      <c r="A45" s="43" t="inlineStr">
        <is>
          <t>Registrele obligatorii: registrul-jurnal, registrul-inventar și Cartea mare</t>
        </is>
      </c>
      <c r="B45" s="43" t="inlineStr">
        <is>
          <t>Legea 82/1991, art. 20</t>
        </is>
      </c>
    </row>
    <row r="46">
      <c r="A46" s="43" t="inlineStr">
        <is>
          <t>Situațiile financiare se întocmesc pe baza balanței de verificare</t>
        </is>
      </c>
      <c r="B46" s="43" t="inlineStr">
        <is>
          <t>OMFP 1802/2014, pct. 26 și 583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0" customWidth="1" style="40" min="2" max="2"/>
    <col width="18" customWidth="1" style="40" min="3" max="3"/>
    <col width="18" customWidth="1" style="40" min="4" max="4"/>
    <col width="16" customWidth="1" style="40" min="5" max="5"/>
    <col width="56" customWidth="1" style="40" min="6" max="6"/>
  </cols>
  <sheetData>
    <row r="1">
      <c r="A1" s="41" t="inlineStr">
        <is>
          <t>MOD_CONTROL_BALANTA — Verificări</t>
        </is>
      </c>
    </row>
    <row r="2">
      <c r="A2" s="44" t="inlineStr">
        <is>
          <t>O linie pe verificare. Coloana „Diferență” e ce contează: zero înseamnă că cele două surse spun același lucru.</t>
        </is>
      </c>
    </row>
    <row r="4">
      <c r="A4" s="42" t="inlineStr">
        <is>
          <t>V1 — analitic ↔ sintetic, în ordinea de verificare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Σ analitice</t>
        </is>
      </c>
      <c r="D5" s="65" t="inlineStr">
        <is>
          <t>Sold sintetic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C-37</t>
        </is>
      </c>
      <c r="B6" s="43" t="inlineStr">
        <is>
          <t>512x — Conturi la bănci</t>
        </is>
      </c>
      <c r="C6" s="43">
        <f>Declarații_CONTROL_BALANTA!B12</f>
        <v>145320.5</v>
      </c>
      <c r="D6" s="43">
        <f>Declarații_CONTROL_BALANTA!C12</f>
        <v>145320.5</v>
      </c>
      <c r="E6" s="43">
        <f>Declarații_CONTROL_BALANTA!B12-Declarații_CONTROL_BALANTA!C12</f>
        <v>0</v>
      </c>
      <c r="F6" s="43" t="str">
        <f>IF(ABS(E6)&lt;0.01,"OK","ATENȚIE — analiticul diferă de sintetic cu "&amp;TEXT(E6,"#,##0.00")&amp;" lei; cauza tipică: operațiune după închiderea de lună, fără refacerea ei")</f>
        <v>OK</v>
      </c>
    </row>
    <row r="7">
      <c r="A7" s="43" t="inlineStr">
        <is>
          <t>C-37</t>
        </is>
      </c>
      <c r="B7" s="43" t="inlineStr">
        <is>
          <t>4111 — Clienți</t>
        </is>
      </c>
      <c r="C7" s="43">
        <f>Declarații_CONTROL_BALANTA!B13</f>
        <v>238400</v>
      </c>
      <c r="D7" s="43">
        <f>Declarații_CONTROL_BALANTA!C13</f>
        <v>238400</v>
      </c>
      <c r="E7" s="43">
        <f>Declarații_CONTROL_BALANTA!B13-Declarații_CONTROL_BALANTA!C13</f>
        <v>0</v>
      </c>
      <c r="F7" s="43" t="str">
        <f>IF(ABS(E7)&lt;0.01,"OK","ATENȚIE — analiticul diferă de sintetic cu "&amp;TEXT(E7,"#,##0.00")&amp;" lei; cauza tipică: operațiune după închiderea de lună, fără refacerea ei")</f>
        <v>OK</v>
      </c>
    </row>
    <row r="8">
      <c r="A8" s="43" t="inlineStr">
        <is>
          <t>C-37</t>
        </is>
      </c>
      <c r="B8" s="43" t="inlineStr">
        <is>
          <t>401 — Furnizori</t>
        </is>
      </c>
      <c r="C8" s="43">
        <f>Declarații_CONTROL_BALANTA!B14</f>
        <v>176250</v>
      </c>
      <c r="D8" s="43">
        <f>Declarații_CONTROL_BALANTA!C14</f>
        <v>176250</v>
      </c>
      <c r="E8" s="43">
        <f>Declarații_CONTROL_BALANTA!B14-Declarații_CONTROL_BALANTA!C14</f>
        <v>0</v>
      </c>
      <c r="F8" s="43" t="str">
        <f>IF(ABS(E8)&lt;0.01,"OK","ATENȚIE — analiticul diferă de sintetic cu "&amp;TEXT(E8,"#,##0.00")&amp;" lei; cauza tipică: operațiune după închiderea de lună, fără refacerea ei")</f>
        <v>OK</v>
      </c>
    </row>
    <row r="9">
      <c r="A9" s="43" t="inlineStr">
        <is>
          <t>C-37</t>
        </is>
      </c>
      <c r="B9" s="43" t="inlineStr">
        <is>
          <t>542 — Avansuri de trezorerie</t>
        </is>
      </c>
      <c r="C9" s="43">
        <f>Declarații_CONTROL_BALANTA!B15</f>
        <v>5000</v>
      </c>
      <c r="D9" s="43">
        <f>Declarații_CONTROL_BALANTA!C15</f>
        <v>5000</v>
      </c>
      <c r="E9" s="43">
        <f>Declarații_CONTROL_BALANTA!B15-Declarații_CONTROL_BALANTA!C15</f>
        <v>0</v>
      </c>
      <c r="F9" s="43" t="str">
        <f>IF(ABS(E9)&lt;0.01,"OK","ATENȚIE — analiticul diferă de sintetic cu "&amp;TEXT(E9,"#,##0.00")&amp;" lei; cauza tipică: operațiune după închiderea de lună, fără refacerea ei")</f>
        <v>OK</v>
      </c>
    </row>
    <row r="10">
      <c r="A10" s="43" t="inlineStr">
        <is>
          <t>C-37</t>
        </is>
      </c>
      <c r="B10" s="43" t="inlineStr">
        <is>
          <t>21x / 28x — Imobilizări și amortizarea lor</t>
        </is>
      </c>
      <c r="C10" s="43">
        <f>Declarații_CONTROL_BALANTA!B16</f>
        <v>412000</v>
      </c>
      <c r="D10" s="43">
        <f>Declarații_CONTROL_BALANTA!C16</f>
        <v>412000</v>
      </c>
      <c r="E10" s="43">
        <f>Declarații_CONTROL_BALANTA!B16-Declarații_CONTROL_BALANTA!C16</f>
        <v>0</v>
      </c>
      <c r="F10" s="43" t="str">
        <f>IF(ABS(E10)&lt;0.01,"OK","ATENȚIE — analiticul diferă de sintetic cu "&amp;TEXT(E10,"#,##0.00")&amp;" lei; cauza tipică: operațiune după închiderea de lună, fără refacerea ei")</f>
        <v>OK</v>
      </c>
    </row>
    <row r="11">
      <c r="A11" s="43" t="inlineStr">
        <is>
          <t>C-37</t>
        </is>
      </c>
      <c r="B11" s="43" t="inlineStr">
        <is>
          <t>446 — Alte impozite și taxe</t>
        </is>
      </c>
      <c r="C11" s="43">
        <f>Declarații_CONTROL_BALANTA!B17</f>
        <v>12240</v>
      </c>
      <c r="D11" s="43">
        <f>Declarații_CONTROL_BALANTA!C17</f>
        <v>12240</v>
      </c>
      <c r="E11" s="43">
        <f>Declarații_CONTROL_BALANTA!B17-Declarații_CONTROL_BALANTA!C17</f>
        <v>0</v>
      </c>
      <c r="F11" s="43" t="str">
        <f>IF(ABS(E11)&lt;0.01,"OK","ATENȚIE — analiticul diferă de sintetic cu "&amp;TEXT(E11,"#,##0.00")&amp;" lei; cauza tipică: operațiune după închiderea de lună, fără refacerea ei")</f>
        <v>OK</v>
      </c>
    </row>
    <row r="12">
      <c r="A12" s="43" t="inlineStr">
        <is>
          <t>C-37</t>
        </is>
      </c>
      <c r="B12" s="43" t="inlineStr">
        <is>
          <t>455 — Sume datorate asociaților</t>
        </is>
      </c>
      <c r="C12" s="43">
        <f>Declarații_CONTROL_BALANTA!B18</f>
        <v>20000</v>
      </c>
      <c r="D12" s="43">
        <f>Declarații_CONTROL_BALANTA!C18</f>
        <v>20000</v>
      </c>
      <c r="E12" s="43">
        <f>Declarații_CONTROL_BALANTA!B18-Declarații_CONTROL_BALANTA!C18</f>
        <v>0</v>
      </c>
      <c r="F12" s="43" t="str">
        <f>IF(ABS(E12)&lt;0.01,"OK","ATENȚIE — analiticul diferă de sintetic cu "&amp;TEXT(E12,"#,##0.00")&amp;" lei; cauza tipică: operațiune după închiderea de lună, fără refacerea ei")</f>
        <v>OK</v>
      </c>
    </row>
    <row r="13">
      <c r="A13" s="43" t="inlineStr">
        <is>
          <t>C-37</t>
        </is>
      </c>
      <c r="B13" s="43" t="inlineStr">
        <is>
          <t>1012 — Capital subscris vărsat</t>
        </is>
      </c>
      <c r="C13" s="43">
        <f>Declarații_CONTROL_BALANTA!B19</f>
        <v>30000</v>
      </c>
      <c r="D13" s="43">
        <f>Declarații_CONTROL_BALANTA!C19</f>
        <v>30000</v>
      </c>
      <c r="E13" s="43">
        <f>Declarații_CONTROL_BALANTA!B19-Declarații_CONTROL_BALANTA!C19</f>
        <v>0</v>
      </c>
      <c r="F13" s="43" t="str">
        <f>IF(ABS(E13)&lt;0.01,"OK","ATENȚIE — analiticul diferă de sintetic cu "&amp;TEXT(E13,"#,##0.00")&amp;" lei; cauza tipică: operațiune după închiderea de lună, fără refacerea ei")</f>
        <v>OK</v>
      </c>
    </row>
    <row r="15">
      <c r="A15" s="42" t="inlineStr">
        <is>
          <t>V2 — 121 cu clasele 6 și 7</t>
        </is>
      </c>
    </row>
    <row r="16">
      <c r="A16" s="65" t="inlineStr">
        <is>
          <t>Cod</t>
        </is>
      </c>
      <c r="B16" s="65" t="inlineStr">
        <is>
          <t>Ce verifică</t>
        </is>
      </c>
      <c r="C16" s="65" t="inlineStr">
        <is>
          <t>Calculat</t>
        </is>
      </c>
      <c r="D16" s="65" t="inlineStr">
        <is>
          <t>Din balanță</t>
        </is>
      </c>
      <c r="E16" s="65" t="inlineStr">
        <is>
          <t>Diferență</t>
        </is>
      </c>
      <c r="F16" s="65" t="inlineStr">
        <is>
          <t>Verdict</t>
        </is>
      </c>
    </row>
    <row r="17">
      <c r="A17" s="43" t="inlineStr">
        <is>
          <t>—</t>
        </is>
      </c>
      <c r="B17" s="43" t="inlineStr">
        <is>
          <t>clasa 7 − clasa 6 = sold 121</t>
        </is>
      </c>
      <c r="C17" s="43">
        <f>Declarații_CONTROL_BALANTA!B23-Declarații_CONTROL_BALANTA!B22</f>
        <v>80000</v>
      </c>
      <c r="D17" s="43">
        <f>Declarații_CONTROL_BALANTA!B24</f>
        <v>80000</v>
      </c>
      <c r="E17" s="43">
        <f>Declarații_CONTROL_BALANTA!B24-(Declarații_CONTROL_BALANTA!B23-Declarații_CONTROL_BALANTA!B22)</f>
        <v>0</v>
      </c>
      <c r="F17" s="43" t="str">
        <f>IF(ABS(E17)&lt;0.01,"OK — 6 și 7 s-au închis complet în 121","ATENȚIE — cel mai probabil 121 din anul precedent n-a fost închis; se vede la bilanț, când cifrele nu se leagă")</f>
        <v>OK — 6 și 7 s-au închis complet în 121</v>
      </c>
    </row>
    <row r="19">
      <c r="A19" s="42" t="inlineStr">
        <is>
          <t>V3 — solduri cu semn contrar naturii contului</t>
        </is>
      </c>
    </row>
    <row r="20">
      <c r="A20" s="65" t="inlineStr">
        <is>
          <t>Cod</t>
        </is>
      </c>
      <c r="B20" s="65" t="inlineStr">
        <is>
          <t>Ce verifică</t>
        </is>
      </c>
      <c r="C20" s="65" t="inlineStr">
        <is>
          <t>Sold cu semn</t>
        </is>
      </c>
      <c r="D20" s="65" t="inlineStr">
        <is>
          <t>Sens normal</t>
        </is>
      </c>
      <c r="E20" s="65" t="inlineStr">
        <is>
          <t>Abatere</t>
        </is>
      </c>
      <c r="F20" s="65" t="inlineStr">
        <is>
          <t>Verdict</t>
        </is>
      </c>
    </row>
    <row r="21">
      <c r="A21" s="43" t="inlineStr">
        <is>
          <t>C-23</t>
        </is>
      </c>
      <c r="B21" s="43" t="inlineStr">
        <is>
          <t>4111 — Activ, sold normal debitor</t>
        </is>
      </c>
      <c r="C21" s="43">
        <f>Declarații_CONTROL_BALANTA!B29</f>
        <v>238400</v>
      </c>
      <c r="D21" s="43" t="inlineStr">
        <is>
          <t>Debitor</t>
        </is>
      </c>
      <c r="E21" s="43">
        <f>IF(Declarații_CONTROL_BALANTA!B29&lt;0,ABS(Declarații_CONTROL_BALANTA!B29),0)</f>
        <v>0</v>
      </c>
      <c r="F21" s="43" t="str">
        <f>IF(E21&lt;0.01,"OK","ATENȚIE — 4111 are sold contrar naturii: "&amp;TEXT(E21,"#,##0.00")&amp;" lei pe sensul greșit")</f>
        <v>OK</v>
      </c>
    </row>
    <row r="22">
      <c r="A22" s="43" t="inlineStr">
        <is>
          <t>C-23</t>
        </is>
      </c>
      <c r="B22" s="43" t="inlineStr">
        <is>
          <t>401 — Pasiv, sold normal creditor</t>
        </is>
      </c>
      <c r="C22" s="43">
        <f>Declarații_CONTROL_BALANTA!B30</f>
        <v>-176250</v>
      </c>
      <c r="D22" s="43" t="inlineStr">
        <is>
          <t>Creditor</t>
        </is>
      </c>
      <c r="E22" s="43">
        <f>IF(Declarații_CONTROL_BALANTA!B30&gt;0,ABS(Declarații_CONTROL_BALANTA!B30),0)</f>
        <v>0</v>
      </c>
      <c r="F22" s="43" t="str">
        <f>IF(E22&lt;0.01,"OK","ATENȚIE — 401 are sold contrar naturii: "&amp;TEXT(E22,"#,##0.00")&amp;" lei pe sensul greșit")</f>
        <v>OK</v>
      </c>
    </row>
    <row r="23">
      <c r="A23" s="43" t="inlineStr">
        <is>
          <t>C-23</t>
        </is>
      </c>
      <c r="B23" s="43" t="inlineStr">
        <is>
          <t>409 — Activ, sold normal debitor</t>
        </is>
      </c>
      <c r="C23" s="43">
        <f>Declarații_CONTROL_BALANTA!B31</f>
        <v>8500</v>
      </c>
      <c r="D23" s="43" t="inlineStr">
        <is>
          <t>Debitor</t>
        </is>
      </c>
      <c r="E23" s="43">
        <f>IF(Declarații_CONTROL_BALANTA!B31&lt;0,ABS(Declarații_CONTROL_BALANTA!B31),0)</f>
        <v>0</v>
      </c>
      <c r="F23" s="43" t="str">
        <f>IF(E23&lt;0.01,"OK","ATENȚIE — 409 are sold contrar naturii: "&amp;TEXT(E23,"#,##0.00")&amp;" lei pe sensul greșit")</f>
        <v>OK</v>
      </c>
    </row>
    <row r="24">
      <c r="A24" s="43" t="inlineStr">
        <is>
          <t>C-23</t>
        </is>
      </c>
      <c r="B24" s="43" t="inlineStr">
        <is>
          <t>419 — Pasiv, sold normal creditor</t>
        </is>
      </c>
      <c r="C24" s="43">
        <f>Declarații_CONTROL_BALANTA!B32</f>
        <v>-12100</v>
      </c>
      <c r="D24" s="43" t="inlineStr">
        <is>
          <t>Creditor</t>
        </is>
      </c>
      <c r="E24" s="43">
        <f>IF(Declarații_CONTROL_BALANTA!B32&gt;0,ABS(Declarații_CONTROL_BALANTA!B32),0)</f>
        <v>0</v>
      </c>
      <c r="F24" s="43" t="str">
        <f>IF(E24&lt;0.01,"OK","ATENȚIE — 419 are sold contrar naturii: "&amp;TEXT(E24,"#,##0.00")&amp;" lei pe sensul greșit")</f>
        <v>OK</v>
      </c>
    </row>
    <row r="25">
      <c r="A25" s="43" t="inlineStr">
        <is>
          <t>C-23</t>
        </is>
      </c>
      <c r="B25" s="43" t="inlineStr">
        <is>
          <t>4551 — Pasiv, sold normal creditor</t>
        </is>
      </c>
      <c r="C25" s="43">
        <f>Declarații_CONTROL_BALANTA!B33</f>
        <v>-20000</v>
      </c>
      <c r="D25" s="43" t="inlineStr">
        <is>
          <t>Creditor</t>
        </is>
      </c>
      <c r="E25" s="43">
        <f>IF(Declarații_CONTROL_BALANTA!B33&gt;0,ABS(Declarații_CONTROL_BALANTA!B33),0)</f>
        <v>0</v>
      </c>
      <c r="F25" s="43" t="str">
        <f>IF(E25&lt;0.01,"OK","ATENȚIE — 4551 are sold contrar naturii: "&amp;TEXT(E25,"#,##0.00")&amp;" lei pe sensul greșit")</f>
        <v>OK</v>
      </c>
    </row>
    <row r="26">
      <c r="A26" s="43" t="inlineStr">
        <is>
          <t>C-23</t>
        </is>
      </c>
      <c r="B26" s="43" t="inlineStr">
        <is>
          <t>5191 — Pasiv, sold normal creditor</t>
        </is>
      </c>
      <c r="C26" s="43">
        <f>Declarații_CONTROL_BALANTA!B34</f>
        <v>-1000</v>
      </c>
      <c r="D26" s="43" t="inlineStr">
        <is>
          <t>Creditor</t>
        </is>
      </c>
      <c r="E26" s="43">
        <f>IF(Declarații_CONTROL_BALANTA!B34&gt;0,ABS(Declarații_CONTROL_BALANTA!B34),0)</f>
        <v>0</v>
      </c>
      <c r="F26" s="43" t="str">
        <f>IF(E26&lt;0.01,"OK","ATENȚIE — 5191 are sold contrar naturii: "&amp;TEXT(E26,"#,##0.00")&amp;" lei pe sensul greșit")</f>
        <v>OK</v>
      </c>
    </row>
    <row r="27">
      <c r="A27" s="43" t="inlineStr">
        <is>
          <t>C-23</t>
        </is>
      </c>
      <c r="B27" s="43" t="inlineStr">
        <is>
          <t>444 — Pasiv, sold normal creditor</t>
        </is>
      </c>
      <c r="C27" s="43">
        <f>Declarații_CONTROL_BALANTA!B35</f>
        <v>-3250</v>
      </c>
      <c r="D27" s="43" t="inlineStr">
        <is>
          <t>Creditor</t>
        </is>
      </c>
      <c r="E27" s="43">
        <f>IF(Declarații_CONTROL_BALANTA!B35&gt;0,ABS(Declarații_CONTROL_BALANTA!B35),0)</f>
        <v>0</v>
      </c>
      <c r="F27" s="43" t="str">
        <f>IF(E27&lt;0.01,"OK","ATENȚIE — 444 are sold contrar naturii: "&amp;TEXT(E27,"#,##0.00")&amp;" lei pe sensul greșit")</f>
        <v>OK</v>
      </c>
    </row>
    <row r="28">
      <c r="A28" s="43" t="inlineStr">
        <is>
          <t>C-23</t>
        </is>
      </c>
      <c r="B28" s="43" t="inlineStr">
        <is>
          <t>4282 — Activ, sold normal debitor</t>
        </is>
      </c>
      <c r="C28" s="43">
        <f>Declarații_CONTROL_BALANTA!B36</f>
        <v>1200</v>
      </c>
      <c r="D28" s="43" t="inlineStr">
        <is>
          <t>Debitor</t>
        </is>
      </c>
      <c r="E28" s="43">
        <f>IF(Declarații_CONTROL_BALANTA!B36&lt;0,ABS(Declarații_CONTROL_BALANTA!B36),0)</f>
        <v>0</v>
      </c>
      <c r="F28" s="43" t="str">
        <f>IF(E28&lt;0.01,"OK","ATENȚIE — 4282 are sold contrar naturii: "&amp;TEXT(E28,"#,##0.00")&amp;" lei pe sensul greșit")</f>
        <v>OK</v>
      </c>
    </row>
    <row r="30">
      <c r="A30" s="42" t="inlineStr">
        <is>
          <t>V4 — continuitatea total-sumelor (la preluare)</t>
        </is>
      </c>
    </row>
    <row r="31">
      <c r="A31" s="65" t="inlineStr">
        <is>
          <t>Cod</t>
        </is>
      </c>
      <c r="B31" s="65" t="inlineStr">
        <is>
          <t>Ce verifică</t>
        </is>
      </c>
      <c r="C31" s="65" t="inlineStr">
        <is>
          <t>Luna anterioară</t>
        </is>
      </c>
      <c r="D31" s="65" t="inlineStr">
        <is>
          <t>Luna curentă</t>
        </is>
      </c>
      <c r="E31" s="65" t="inlineStr">
        <is>
          <t>Creștere</t>
        </is>
      </c>
      <c r="F31" s="65" t="inlineStr">
        <is>
          <t>Verdict</t>
        </is>
      </c>
    </row>
    <row r="32">
      <c r="A32" s="43" t="inlineStr">
        <is>
          <t>C-39</t>
        </is>
      </c>
      <c r="B32" s="43" t="inlineStr">
        <is>
          <t>total sume debitoare cresc monoton</t>
        </is>
      </c>
      <c r="C32" s="43">
        <f>Declarații_CONTROL_BALANTA!B39</f>
        <v>2450000</v>
      </c>
      <c r="D32" s="43">
        <f>Declarații_CONTROL_BALANTA!B41</f>
        <v>2780000</v>
      </c>
      <c r="E32" s="43">
        <f>IF(Declarații_CONTROL_BALANTA!B8&lt;&gt;"DA",0,MIN(0,Declarații_CONTROL_BALANTA!B41-Declarații_CONTROL_BALANTA!B39))</f>
        <v>0</v>
      </c>
      <c r="F32" s="43" t="str">
        <f>IF(Declarații_CONTROL_BALANTA!B8&lt;&gt;"DA","— (nu e lună de preluare)",IF(E32&gt;=0,"OK — total sumele au continuitate","ATENȚIE — total sumele au SCĂZUT: s-au preluat soldurile ca sold inițial, nu total sumele. Orice verificare pe rulaj devine falsă"))</f>
        <v>— (nu e lună de preluare)</v>
      </c>
    </row>
    <row r="33">
      <c r="A33" s="43" t="inlineStr">
        <is>
          <t>C-39</t>
        </is>
      </c>
      <c r="B33" s="43" t="inlineStr">
        <is>
          <t>total sume creditoare cresc monoton</t>
        </is>
      </c>
      <c r="C33" s="43">
        <f>Declarații_CONTROL_BALANTA!B40</f>
        <v>2450000</v>
      </c>
      <c r="D33" s="43">
        <f>Declarații_CONTROL_BALANTA!B42</f>
        <v>2780000</v>
      </c>
      <c r="E33" s="43">
        <f>IF(Declarații_CONTROL_BALANTA!B8&lt;&gt;"DA",0,MIN(0,Declarații_CONTROL_BALANTA!B42-Declarații_CONTROL_BALANTA!B40))</f>
        <v>0</v>
      </c>
      <c r="F33" s="43" t="str">
        <f>IF(Declarații_CONTROL_BALANTA!B8&lt;&gt;"DA","— (nu e lună de preluare)",IF(E33&gt;=0,"OK — total sumele au continuitate","ATENȚIE — total sumele au SCĂZUT: s-au preluat soldurile ca sold inițial, nu total sumele. Orice verificare pe rulaj devine falsă"))</f>
        <v>— (nu e lună de preluare)</v>
      </c>
    </row>
    <row r="35">
      <c r="A35" s="42" t="inlineStr">
        <is>
          <t>Control final</t>
        </is>
      </c>
    </row>
    <row r="36">
      <c r="A36" s="43" t="inlineStr">
        <is>
          <t>Check — toate verificările balanței</t>
        </is>
      </c>
      <c r="B36" s="43">
        <f>ABS(E6)+ABS(E7)+ABS(E8)+ABS(E9)+ABS(E10)+ABS(E11)+ABS(E12)+ABS(E13)+ABS(E17)+ABS(E21)+ABS(E22)+ABS(E23)+ABS(E24)+ABS(E25)+ABS(E26)+ABS(E27)+ABS(E28)+ABS(E32)+ABS(E33)</f>
        <v>0</v>
      </c>
      <c r="C36" s="43" t="str">
        <f>IF(ABS(B36)&lt;0.01,"OK — balanța e coerentă pe toate verificările","EROARE — vezi foaia Abateri")</f>
        <v>OK — balanța e coerentă pe toate verificările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4" customWidth="1" style="40" min="3" max="3"/>
    <col width="16" customWidth="1" style="40" min="4" max="4"/>
    <col width="60" customWidth="1" style="40" min="5" max="5"/>
  </cols>
  <sheetData>
    <row r="1">
      <c r="A1" s="41" t="inlineStr">
        <is>
          <t>MOD_CONTROL_BALANTA — Abateri</t>
        </is>
      </c>
    </row>
    <row r="2">
      <c r="A2" s="44" t="inlineStr">
        <is>
          <t>Coloana „Include” spune DA doar unde verificarea n-a trecut. Lista e completă: dacă toate sunt NU, balanța e coerentă.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IF(ABS(Verificări_CONTROL_BALANTA!E6)&lt;0.01,"NU","DA")</f>
        <v>NU</v>
      </c>
      <c r="B5" s="43" t="inlineStr">
        <is>
          <t>C-37</t>
        </is>
      </c>
      <c r="C5" s="43" t="inlineStr">
        <is>
          <t>512x analitic ↔ sintetic</t>
        </is>
      </c>
      <c r="D5" s="43">
        <f>Verificări_CONTROL_BALANTA!E6</f>
        <v>0</v>
      </c>
      <c r="E5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6">
      <c r="A6" s="43" t="str">
        <f>IF(ABS(Verificări_CONTROL_BALANTA!E7)&lt;0.01,"NU","DA")</f>
        <v>NU</v>
      </c>
      <c r="B6" s="43" t="inlineStr">
        <is>
          <t>C-37</t>
        </is>
      </c>
      <c r="C6" s="43" t="inlineStr">
        <is>
          <t>4111 analitic ↔ sintetic</t>
        </is>
      </c>
      <c r="D6" s="43">
        <f>Verificări_CONTROL_BALANTA!E7</f>
        <v>0</v>
      </c>
      <c r="E6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7">
      <c r="A7" s="43" t="str">
        <f>IF(ABS(Verificări_CONTROL_BALANTA!E8)&lt;0.01,"NU","DA")</f>
        <v>NU</v>
      </c>
      <c r="B7" s="43" t="inlineStr">
        <is>
          <t>C-37</t>
        </is>
      </c>
      <c r="C7" s="43" t="inlineStr">
        <is>
          <t>401 analitic ↔ sintetic</t>
        </is>
      </c>
      <c r="D7" s="43">
        <f>Verificări_CONTROL_BALANTA!E8</f>
        <v>0</v>
      </c>
      <c r="E7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8">
      <c r="A8" s="43" t="str">
        <f>IF(ABS(Verificări_CONTROL_BALANTA!E9)&lt;0.01,"NU","DA")</f>
        <v>NU</v>
      </c>
      <c r="B8" s="43" t="inlineStr">
        <is>
          <t>C-37</t>
        </is>
      </c>
      <c r="C8" s="43" t="inlineStr">
        <is>
          <t>542 analitic ↔ sintetic</t>
        </is>
      </c>
      <c r="D8" s="43">
        <f>Verificări_CONTROL_BALANTA!E9</f>
        <v>0</v>
      </c>
      <c r="E8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9">
      <c r="A9" s="43" t="str">
        <f>IF(ABS(Verificări_CONTROL_BALANTA!E10)&lt;0.01,"NU","DA")</f>
        <v>NU</v>
      </c>
      <c r="B9" s="43" t="inlineStr">
        <is>
          <t>C-37</t>
        </is>
      </c>
      <c r="C9" s="43" t="inlineStr">
        <is>
          <t>21x / 28x analitic ↔ sintetic</t>
        </is>
      </c>
      <c r="D9" s="43">
        <f>Verificări_CONTROL_BALANTA!E10</f>
        <v>0</v>
      </c>
      <c r="E9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0">
      <c r="A10" s="43" t="str">
        <f>IF(ABS(Verificări_CONTROL_BALANTA!E11)&lt;0.01,"NU","DA")</f>
        <v>NU</v>
      </c>
      <c r="B10" s="43" t="inlineStr">
        <is>
          <t>C-37</t>
        </is>
      </c>
      <c r="C10" s="43" t="inlineStr">
        <is>
          <t>446 analitic ↔ sintetic</t>
        </is>
      </c>
      <c r="D10" s="43">
        <f>Verificări_CONTROL_BALANTA!E11</f>
        <v>0</v>
      </c>
      <c r="E10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1">
      <c r="A11" s="43" t="str">
        <f>IF(ABS(Verificări_CONTROL_BALANTA!E12)&lt;0.01,"NU","DA")</f>
        <v>NU</v>
      </c>
      <c r="B11" s="43" t="inlineStr">
        <is>
          <t>C-37</t>
        </is>
      </c>
      <c r="C11" s="43" t="inlineStr">
        <is>
          <t>455 analitic ↔ sintetic</t>
        </is>
      </c>
      <c r="D11" s="43">
        <f>Verificări_CONTROL_BALANTA!E12</f>
        <v>0</v>
      </c>
      <c r="E11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2">
      <c r="A12" s="43" t="str">
        <f>IF(ABS(Verificări_CONTROL_BALANTA!E13)&lt;0.01,"NU","DA")</f>
        <v>NU</v>
      </c>
      <c r="B12" s="43" t="inlineStr">
        <is>
          <t>C-37</t>
        </is>
      </c>
      <c r="C12" s="43" t="inlineStr">
        <is>
          <t>1012 analitic ↔ sintetic</t>
        </is>
      </c>
      <c r="D12" s="43">
        <f>Verificări_CONTROL_BALANTA!E13</f>
        <v>0</v>
      </c>
      <c r="E12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3">
      <c r="A13" s="43" t="str">
        <f>IF(ABS(Verificări_CONTROL_BALANTA!E17)&lt;0.01,"NU","DA")</f>
        <v>NU</v>
      </c>
      <c r="B13" s="43" t="inlineStr">
        <is>
          <t>—</t>
        </is>
      </c>
      <c r="C13" s="43" t="inlineStr">
        <is>
          <t>121 vs. clasele 6 și 7</t>
        </is>
      </c>
      <c r="D13" s="43">
        <f>Verificări_CONTROL_BALANTA!E17</f>
        <v>0</v>
      </c>
      <c r="E13" s="43" t="inlineStr">
        <is>
          <t>Se verifică dacă 121 din anul precedent a fost închis. Nu există automatism ca la TVA: închiderea lui 121 se face manual, la începutul exercițiului următor.</t>
        </is>
      </c>
    </row>
    <row r="14">
      <c r="A14" s="43" t="str">
        <f>IF(ABS(Verificări_CONTROL_BALANTA!E21)&lt;0.01,"NU","DA")</f>
        <v>NU</v>
      </c>
      <c r="B14" s="43" t="inlineStr">
        <is>
          <t>C-23</t>
        </is>
      </c>
      <c r="C14" s="43" t="inlineStr">
        <is>
          <t>4111 sens sold</t>
        </is>
      </c>
      <c r="D14" s="43">
        <f>Verificări_CONTROL_BALANTA!E21</f>
        <v>0</v>
      </c>
      <c r="E14" s="43" t="inlineStr">
        <is>
          <t>Se caută operațiunea care a răsturnat soldul. Un cont de activ cu sold creditor e cel mai des un avans neînregistrat ca avans (vezi F-415).</t>
        </is>
      </c>
    </row>
    <row r="15">
      <c r="A15" s="43" t="str">
        <f>IF(ABS(Verificări_CONTROL_BALANTA!E22)&lt;0.01,"NU","DA")</f>
        <v>NU</v>
      </c>
      <c r="B15" s="43" t="inlineStr">
        <is>
          <t>C-23</t>
        </is>
      </c>
      <c r="C15" s="43" t="inlineStr">
        <is>
          <t>401 sens sold</t>
        </is>
      </c>
      <c r="D15" s="43">
        <f>Verificări_CONTROL_BALANTA!E22</f>
        <v>0</v>
      </c>
      <c r="E15" s="43" t="inlineStr">
        <is>
          <t>Se caută operațiunea care a răsturnat soldul. Un cont de activ cu sold creditor e cel mai des un avans neînregistrat ca avans (vezi F-415).</t>
        </is>
      </c>
    </row>
    <row r="16">
      <c r="A16" s="43" t="str">
        <f>IF(ABS(Verificări_CONTROL_BALANTA!E23)&lt;0.01,"NU","DA")</f>
        <v>NU</v>
      </c>
      <c r="B16" s="43" t="inlineStr">
        <is>
          <t>C-23</t>
        </is>
      </c>
      <c r="C16" s="43" t="inlineStr">
        <is>
          <t>409 sens sold</t>
        </is>
      </c>
      <c r="D16" s="43">
        <f>Verificări_CONTROL_BALANTA!E23</f>
        <v>0</v>
      </c>
      <c r="E16" s="43" t="inlineStr">
        <is>
          <t>Se caută operațiunea care a răsturnat soldul. Un cont de activ cu sold creditor e cel mai des un avans neînregistrat ca avans (vezi F-415).</t>
        </is>
      </c>
    </row>
    <row r="17">
      <c r="A17" s="43" t="str">
        <f>IF(ABS(Verificări_CONTROL_BALANTA!E24)&lt;0.01,"NU","DA")</f>
        <v>NU</v>
      </c>
      <c r="B17" s="43" t="inlineStr">
        <is>
          <t>C-23</t>
        </is>
      </c>
      <c r="C17" s="43" t="inlineStr">
        <is>
          <t>419 sens sold</t>
        </is>
      </c>
      <c r="D17" s="43">
        <f>Verificări_CONTROL_BALANTA!E24</f>
        <v>0</v>
      </c>
      <c r="E17" s="43" t="inlineStr">
        <is>
          <t>Se caută operațiunea care a răsturnat soldul. Un cont de activ cu sold creditor e cel mai des un avans neînregistrat ca avans (vezi F-415).</t>
        </is>
      </c>
    </row>
    <row r="18">
      <c r="A18" s="43" t="str">
        <f>IF(ABS(Verificări_CONTROL_BALANTA!E25)&lt;0.01,"NU","DA")</f>
        <v>NU</v>
      </c>
      <c r="B18" s="43" t="inlineStr">
        <is>
          <t>C-23</t>
        </is>
      </c>
      <c r="C18" s="43" t="inlineStr">
        <is>
          <t>4551 sens sold</t>
        </is>
      </c>
      <c r="D18" s="43">
        <f>Verificări_CONTROL_BALANTA!E25</f>
        <v>0</v>
      </c>
      <c r="E18" s="43" t="inlineStr">
        <is>
          <t>Se caută operațiunea care a răsturnat soldul. Un cont de activ cu sold creditor e cel mai des un avans neînregistrat ca avans (vezi F-415).</t>
        </is>
      </c>
    </row>
    <row r="19">
      <c r="A19" s="43" t="str">
        <f>IF(ABS(Verificări_CONTROL_BALANTA!E26)&lt;0.01,"NU","DA")</f>
        <v>NU</v>
      </c>
      <c r="B19" s="43" t="inlineStr">
        <is>
          <t>C-23</t>
        </is>
      </c>
      <c r="C19" s="43" t="inlineStr">
        <is>
          <t>5191 sens sold</t>
        </is>
      </c>
      <c r="D19" s="43">
        <f>Verificări_CONTROL_BALANTA!E26</f>
        <v>0</v>
      </c>
      <c r="E19" s="43" t="inlineStr">
        <is>
          <t>Se caută operațiunea care a răsturnat soldul. Un cont de activ cu sold creditor e cel mai des un avans neînregistrat ca avans (vezi F-415).</t>
        </is>
      </c>
    </row>
    <row r="20">
      <c r="A20" s="43" t="str">
        <f>IF(ABS(Verificări_CONTROL_BALANTA!E27)&lt;0.01,"NU","DA")</f>
        <v>NU</v>
      </c>
      <c r="B20" s="43" t="inlineStr">
        <is>
          <t>C-23</t>
        </is>
      </c>
      <c r="C20" s="43" t="inlineStr">
        <is>
          <t>444 sens sold</t>
        </is>
      </c>
      <c r="D20" s="43">
        <f>Verificări_CONTROL_BALANTA!E27</f>
        <v>0</v>
      </c>
      <c r="E20" s="43" t="inlineStr">
        <is>
          <t>Se caută operațiunea care a răsturnat soldul. Un cont de activ cu sold creditor e cel mai des un avans neînregistrat ca avans (vezi F-415).</t>
        </is>
      </c>
    </row>
    <row r="21">
      <c r="A21" s="43" t="str">
        <f>IF(ABS(Verificări_CONTROL_BALANTA!E28)&lt;0.01,"NU","DA")</f>
        <v>NU</v>
      </c>
      <c r="B21" s="43" t="inlineStr">
        <is>
          <t>C-23</t>
        </is>
      </c>
      <c r="C21" s="43" t="inlineStr">
        <is>
          <t>4282 sens sold</t>
        </is>
      </c>
      <c r="D21" s="43">
        <f>Verificări_CONTROL_BALANTA!E28</f>
        <v>0</v>
      </c>
      <c r="E21" s="43" t="inlineStr">
        <is>
          <t>Se caută operațiunea care a răsturnat soldul. Un cont de activ cu sold creditor e cel mai des un avans neînregistrat ca avans (vezi F-415).</t>
        </is>
      </c>
    </row>
    <row r="22">
      <c r="A22" s="43" t="str">
        <f>IF(ABS(Verificări_CONTROL_BALANTA!E32)&lt;0.01,"NU","DA")</f>
        <v>NU</v>
      </c>
      <c r="B22" s="43" t="inlineStr">
        <is>
          <t>C-39</t>
        </is>
      </c>
      <c r="C22" s="43" t="inlineStr">
        <is>
          <t>total sume debitoare</t>
        </is>
      </c>
      <c r="D22" s="43">
        <f>Verificări_CONTROL_BALANTA!E32</f>
        <v>0</v>
      </c>
      <c r="E22" s="43" t="inlineStr">
        <is>
          <t>Se reface preluarea: se introduc TOTAL SUMELE debitoare și creditoare din balanța de preluare, nu soldurile. Altfel rulajele anului pornesc de la zero din luna preluării.</t>
        </is>
      </c>
    </row>
    <row r="23">
      <c r="A23" s="43" t="str">
        <f>IF(ABS(Verificări_CONTROL_BALANTA!E33)&lt;0.01,"NU","DA")</f>
        <v>NU</v>
      </c>
      <c r="B23" s="43" t="inlineStr">
        <is>
          <t>C-39</t>
        </is>
      </c>
      <c r="C23" s="43" t="inlineStr">
        <is>
          <t>total sume creditoare</t>
        </is>
      </c>
      <c r="D23" s="43">
        <f>Verificări_CONTROL_BALANTA!E33</f>
        <v>0</v>
      </c>
      <c r="E23" s="43" t="inlineStr">
        <is>
          <t>Se reface preluarea: se introduc TOTAL SUMELE debitoare și creditoare din balanța de preluare, nu soldurile. Altfel rulajele anului pornesc de la zero din luna preluării.</t>
        </is>
      </c>
    </row>
    <row r="25">
      <c r="A25" s="43" t="inlineStr">
        <is>
          <t>Check — număr de abateri</t>
        </is>
      </c>
      <c r="B25" s="43">
        <f>COUNTIF(A5:A23,"DA")</f>
        <v>0</v>
      </c>
      <c r="C25" s="43" t="str">
        <f>IF(B25=0,"OK — nicio abatere","ATENȚIE — "&amp;B25&amp;" verificări nu trec")</f>
        <v>OK — nicio abatere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2026-08-28T10:56:08Z</dcterms:modified>
  <cp:revision>0</cp:revision>
</cp:coreProperties>
</file>