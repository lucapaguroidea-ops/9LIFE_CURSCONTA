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CONTROL_BALANTA" sheetId="93" state="visible" r:id="rId93"/>
    <sheet xmlns:r="http://schemas.openxmlformats.org/officeDocument/2006/relationships" name="Reguli_CONTROL_BALANTA" sheetId="94" state="visible" r:id="rId94"/>
    <sheet xmlns:r="http://schemas.openxmlformats.org/officeDocument/2006/relationships" name="Verificări_CONTROL_BALANTA" sheetId="95" state="visible" r:id="rId95"/>
    <sheet xmlns:r="http://schemas.openxmlformats.org/officeDocument/2006/relationships" name="Abateri_CONTROL_BALANTA" sheetId="96" state="visible" r:id="rId96"/>
    <sheet xmlns:r="http://schemas.openxmlformats.org/officeDocument/2006/relationships" name="Declarații_INCHIDERE_LUNARA" sheetId="97" state="visible" r:id="rId97"/>
    <sheet xmlns:r="http://schemas.openxmlformats.org/officeDocument/2006/relationships" name="Reguli_INCHIDERE_LUNARA" sheetId="98" state="visible" r:id="rId98"/>
    <sheet xmlns:r="http://schemas.openxmlformats.org/officeDocument/2006/relationships" name="Verificări_INCHIDERE_LUNARA" sheetId="99" state="visible" r:id="rId99"/>
    <sheet xmlns:r="http://schemas.openxmlformats.org/officeDocument/2006/relationships" name="Abateri_INCHIDERE_LUNARA" sheetId="100" state="visible" r:id="rId100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styles" Target="styles.xml" Id="rId101"/><Relationship Type="http://schemas.openxmlformats.org/officeDocument/2006/relationships/theme" Target="theme/theme1.xml" Id="rId10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24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MOD_CONTROL_BALANTA,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MOD_CONTROL_BALANTA</t>
        </is>
      </c>
      <c r="C29" s="61" t="inlineStr">
        <is>
          <t>F-214, F-104</t>
        </is>
      </c>
      <c r="D29" s="61" t="inlineStr">
        <is>
          <t>Lunar, pe balanța de verificare; obligatoriu la preluarea unei societăți</t>
        </is>
      </c>
      <c r="E29" s="61" t="inlineStr">
        <is>
          <t>Σ analitice și sold sintetic pe fiecare cont urmărit; rulajele claselor 6 și 7; soldul lui 121; total sume debitoare și creditoare</t>
        </is>
      </c>
      <c r="F29" s="61" t="inlineStr">
        <is>
          <t>Fiecare comparație are două intrări din surse diferite — vezi Reguli, tabelul C</t>
        </is>
      </c>
      <c r="G29" s="61" t="inlineStr">
        <is>
          <t>V1 Analitic ↔ sintetic; V2 121 cu clasele 6 și 7; V3 Solduri cu semn contrar naturii; V4 Continuitatea total-sumelor</t>
        </is>
      </c>
      <c r="H29" s="61" t="inlineStr">
        <is>
          <t>IMPLEMENTAT</t>
        </is>
      </c>
    </row>
    <row r="30">
      <c r="A30" s="62" t="inlineStr">
        <is>
          <t>DA</t>
        </is>
      </c>
      <c r="B30" s="61" t="inlineStr">
        <is>
          <t>MOD_INCHIDERE_LUNARA</t>
        </is>
      </c>
      <c r="C30" s="61" t="inlineStr">
        <is>
          <t>F-422, F-413</t>
        </is>
      </c>
      <c r="D30" s="61" t="inlineStr">
        <is>
          <t>Lunar, pe balanța de verificare</t>
        </is>
      </c>
      <c r="E30" s="61" t="inlineStr">
        <is>
          <t>Rulaj debitor, rulaj creditor și sold pentru conturile cu cadență; restul de plată de pe stat; soldul din decontul de TVA</t>
        </is>
      </c>
      <c r="F30" s="61" t="inlineStr">
        <is>
          <t>Verifică solduri, nu documente — vezi Reguli, tabelul C</t>
        </is>
      </c>
      <c r="G30" s="61" t="inlineStr">
        <is>
          <t>V1 Obligații lunare (rulaj = sold); V2 Datoria față de salariați; V3 Conturi care trebuie golite; V4 Verificarea CAM pe cifre</t>
        </is>
      </c>
      <c r="H30" s="61" t="inlineStr">
        <is>
          <t>IMPLEMENTAT</t>
        </is>
      </c>
    </row>
    <row r="32">
      <c r="A32" s="63" t="inlineStr">
        <is>
          <t>REGULĂ DE SUMONARE</t>
        </is>
      </c>
    </row>
    <row r="33">
      <c r="A33" s="46" t="inlineStr">
        <is>
          <t>1. În CatalogModule setezi Activ=DA doar pe modulele necesare lunii.</t>
        </is>
      </c>
    </row>
    <row r="34">
      <c r="A34" s="46" t="inlineStr">
        <is>
          <t>2. Completezi variabilele din foaia Declarații_Modul (galben).</t>
        </is>
      </c>
    </row>
    <row r="35">
      <c r="A35" s="46" t="inlineStr">
        <is>
          <t>3. Jurnalele și NotaExport se populează automat doar pentru modulele active.</t>
        </is>
      </c>
    </row>
    <row r="36">
      <c r="A36" s="46" t="inlineStr">
        <is>
          <t>4. Verifici Check=0 pe fiecare bloc; filtrezi NotaExport pe Include=DA și imporți.</t>
        </is>
      </c>
    </row>
    <row r="37">
      <c r="A37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7:H37"/>
    <mergeCell ref="A32:H32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8" customWidth="1" style="40" min="2" max="2"/>
    <col width="18" customWidth="1" style="40" min="3" max="3"/>
    <col width="54" customWidth="1" style="40" min="4" max="4"/>
  </cols>
  <sheetData>
    <row r="1">
      <c r="A1" s="41" t="inlineStr">
        <is>
          <t>MOD_CONTROL_BALANTA — Declarații (input)</t>
        </is>
      </c>
    </row>
    <row r="2">
      <c r="A2" s="44" t="inlineStr">
        <is>
          <t>Cele două coloane se transcriu din DOUĂ rapoarte diferite ale aceleiași balanțe — analitică și sintetică. Dacă ar veni din același loc, sau dacă una s-ar calcula din cealaltă, verificarea ar fi verde întotdeauna.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verificată (AAAA-LL)</t>
        </is>
      </c>
      <c r="B7" s="64" t="inlineStr">
        <is>
          <t>2026-07</t>
        </is>
      </c>
    </row>
    <row r="8">
      <c r="A8" s="43" t="inlineStr">
        <is>
          <t>E prima lună după preluarea societății? (DA/NU)</t>
        </is>
      </c>
      <c r="B8" s="64" t="inlineStr">
        <is>
          <t>NU</t>
        </is>
      </c>
      <c r="C8" s="44" t="inlineStr">
        <is>
          <t>DA activează blocul V4 — continuitatea total-sumelor</t>
        </is>
      </c>
    </row>
    <row r="10">
      <c r="A10" s="42" t="inlineStr">
        <is>
          <t>2. Analitic ↔ sintetic — cele două coloane, din două rapoarte</t>
        </is>
      </c>
    </row>
    <row r="11">
      <c r="A11" s="65" t="inlineStr">
        <is>
          <t>Cont</t>
        </is>
      </c>
      <c r="B11" s="65" t="inlineStr">
        <is>
          <t>Σ analitice</t>
        </is>
      </c>
      <c r="C11" s="65" t="inlineStr">
        <is>
          <t>Sold sintetic</t>
        </is>
      </c>
      <c r="D11" s="65" t="inlineStr">
        <is>
          <t>Sursa externă de confruntat</t>
        </is>
      </c>
    </row>
    <row r="12">
      <c r="A12" s="43" t="inlineStr">
        <is>
          <t>512x — Conturi la bănci</t>
        </is>
      </c>
      <c r="B12" s="43" t="n">
        <v>145320.5</v>
      </c>
      <c r="C12" s="43" t="n">
        <v>145320.5</v>
      </c>
      <c r="D12" s="43" t="inlineStr">
        <is>
          <t>Extrasul de cont, pe fiecare bancă</t>
        </is>
      </c>
    </row>
    <row r="13">
      <c r="A13" s="43" t="inlineStr">
        <is>
          <t>4111 — Clienți</t>
        </is>
      </c>
      <c r="B13" s="43" t="n">
        <v>238400</v>
      </c>
      <c r="C13" s="43" t="n">
        <v>238400</v>
      </c>
      <c r="D13" s="43" t="inlineStr">
        <is>
          <t>Confirmarea de sold / fișa partenerului</t>
        </is>
      </c>
    </row>
    <row r="14">
      <c r="A14" s="43" t="inlineStr">
        <is>
          <t>401 — Furnizori</t>
        </is>
      </c>
      <c r="B14" s="43" t="n">
        <v>176250</v>
      </c>
      <c r="C14" s="43" t="n">
        <v>176250</v>
      </c>
      <c r="D14" s="43" t="inlineStr">
        <is>
          <t>Fișa partenerului</t>
        </is>
      </c>
    </row>
    <row r="15">
      <c r="A15" s="43" t="inlineStr">
        <is>
          <t>542 — Avansuri de trezorerie</t>
        </is>
      </c>
      <c r="B15" s="43" t="n">
        <v>5000</v>
      </c>
      <c r="C15" s="43" t="n">
        <v>5000</v>
      </c>
      <c r="D15" s="43" t="inlineStr">
        <is>
          <t>Deconturile semnate, pe fiecare salariat</t>
        </is>
      </c>
    </row>
    <row r="16">
      <c r="A16" s="43" t="inlineStr">
        <is>
          <t>21x / 28x — Imobilizări și amortizarea lor</t>
        </is>
      </c>
      <c r="B16" s="43" t="n">
        <v>412000</v>
      </c>
      <c r="C16" s="43" t="n">
        <v>412000</v>
      </c>
      <c r="D16" s="43" t="inlineStr">
        <is>
          <t>Registrul mijloacelor fixe (F-214)</t>
        </is>
      </c>
    </row>
    <row r="17">
      <c r="A17" s="43" t="inlineStr">
        <is>
          <t>446 — Alte impozite și taxe</t>
        </is>
      </c>
      <c r="B17" s="43" t="n">
        <v>12240</v>
      </c>
      <c r="C17" s="43" t="n">
        <v>12240</v>
      </c>
      <c r="D17" s="43" t="inlineStr">
        <is>
          <t>Fișa pe plătitor din SPV</t>
        </is>
      </c>
    </row>
    <row r="18">
      <c r="A18" s="43" t="inlineStr">
        <is>
          <t>455 — Sume datorate asociaților</t>
        </is>
      </c>
      <c r="B18" s="43" t="n">
        <v>20000</v>
      </c>
      <c r="C18" s="43" t="n">
        <v>20000</v>
      </c>
      <c r="D18" s="43" t="inlineStr">
        <is>
          <t>Contractele de creditare</t>
        </is>
      </c>
    </row>
    <row r="19">
      <c r="A19" s="43" t="inlineStr">
        <is>
          <t>1012 — Capital subscris vărsat</t>
        </is>
      </c>
      <c r="B19" s="43" t="n">
        <v>30000</v>
      </c>
      <c r="C19" s="43" t="n">
        <v>30000</v>
      </c>
      <c r="D19" s="43" t="inlineStr">
        <is>
          <t>Certificatul constatator ONRC</t>
        </is>
      </c>
    </row>
    <row r="21">
      <c r="A21" s="42" t="inlineStr">
        <is>
          <t>3. Închiderea claselor 6 și 7 în 121</t>
        </is>
      </c>
    </row>
    <row r="22">
      <c r="A22" s="43" t="inlineStr">
        <is>
          <t>Rulaj total clasa 6 (cheltuieli)</t>
        </is>
      </c>
      <c r="B22" s="64" t="n">
        <v>480000</v>
      </c>
    </row>
    <row r="23">
      <c r="A23" s="43" t="inlineStr">
        <is>
          <t>Rulaj total clasa 7 (venituri)</t>
        </is>
      </c>
      <c r="B23" s="64" t="n">
        <v>560000</v>
      </c>
    </row>
    <row r="24">
      <c r="A24" s="43" t="inlineStr">
        <is>
          <t>Sold 121 din balanță (creditor pozitiv)</t>
        </is>
      </c>
      <c r="B24" s="64" t="n">
        <v>80000</v>
      </c>
      <c r="C24" s="44" t="inlineStr">
        <is>
          <t>Se citește din balanță, nu se calculează din cele de mai sus</t>
        </is>
      </c>
    </row>
    <row r="26">
      <c r="A26" s="42" t="inlineStr">
        <is>
          <t>4. Solduri, pentru verificarea semnului</t>
        </is>
      </c>
    </row>
    <row r="27">
      <c r="A27" s="44" t="inlineStr">
        <is>
          <t>Soldul se scrie CU SEMN: pozitiv = debitor, negativ = creditor. Natura contului vine din tabelul din Reguli, nu din semnul introdus.</t>
        </is>
      </c>
    </row>
    <row r="28">
      <c r="A28" s="65" t="inlineStr">
        <is>
          <t>Cont</t>
        </is>
      </c>
      <c r="B28" s="65" t="inlineStr">
        <is>
          <t>Sold cu semn</t>
        </is>
      </c>
      <c r="C28" s="65" t="inlineStr"/>
      <c r="D28" s="65" t="inlineStr"/>
    </row>
    <row r="29">
      <c r="A29" s="43" t="inlineStr">
        <is>
          <t>4111</t>
        </is>
      </c>
      <c r="B29" s="43" t="n">
        <v>238400</v>
      </c>
      <c r="C29" s="43" t="inlineStr"/>
      <c r="D29" s="43" t="inlineStr"/>
    </row>
    <row r="30">
      <c r="A30" s="43" t="inlineStr">
        <is>
          <t>401</t>
        </is>
      </c>
      <c r="B30" s="43" t="n">
        <v>-176250</v>
      </c>
      <c r="C30" s="43" t="inlineStr"/>
      <c r="D30" s="43" t="inlineStr"/>
    </row>
    <row r="31">
      <c r="A31" s="43" t="inlineStr">
        <is>
          <t>409</t>
        </is>
      </c>
      <c r="B31" s="43" t="n">
        <v>8500</v>
      </c>
      <c r="C31" s="43" t="inlineStr"/>
      <c r="D31" s="43" t="inlineStr"/>
    </row>
    <row r="32">
      <c r="A32" s="43" t="inlineStr">
        <is>
          <t>419</t>
        </is>
      </c>
      <c r="B32" s="43" t="n">
        <v>-12100</v>
      </c>
      <c r="C32" s="43" t="inlineStr"/>
      <c r="D32" s="43" t="inlineStr"/>
    </row>
    <row r="33">
      <c r="A33" s="43" t="inlineStr">
        <is>
          <t>4551</t>
        </is>
      </c>
      <c r="B33" s="43" t="n">
        <v>-20000</v>
      </c>
      <c r="C33" s="43" t="inlineStr"/>
      <c r="D33" s="43" t="inlineStr"/>
    </row>
    <row r="34">
      <c r="A34" s="43" t="inlineStr">
        <is>
          <t>5191</t>
        </is>
      </c>
      <c r="B34" s="43" t="n">
        <v>-1000</v>
      </c>
      <c r="C34" s="43" t="inlineStr"/>
      <c r="D34" s="43" t="inlineStr"/>
    </row>
    <row r="35">
      <c r="A35" s="43" t="inlineStr">
        <is>
          <t>444</t>
        </is>
      </c>
      <c r="B35" s="43" t="n">
        <v>-3250</v>
      </c>
      <c r="C35" s="43" t="inlineStr"/>
      <c r="D35" s="43" t="inlineStr"/>
    </row>
    <row r="36">
      <c r="A36" s="43" t="inlineStr">
        <is>
          <t>4282</t>
        </is>
      </c>
      <c r="B36" s="43" t="n">
        <v>1200</v>
      </c>
      <c r="C36" s="43" t="inlineStr"/>
      <c r="D36" s="43" t="inlineStr"/>
    </row>
    <row r="37">
      <c r="A37" s="43" t="inlineStr">
        <is>
          <t>1621</t>
        </is>
      </c>
      <c r="B37" s="43" t="n">
        <v>-85000</v>
      </c>
      <c r="C37" s="43" t="inlineStr"/>
      <c r="D37" s="43" t="inlineStr"/>
    </row>
    <row r="39">
      <c r="A39" s="42" t="inlineStr">
        <is>
          <t>5. Continuitatea total-sumelor (doar la preluare)</t>
        </is>
      </c>
    </row>
    <row r="40">
      <c r="A40" s="43" t="inlineStr">
        <is>
          <t>Total sume DEBITOARE, balanța lunii anterioare</t>
        </is>
      </c>
      <c r="B40" s="64" t="n">
        <v>2450000</v>
      </c>
    </row>
    <row r="41">
      <c r="A41" s="43" t="inlineStr">
        <is>
          <t>Total sume CREDITOARE, balanța lunii anterioare</t>
        </is>
      </c>
      <c r="B41" s="64" t="n">
        <v>2450000</v>
      </c>
    </row>
    <row r="42">
      <c r="A42" s="43" t="inlineStr">
        <is>
          <t>Total sume DEBITOARE, luna curentă</t>
        </is>
      </c>
      <c r="B42" s="64" t="n">
        <v>2780000</v>
      </c>
    </row>
    <row r="43">
      <c r="A43" s="43" t="inlineStr">
        <is>
          <t>Total sume CREDITOARE, luna curentă</t>
        </is>
      </c>
      <c r="B43" s="64" t="n">
        <v>2780000</v>
      </c>
    </row>
    <row r="45">
      <c r="A45" s="42" t="inlineStr">
        <is>
          <t>6. Control</t>
        </is>
      </c>
    </row>
    <row r="46">
      <c r="A46" s="43" t="inlineStr">
        <is>
          <t>Modul activ?</t>
        </is>
      </c>
      <c r="B46" s="43" t="str">
        <f>IF(INDEX(CatalogModule!$A$1:$A$200,MATCH("MOD_CONTROL_BALANTA",CatalogModule!$B$1:$B$200,0))="DA","ACTIV","INACTIV")</f>
        <v>ACTIV</v>
      </c>
    </row>
    <row r="47">
      <c r="A47" s="43" t="inlineStr">
        <is>
          <t>Cauza cea mai frecventă a diferenței analitic ↔ sintetic</t>
        </is>
      </c>
      <c r="B47" s="43" t="inlineStr">
        <is>
          <t>O operațiune făcută DUPĂ închiderea de lună, fără refacerea închiderii. Programul te lasă, iar diferența nu se anunță singură.</t>
        </is>
      </c>
    </row>
    <row r="48">
      <c r="A48" s="43" t="inlineStr">
        <is>
          <t>Ordinea de verificare</t>
        </is>
      </c>
      <c r="B48" s="43" t="inlineStr">
        <is>
          <t>Tabelul A din Reguli e ordonat după cât de mult strică eroarea, nu după simbolul contului — cum a cerut formatorul la finalul ședinței.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30" customWidth="1" style="40" min="2" max="2"/>
    <col width="52" customWidth="1" style="40" min="3" max="3"/>
    <col width="40" customWidth="1" style="40" min="4" max="4"/>
  </cols>
  <sheetData>
    <row r="1">
      <c r="A1" s="41" t="inlineStr">
        <is>
          <t>MOD_CONTROL_BALANTA — Reguli (tabele fixe)</t>
        </is>
      </c>
    </row>
    <row r="2">
      <c r="A2" s="44" t="inlineStr">
        <is>
          <t>Ce e regulă dată, nu formulă: ordinea de verificare, naturile conturilor și limitele modulului.</t>
        </is>
      </c>
    </row>
    <row r="4">
      <c r="A4" s="42" t="inlineStr">
        <is>
          <t>Tabelul A — Ordinea de verificare</t>
        </is>
      </c>
    </row>
    <row r="5">
      <c r="A5" s="44" t="inlineStr">
        <is>
          <t>Ordonat după cât de mult strică eroarea, nu după simbolul contului. Formatorul a cerut explicit „conturile cele mai comune, cele mai esențiale, în ce ordine”.</t>
        </is>
      </c>
    </row>
    <row r="6">
      <c r="A6" s="65" t="inlineStr">
        <is>
          <t>Cont</t>
        </is>
      </c>
      <c r="B6" s="65" t="inlineStr">
        <is>
          <t>Denumire</t>
        </is>
      </c>
      <c r="C6" s="65" t="inlineStr">
        <is>
          <t>De ce are analitic obligatoriu</t>
        </is>
      </c>
      <c r="D6" s="65" t="inlineStr">
        <is>
          <t>Sursa externă</t>
        </is>
      </c>
    </row>
    <row r="7">
      <c r="A7" s="43" t="inlineStr">
        <is>
          <t>512x</t>
        </is>
      </c>
      <c r="B7" s="43" t="inlineStr">
        <is>
          <t>Conturi la bănci</t>
        </is>
      </c>
      <c r="C7" s="43" t="inlineStr">
        <is>
          <t>Extrasul e o sursă externă, independentă de contabilitate — deci diferența se localizează, nu se presupune</t>
        </is>
      </c>
      <c r="D7" s="43" t="inlineStr">
        <is>
          <t>Extrasul de cont, pe fiecare bancă</t>
        </is>
      </c>
    </row>
    <row r="8">
      <c r="A8" s="43" t="inlineStr">
        <is>
          <t>4111</t>
        </is>
      </c>
      <c r="B8" s="43" t="inlineStr">
        <is>
          <t>Clienți</t>
        </is>
      </c>
      <c r="C8" s="43" t="inlineStr">
        <is>
          <t>Fișa clientului e documentul pe care îl vede și partenerul; o denaturezi o dată și se propagă în toate confirmările de sold</t>
        </is>
      </c>
      <c r="D8" s="43" t="inlineStr">
        <is>
          <t>Confirmarea de sold / fișa partenerului</t>
        </is>
      </c>
    </row>
    <row r="9">
      <c r="A9" s="43" t="inlineStr">
        <is>
          <t>401</t>
        </is>
      </c>
      <c r="B9" s="43" t="inlineStr">
        <is>
          <t>Furnizori</t>
        </is>
      </c>
      <c r="C9" s="43" t="inlineStr">
        <is>
          <t>Oglinda lui 4111. E și a doua căsuță verde din softul formatorului</t>
        </is>
      </c>
      <c r="D9" s="43" t="inlineStr">
        <is>
          <t>Fișa partenerului</t>
        </is>
      </c>
    </row>
    <row r="10">
      <c r="A10" s="43" t="inlineStr">
        <is>
          <t>542</t>
        </is>
      </c>
      <c r="B10" s="43" t="inlineStr">
        <is>
          <t>Avansuri de trezorerie</t>
        </is>
      </c>
      <c r="C10" s="43" t="inlineStr">
        <is>
          <t>Soldul merge în ambele sensuri pe persoane diferite; pe sintetic se anulează și arată aproape zero — corect ca sumă, fals pe fiecare om</t>
        </is>
      </c>
      <c r="D10" s="43" t="inlineStr">
        <is>
          <t>Deconturile semnate, pe fiecare salariat</t>
        </is>
      </c>
    </row>
    <row r="11">
      <c r="A11" s="43" t="inlineStr">
        <is>
          <t>21x / 28x</t>
        </is>
      </c>
      <c r="B11" s="43" t="inlineStr">
        <is>
          <t>Imobilizări și amortizarea lor</t>
        </is>
      </c>
      <c r="C11" s="43" t="inlineStr">
        <is>
          <t>Prima verificare cerută de formator pentru aplicație. Registrul mijloacelor fixe e sursa externă</t>
        </is>
      </c>
      <c r="D11" s="43" t="inlineStr">
        <is>
          <t>Registrul mijloacelor fixe (F-214)</t>
        </is>
      </c>
    </row>
    <row r="12">
      <c r="A12" s="43" t="inlineStr">
        <is>
          <t>446</t>
        </is>
      </c>
      <c r="B12" s="43" t="inlineStr">
        <is>
          <t>Alte impozite și taxe</t>
        </is>
      </c>
      <c r="C12" s="43" t="inlineStr">
        <is>
          <t>Se ține pe analitic DE LA BUN ÎNCEPUT — a doua taxă apare întotdeauna, iar despărțirea retroactivă e mult mai scumpă decât analiticul făcut din prima</t>
        </is>
      </c>
      <c r="D12" s="43" t="inlineStr">
        <is>
          <t>Fișa pe plătitor din SPV</t>
        </is>
      </c>
    </row>
    <row r="13">
      <c r="A13" s="43" t="inlineStr">
        <is>
          <t>455</t>
        </is>
      </c>
      <c r="B13" s="43" t="inlineStr">
        <is>
          <t>Sume datorate asociaților</t>
        </is>
      </c>
      <c r="C13" s="43" t="inlineStr">
        <is>
          <t>Fără analitic, compensarea între doi asociați se ascunde într-un sold total care arată curat (C-30)</t>
        </is>
      </c>
      <c r="D13" s="43" t="inlineStr">
        <is>
          <t>Contractele de creditare</t>
        </is>
      </c>
    </row>
    <row r="14">
      <c r="A14" s="43" t="inlineStr">
        <is>
          <t>1012</t>
        </is>
      </c>
      <c r="B14" s="43" t="inlineStr">
        <is>
          <t>Capital subscris vărsat</t>
        </is>
      </c>
      <c r="C14" s="43" t="inlineStr">
        <is>
          <t>Cotele trebuie să se citească din balanță în ziua în care vine hotărârea AGA (C-31)</t>
        </is>
      </c>
      <c r="D14" s="43" t="inlineStr">
        <is>
          <t>Certificatul constatator ONRC</t>
        </is>
      </c>
    </row>
    <row r="16">
      <c r="A16" s="42" t="inlineStr">
        <is>
          <t>Tabelul B — Naturile conturilor verificate</t>
        </is>
      </c>
    </row>
    <row r="17">
      <c r="A17" s="44" t="inlineStr">
        <is>
          <t>Natura vine de aici, nu din soldul introdus. Un cont de activ cu sold creditor nu e o curiozitate de balanță — e o eroare care încă n-a fost căutată (C-23).</t>
        </is>
      </c>
    </row>
    <row r="18">
      <c r="A18" s="65" t="inlineStr">
        <is>
          <t>Cont</t>
        </is>
      </c>
      <c r="B18" s="65" t="inlineStr">
        <is>
          <t>Natura</t>
        </is>
      </c>
      <c r="C18" s="65" t="inlineStr">
        <is>
          <t>Sensul normal al soldului</t>
        </is>
      </c>
      <c r="D18" s="65" t="inlineStr"/>
    </row>
    <row r="19">
      <c r="A19" s="43" t="inlineStr">
        <is>
          <t>4111</t>
        </is>
      </c>
      <c r="B19" s="43" t="inlineStr">
        <is>
          <t>Activ</t>
        </is>
      </c>
      <c r="C19" s="43" t="inlineStr">
        <is>
          <t>Debitor</t>
        </is>
      </c>
      <c r="D19" s="43" t="inlineStr"/>
    </row>
    <row r="20">
      <c r="A20" s="43" t="inlineStr">
        <is>
          <t>401</t>
        </is>
      </c>
      <c r="B20" s="43" t="inlineStr">
        <is>
          <t>Pasiv</t>
        </is>
      </c>
      <c r="C20" s="43" t="inlineStr">
        <is>
          <t>Creditor</t>
        </is>
      </c>
      <c r="D20" s="43" t="inlineStr"/>
    </row>
    <row r="21">
      <c r="A21" s="43" t="inlineStr">
        <is>
          <t>409</t>
        </is>
      </c>
      <c r="B21" s="43" t="inlineStr">
        <is>
          <t>Activ</t>
        </is>
      </c>
      <c r="C21" s="43" t="inlineStr">
        <is>
          <t>Debitor</t>
        </is>
      </c>
      <c r="D21" s="43" t="inlineStr"/>
    </row>
    <row r="22">
      <c r="A22" s="43" t="inlineStr">
        <is>
          <t>419</t>
        </is>
      </c>
      <c r="B22" s="43" t="inlineStr">
        <is>
          <t>Pasiv</t>
        </is>
      </c>
      <c r="C22" s="43" t="inlineStr">
        <is>
          <t>Creditor</t>
        </is>
      </c>
      <c r="D22" s="43" t="inlineStr"/>
    </row>
    <row r="23">
      <c r="A23" s="43" t="inlineStr">
        <is>
          <t>4551</t>
        </is>
      </c>
      <c r="B23" s="43" t="inlineStr">
        <is>
          <t>Pasiv</t>
        </is>
      </c>
      <c r="C23" s="43" t="inlineStr">
        <is>
          <t>Creditor</t>
        </is>
      </c>
      <c r="D23" s="43" t="inlineStr"/>
    </row>
    <row r="24">
      <c r="A24" s="43" t="inlineStr">
        <is>
          <t>5191</t>
        </is>
      </c>
      <c r="B24" s="43" t="inlineStr">
        <is>
          <t>Pasiv</t>
        </is>
      </c>
      <c r="C24" s="43" t="inlineStr">
        <is>
          <t>Creditor</t>
        </is>
      </c>
      <c r="D24" s="43" t="inlineStr"/>
    </row>
    <row r="25">
      <c r="A25" s="43" t="inlineStr">
        <is>
          <t>444</t>
        </is>
      </c>
      <c r="B25" s="43" t="inlineStr">
        <is>
          <t>Pasiv</t>
        </is>
      </c>
      <c r="C25" s="43" t="inlineStr">
        <is>
          <t>Creditor</t>
        </is>
      </c>
      <c r="D25" s="43" t="inlineStr"/>
    </row>
    <row r="26">
      <c r="A26" s="43" t="inlineStr">
        <is>
          <t>4282</t>
        </is>
      </c>
      <c r="B26" s="43" t="inlineStr">
        <is>
          <t>Activ</t>
        </is>
      </c>
      <c r="C26" s="43" t="inlineStr">
        <is>
          <t>Debitor</t>
        </is>
      </c>
      <c r="D26" s="43" t="inlineStr"/>
    </row>
    <row r="27">
      <c r="A27" s="43" t="inlineStr">
        <is>
          <t>1621</t>
        </is>
      </c>
      <c r="B27" s="43" t="inlineStr">
        <is>
          <t>Pasiv</t>
        </is>
      </c>
      <c r="C27" s="43" t="inlineStr">
        <is>
          <t>Creditor</t>
        </is>
      </c>
      <c r="D27" s="43" t="inlineStr"/>
    </row>
    <row r="29">
      <c r="A29" s="42" t="inlineStr">
        <is>
          <t>Tabelul C — LIMITĂRI DECLARATE</t>
        </is>
      </c>
    </row>
    <row r="30">
      <c r="A30" s="44" t="inlineStr">
        <is>
          <t>• Modulul verifică CE I SE DĂ, nu balanța însăși. Dacă ambele coloane sunt transcrise greșit în același fel, iese verde — e verificare de coerență, nu de exactitate.</t>
        </is>
      </c>
    </row>
    <row r="31">
      <c r="A31" s="44" t="inlineStr">
        <is>
          <t>• Lista conturilor cu analitic obligatoriu e o convenție de cabinet, nu o regulă legală. Se completează pe măsură ce apar conturi noi cu analitic.</t>
        </is>
      </c>
    </row>
    <row r="32">
      <c r="A32" s="44" t="inlineStr">
        <is>
          <t>• Cifrele se introduc; modulul nu citește balanța din fișier. Citirea automată e sarcina următoare — vezi tabelul D.</t>
        </is>
      </c>
    </row>
    <row r="33">
      <c r="A33" s="44" t="inlineStr">
        <is>
          <t>• Decontul de TVA (a treia căsuță a formatorului) NU e aici: e deja implementat în MOD_INCHIDERE_LUNARA, blocul V4, corelația C-29.</t>
        </is>
      </c>
    </row>
    <row r="34">
      <c r="A34" s="44" t="inlineStr">
        <is>
          <t>• V4 se rulează doar la preluare. În restul lunilor continuitatea e dată de faptul că lucrezi în același fișier.</t>
        </is>
      </c>
    </row>
    <row r="36">
      <c r="A36" s="42" t="inlineStr">
        <is>
          <t>Tabelul D — Ce rămâne de automatizat</t>
        </is>
      </c>
    </row>
    <row r="37">
      <c r="A37" s="65" t="inlineStr">
        <is>
          <t>Pasul</t>
        </is>
      </c>
      <c r="B37" s="65" t="inlineStr">
        <is>
          <t>Ce ar face</t>
        </is>
      </c>
      <c r="C37" s="65" t="inlineStr">
        <is>
          <t>De ce nu e făcut încă</t>
        </is>
      </c>
      <c r="D37" s="65" t="inlineStr"/>
    </row>
    <row r="38">
      <c r="A38" s="43" t="inlineStr">
        <is>
          <t>Citirea balanței</t>
        </is>
      </c>
      <c r="B38" s="43" t="inlineStr">
        <is>
          <t>Preluarea cifrelor direct din fișierul de balanță</t>
        </is>
      </c>
      <c r="C38" s="43" t="inlineStr">
        <is>
          <t>Formatul diferă de la un program la altul; cere o hartă pe fiecare</t>
        </is>
      </c>
      <c r="D38" s="43" t="inlineStr"/>
    </row>
    <row r="39">
      <c r="A39" s="43" t="inlineStr">
        <is>
          <t>Detectarea analiticelor</t>
        </is>
      </c>
      <c r="B39" s="43" t="inlineStr">
        <is>
          <t>Recunoașterea automată a conturilor cu analitic</t>
        </is>
      </c>
      <c r="C39" s="43" t="inlineStr">
        <is>
          <t>Cere convenția de denumire a analiticelor, care nu e uniformă</t>
        </is>
      </c>
      <c r="D39" s="43" t="inlineStr"/>
    </row>
    <row r="40">
      <c r="A40" s="43" t="inlineStr">
        <is>
          <t>Localizarea diferenței</t>
        </is>
      </c>
      <c r="B40" s="43" t="inlineStr">
        <is>
          <t>Nu doar CĂ diferă, ci pe ce analitic</t>
        </is>
      </c>
      <c r="C40" s="43" t="inlineStr">
        <is>
          <t>Cere balanța analitică rând cu rând, nu doar totalul</t>
        </is>
      </c>
      <c r="D40" s="43" t="inlineStr"/>
    </row>
    <row r="42">
      <c r="A42" s="42" t="inlineStr">
        <is>
          <t>Temei legal</t>
        </is>
      </c>
    </row>
    <row r="43">
      <c r="A43" s="65" t="inlineStr">
        <is>
          <t>Ce se sprijină pe el</t>
        </is>
      </c>
      <c r="B43" s="65" t="inlineStr">
        <is>
          <t>Temei</t>
        </is>
      </c>
    </row>
    <row r="44">
      <c r="A44" s="43" t="inlineStr">
        <is>
          <t>Contabilitatea analitică se ține obligatoriu, în dezvoltarea celei sintetice</t>
        </is>
      </c>
      <c r="B44" s="43" t="inlineStr">
        <is>
          <t>Legea contabilității 82/1991, art. 2 alin. (1)</t>
        </is>
      </c>
    </row>
    <row r="45">
      <c r="A45" s="43" t="inlineStr">
        <is>
          <t>Balanța de verificare are rolul de a controla exactitatea înregistrărilor și concordanța dintre contabilitatea sintetică și cea analitică</t>
        </is>
      </c>
      <c r="B45" s="43" t="inlineStr">
        <is>
          <t>Legea 82/1991, art. 22 — chiar rostul declarat al balanței</t>
        </is>
      </c>
    </row>
    <row r="46">
      <c r="A46" s="43" t="inlineStr">
        <is>
          <t>Registrele obligatorii: registrul-jurnal, registrul-inventar și Cartea mare</t>
        </is>
      </c>
      <c r="B46" s="43" t="inlineStr">
        <is>
          <t>Legea 82/1991, art. 20</t>
        </is>
      </c>
    </row>
    <row r="47">
      <c r="A47" s="43" t="inlineStr">
        <is>
          <t>Situațiile financiare se întocmesc pe baza balanței de verificare</t>
        </is>
      </c>
      <c r="B47" s="43" t="inlineStr">
        <is>
          <t>OMFP 1802/2014, pct. 26 și 583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0" customWidth="1" style="40" min="2" max="2"/>
    <col width="18" customWidth="1" style="40" min="3" max="3"/>
    <col width="18" customWidth="1" style="40" min="4" max="4"/>
    <col width="16" customWidth="1" style="40" min="5" max="5"/>
    <col width="56" customWidth="1" style="40" min="6" max="6"/>
  </cols>
  <sheetData>
    <row r="1">
      <c r="A1" s="41" t="inlineStr">
        <is>
          <t>MOD_CONTROL_BALANTA — Verificări</t>
        </is>
      </c>
    </row>
    <row r="2">
      <c r="A2" s="44" t="inlineStr">
        <is>
          <t>O linie pe verificare. Coloana „Diferență” e ce contează: zero înseamnă că cele două surse spun același lucru.</t>
        </is>
      </c>
    </row>
    <row r="4">
      <c r="A4" s="42" t="inlineStr">
        <is>
          <t>V1 — analitic ↔ sintetic, în ordinea de verificare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Σ analitice</t>
        </is>
      </c>
      <c r="D5" s="65" t="inlineStr">
        <is>
          <t>Sold sintetic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C-37</t>
        </is>
      </c>
      <c r="B6" s="43" t="inlineStr">
        <is>
          <t>512x — Conturi la bănci</t>
        </is>
      </c>
      <c r="C6" s="43">
        <f>Declarații_CONTROL_BALANTA!B12</f>
        <v>145320.5</v>
      </c>
      <c r="D6" s="43">
        <f>Declarații_CONTROL_BALANTA!C12</f>
        <v>145320.5</v>
      </c>
      <c r="E6" s="43">
        <f>Declarații_CONTROL_BALANTA!B12-Declarații_CONTROL_BALANTA!C12</f>
        <v>0</v>
      </c>
      <c r="F6" s="43" t="str">
        <f>IF(ABS(E6)&lt;0.01,"OK","ATENȚIE — analiticul diferă de sintetic cu "&amp;TEXT(E6,"#,##0.00")&amp;" lei; cauza tipică: operațiune după închiderea de lună, fără refacerea ei")</f>
        <v>OK</v>
      </c>
    </row>
    <row r="7">
      <c r="A7" s="43" t="inlineStr">
        <is>
          <t>C-37</t>
        </is>
      </c>
      <c r="B7" s="43" t="inlineStr">
        <is>
          <t>4111 — Clienți</t>
        </is>
      </c>
      <c r="C7" s="43">
        <f>Declarații_CONTROL_BALANTA!B13</f>
        <v>238400</v>
      </c>
      <c r="D7" s="43">
        <f>Declarații_CONTROL_BALANTA!C13</f>
        <v>238400</v>
      </c>
      <c r="E7" s="43">
        <f>Declarații_CONTROL_BALANTA!B13-Declarații_CONTROL_BALANTA!C13</f>
        <v>0</v>
      </c>
      <c r="F7" s="43" t="str">
        <f>IF(ABS(E7)&lt;0.01,"OK","ATENȚIE — analiticul diferă de sintetic cu "&amp;TEXT(E7,"#,##0.00")&amp;" lei; cauza tipică: operațiune după închiderea de lună, fără refacerea ei")</f>
        <v>OK</v>
      </c>
    </row>
    <row r="8">
      <c r="A8" s="43" t="inlineStr">
        <is>
          <t>C-37</t>
        </is>
      </c>
      <c r="B8" s="43" t="inlineStr">
        <is>
          <t>401 — Furnizori</t>
        </is>
      </c>
      <c r="C8" s="43">
        <f>Declarații_CONTROL_BALANTA!B14</f>
        <v>176250</v>
      </c>
      <c r="D8" s="43">
        <f>Declarații_CONTROL_BALANTA!C14</f>
        <v>176250</v>
      </c>
      <c r="E8" s="43">
        <f>Declarații_CONTROL_BALANTA!B14-Declarații_CONTROL_BALANTA!C14</f>
        <v>0</v>
      </c>
      <c r="F8" s="43" t="str">
        <f>IF(ABS(E8)&lt;0.01,"OK","ATENȚIE — analiticul diferă de sintetic cu "&amp;TEXT(E8,"#,##0.00")&amp;" lei; cauza tipică: operațiune după închiderea de lună, fără refacerea ei")</f>
        <v>OK</v>
      </c>
    </row>
    <row r="9">
      <c r="A9" s="43" t="inlineStr">
        <is>
          <t>C-37</t>
        </is>
      </c>
      <c r="B9" s="43" t="inlineStr">
        <is>
          <t>542 — Avansuri de trezorerie</t>
        </is>
      </c>
      <c r="C9" s="43">
        <f>Declarații_CONTROL_BALANTA!B15</f>
        <v>5000</v>
      </c>
      <c r="D9" s="43">
        <f>Declarații_CONTROL_BALANTA!C15</f>
        <v>5000</v>
      </c>
      <c r="E9" s="43">
        <f>Declarații_CONTROL_BALANTA!B15-Declarații_CONTROL_BALANTA!C15</f>
        <v>0</v>
      </c>
      <c r="F9" s="43" t="str">
        <f>IF(ABS(E9)&lt;0.01,"OK","ATENȚIE — analiticul diferă de sintetic cu "&amp;TEXT(E9,"#,##0.00")&amp;" lei; cauza tipică: operațiune după închiderea de lună, fără refacerea ei")</f>
        <v>OK</v>
      </c>
    </row>
    <row r="10">
      <c r="A10" s="43" t="inlineStr">
        <is>
          <t>C-37</t>
        </is>
      </c>
      <c r="B10" s="43" t="inlineStr">
        <is>
          <t>21x / 28x — Imobilizări și amortizarea lor</t>
        </is>
      </c>
      <c r="C10" s="43">
        <f>Declarații_CONTROL_BALANTA!B16</f>
        <v>412000</v>
      </c>
      <c r="D10" s="43">
        <f>Declarații_CONTROL_BALANTA!C16</f>
        <v>412000</v>
      </c>
      <c r="E10" s="43">
        <f>Declarații_CONTROL_BALANTA!B16-Declarații_CONTROL_BALANTA!C16</f>
        <v>0</v>
      </c>
      <c r="F10" s="43" t="str">
        <f>IF(ABS(E10)&lt;0.01,"OK","ATENȚIE — analiticul diferă de sintetic cu "&amp;TEXT(E10,"#,##0.00")&amp;" lei; cauza tipică: operațiune după închiderea de lună, fără refacerea ei")</f>
        <v>OK</v>
      </c>
    </row>
    <row r="11">
      <c r="A11" s="43" t="inlineStr">
        <is>
          <t>C-37</t>
        </is>
      </c>
      <c r="B11" s="43" t="inlineStr">
        <is>
          <t>446 — Alte impozite și taxe</t>
        </is>
      </c>
      <c r="C11" s="43">
        <f>Declarații_CONTROL_BALANTA!B17</f>
        <v>12240</v>
      </c>
      <c r="D11" s="43">
        <f>Declarații_CONTROL_BALANTA!C17</f>
        <v>12240</v>
      </c>
      <c r="E11" s="43">
        <f>Declarații_CONTROL_BALANTA!B17-Declarații_CONTROL_BALANTA!C17</f>
        <v>0</v>
      </c>
      <c r="F11" s="43" t="str">
        <f>IF(ABS(E11)&lt;0.01,"OK","ATENȚIE — analiticul diferă de sintetic cu "&amp;TEXT(E11,"#,##0.00")&amp;" lei; cauza tipică: operațiune după închiderea de lună, fără refacerea ei")</f>
        <v>OK</v>
      </c>
    </row>
    <row r="12">
      <c r="A12" s="43" t="inlineStr">
        <is>
          <t>C-37</t>
        </is>
      </c>
      <c r="B12" s="43" t="inlineStr">
        <is>
          <t>455 — Sume datorate asociaților</t>
        </is>
      </c>
      <c r="C12" s="43">
        <f>Declarații_CONTROL_BALANTA!B18</f>
        <v>20000</v>
      </c>
      <c r="D12" s="43">
        <f>Declarații_CONTROL_BALANTA!C18</f>
        <v>20000</v>
      </c>
      <c r="E12" s="43">
        <f>Declarații_CONTROL_BALANTA!B18-Declarații_CONTROL_BALANTA!C18</f>
        <v>0</v>
      </c>
      <c r="F12" s="43" t="str">
        <f>IF(ABS(E12)&lt;0.01,"OK","ATENȚIE — analiticul diferă de sintetic cu "&amp;TEXT(E12,"#,##0.00")&amp;" lei; cauza tipică: operațiune după închiderea de lună, fără refacerea ei")</f>
        <v>OK</v>
      </c>
    </row>
    <row r="13">
      <c r="A13" s="43" t="inlineStr">
        <is>
          <t>C-37</t>
        </is>
      </c>
      <c r="B13" s="43" t="inlineStr">
        <is>
          <t>1012 — Capital subscris vărsat</t>
        </is>
      </c>
      <c r="C13" s="43">
        <f>Declarații_CONTROL_BALANTA!B19</f>
        <v>30000</v>
      </c>
      <c r="D13" s="43">
        <f>Declarații_CONTROL_BALANTA!C19</f>
        <v>30000</v>
      </c>
      <c r="E13" s="43">
        <f>Declarații_CONTROL_BALANTA!B19-Declarații_CONTROL_BALANTA!C19</f>
        <v>0</v>
      </c>
      <c r="F13" s="43" t="str">
        <f>IF(ABS(E13)&lt;0.01,"OK","ATENȚIE — analiticul diferă de sintetic cu "&amp;TEXT(E13,"#,##0.00")&amp;" lei; cauza tipică: operațiune după închiderea de lună, fără refacerea ei")</f>
        <v>OK</v>
      </c>
    </row>
    <row r="15">
      <c r="A15" s="42" t="inlineStr">
        <is>
          <t>V2 — 121 cu clasele 6 și 7</t>
        </is>
      </c>
    </row>
    <row r="16">
      <c r="A16" s="65" t="inlineStr">
        <is>
          <t>Cod</t>
        </is>
      </c>
      <c r="B16" s="65" t="inlineStr">
        <is>
          <t>Ce verifică</t>
        </is>
      </c>
      <c r="C16" s="65" t="inlineStr">
        <is>
          <t>Calculat</t>
        </is>
      </c>
      <c r="D16" s="65" t="inlineStr">
        <is>
          <t>Din balanță</t>
        </is>
      </c>
      <c r="E16" s="65" t="inlineStr">
        <is>
          <t>Diferență</t>
        </is>
      </c>
      <c r="F16" s="65" t="inlineStr">
        <is>
          <t>Verdict</t>
        </is>
      </c>
    </row>
    <row r="17">
      <c r="A17" s="43" t="inlineStr">
        <is>
          <t>—</t>
        </is>
      </c>
      <c r="B17" s="43" t="inlineStr">
        <is>
          <t>clasa 7 − clasa 6 = sold 121</t>
        </is>
      </c>
      <c r="C17" s="43">
        <f>Declarații_CONTROL_BALANTA!B23-Declarații_CONTROL_BALANTA!B22</f>
        <v>80000</v>
      </c>
      <c r="D17" s="43">
        <f>Declarații_CONTROL_BALANTA!B24</f>
        <v>80000</v>
      </c>
      <c r="E17" s="43">
        <f>Declarații_CONTROL_BALANTA!B24-(Declarații_CONTROL_BALANTA!B23-Declarații_CONTROL_BALANTA!B22)</f>
        <v>0</v>
      </c>
      <c r="F17" s="43" t="str">
        <f>IF(ABS(E17)&lt;0.01,"OK — 6 și 7 s-au închis complet în 121","ATENȚIE — cel mai probabil 121 din anul precedent n-a fost închis; se vede la bilanț, când cifrele nu se leagă")</f>
        <v>OK — 6 și 7 s-au închis complet în 121</v>
      </c>
    </row>
    <row r="19">
      <c r="A19" s="42" t="inlineStr">
        <is>
          <t>V3 — solduri cu semn contrar naturii contului</t>
        </is>
      </c>
    </row>
    <row r="20">
      <c r="A20" s="65" t="inlineStr">
        <is>
          <t>Cod</t>
        </is>
      </c>
      <c r="B20" s="65" t="inlineStr">
        <is>
          <t>Ce verifică</t>
        </is>
      </c>
      <c r="C20" s="65" t="inlineStr">
        <is>
          <t>Sold cu semn</t>
        </is>
      </c>
      <c r="D20" s="65" t="inlineStr">
        <is>
          <t>Sens normal</t>
        </is>
      </c>
      <c r="E20" s="65" t="inlineStr">
        <is>
          <t>Abatere</t>
        </is>
      </c>
      <c r="F20" s="65" t="inlineStr">
        <is>
          <t>Verdict</t>
        </is>
      </c>
    </row>
    <row r="21">
      <c r="A21" s="43" t="inlineStr">
        <is>
          <t>C-23</t>
        </is>
      </c>
      <c r="B21" s="43" t="inlineStr">
        <is>
          <t>4111 — Activ, sold normal debitor</t>
        </is>
      </c>
      <c r="C21" s="43">
        <f>Declarații_CONTROL_BALANTA!B29</f>
        <v>238400</v>
      </c>
      <c r="D21" s="43" t="inlineStr">
        <is>
          <t>Debitor</t>
        </is>
      </c>
      <c r="E21" s="43">
        <f>IF(Declarații_CONTROL_BALANTA!B29&lt;0,ABS(Declarații_CONTROL_BALANTA!B29),0)</f>
        <v>0</v>
      </c>
      <c r="F21" s="43" t="str">
        <f>IF(E21&lt;0.01,"OK","ATENȚIE — 4111 are sold contrar naturii: "&amp;TEXT(E21,"#,##0.00")&amp;" lei pe sensul greșit")</f>
        <v>OK</v>
      </c>
    </row>
    <row r="22">
      <c r="A22" s="43" t="inlineStr">
        <is>
          <t>C-23</t>
        </is>
      </c>
      <c r="B22" s="43" t="inlineStr">
        <is>
          <t>401 — Pasiv, sold normal creditor</t>
        </is>
      </c>
      <c r="C22" s="43">
        <f>Declarații_CONTROL_BALANTA!B30</f>
        <v>-176250</v>
      </c>
      <c r="D22" s="43" t="inlineStr">
        <is>
          <t>Creditor</t>
        </is>
      </c>
      <c r="E22" s="43">
        <f>IF(Declarații_CONTROL_BALANTA!B30&gt;0,ABS(Declarații_CONTROL_BALANTA!B30),0)</f>
        <v>0</v>
      </c>
      <c r="F22" s="43" t="str">
        <f>IF(E22&lt;0.01,"OK","ATENȚIE — 401 are sold contrar naturii: "&amp;TEXT(E22,"#,##0.00")&amp;" lei pe sensul greșit")</f>
        <v>OK</v>
      </c>
    </row>
    <row r="23">
      <c r="A23" s="43" t="inlineStr">
        <is>
          <t>C-23</t>
        </is>
      </c>
      <c r="B23" s="43" t="inlineStr">
        <is>
          <t>409 — Activ, sold normal debitor</t>
        </is>
      </c>
      <c r="C23" s="43">
        <f>Declarații_CONTROL_BALANTA!B31</f>
        <v>8500</v>
      </c>
      <c r="D23" s="43" t="inlineStr">
        <is>
          <t>Debitor</t>
        </is>
      </c>
      <c r="E23" s="43">
        <f>IF(Declarații_CONTROL_BALANTA!B31&lt;0,ABS(Declarații_CONTROL_BALANTA!B31),0)</f>
        <v>0</v>
      </c>
      <c r="F23" s="43" t="str">
        <f>IF(E23&lt;0.01,"OK","ATENȚIE — 409 are sold contrar naturii: "&amp;TEXT(E23,"#,##0.00")&amp;" lei pe sensul greșit")</f>
        <v>OK</v>
      </c>
    </row>
    <row r="24">
      <c r="A24" s="43" t="inlineStr">
        <is>
          <t>C-23</t>
        </is>
      </c>
      <c r="B24" s="43" t="inlineStr">
        <is>
          <t>419 — Pasiv, sold normal creditor</t>
        </is>
      </c>
      <c r="C24" s="43">
        <f>Declarații_CONTROL_BALANTA!B32</f>
        <v>-12100</v>
      </c>
      <c r="D24" s="43" t="inlineStr">
        <is>
          <t>Creditor</t>
        </is>
      </c>
      <c r="E24" s="43">
        <f>IF(Declarații_CONTROL_BALANTA!B32&gt;0,ABS(Declarații_CONTROL_BALANTA!B32),0)</f>
        <v>0</v>
      </c>
      <c r="F24" s="43" t="str">
        <f>IF(E24&lt;0.01,"OK","ATENȚIE — 419 are sold contrar naturii: "&amp;TEXT(E24,"#,##0.00")&amp;" lei pe sensul greșit")</f>
        <v>OK</v>
      </c>
    </row>
    <row r="25">
      <c r="A25" s="43" t="inlineStr">
        <is>
          <t>C-23</t>
        </is>
      </c>
      <c r="B25" s="43" t="inlineStr">
        <is>
          <t>4551 — Pasiv, sold normal creditor</t>
        </is>
      </c>
      <c r="C25" s="43">
        <f>Declarații_CONTROL_BALANTA!B33</f>
        <v>-20000</v>
      </c>
      <c r="D25" s="43" t="inlineStr">
        <is>
          <t>Creditor</t>
        </is>
      </c>
      <c r="E25" s="43">
        <f>IF(Declarații_CONTROL_BALANTA!B33&gt;0,ABS(Declarații_CONTROL_BALANTA!B33),0)</f>
        <v>0</v>
      </c>
      <c r="F25" s="43" t="str">
        <f>IF(E25&lt;0.01,"OK","ATENȚIE — 4551 are sold contrar naturii: "&amp;TEXT(E25,"#,##0.00")&amp;" lei pe sensul greșit")</f>
        <v>OK</v>
      </c>
    </row>
    <row r="26">
      <c r="A26" s="43" t="inlineStr">
        <is>
          <t>C-23</t>
        </is>
      </c>
      <c r="B26" s="43" t="inlineStr">
        <is>
          <t>5191 — Pasiv, sold normal creditor</t>
        </is>
      </c>
      <c r="C26" s="43">
        <f>Declarații_CONTROL_BALANTA!B34</f>
        <v>-1000</v>
      </c>
      <c r="D26" s="43" t="inlineStr">
        <is>
          <t>Creditor</t>
        </is>
      </c>
      <c r="E26" s="43">
        <f>IF(Declarații_CONTROL_BALANTA!B34&gt;0,ABS(Declarații_CONTROL_BALANTA!B34),0)</f>
        <v>0</v>
      </c>
      <c r="F26" s="43" t="str">
        <f>IF(E26&lt;0.01,"OK","ATENȚIE — 5191 are sold contrar naturii: "&amp;TEXT(E26,"#,##0.00")&amp;" lei pe sensul greșit")</f>
        <v>OK</v>
      </c>
    </row>
    <row r="27">
      <c r="A27" s="43" t="inlineStr">
        <is>
          <t>C-23</t>
        </is>
      </c>
      <c r="B27" s="43" t="inlineStr">
        <is>
          <t>444 — Pasiv, sold normal creditor</t>
        </is>
      </c>
      <c r="C27" s="43">
        <f>Declarații_CONTROL_BALANTA!B35</f>
        <v>-3250</v>
      </c>
      <c r="D27" s="43" t="inlineStr">
        <is>
          <t>Creditor</t>
        </is>
      </c>
      <c r="E27" s="43">
        <f>IF(Declarații_CONTROL_BALANTA!B35&gt;0,ABS(Declarații_CONTROL_BALANTA!B35),0)</f>
        <v>0</v>
      </c>
      <c r="F27" s="43" t="str">
        <f>IF(E27&lt;0.01,"OK","ATENȚIE — 444 are sold contrar naturii: "&amp;TEXT(E27,"#,##0.00")&amp;" lei pe sensul greșit")</f>
        <v>OK</v>
      </c>
    </row>
    <row r="28">
      <c r="A28" s="43" t="inlineStr">
        <is>
          <t>C-23</t>
        </is>
      </c>
      <c r="B28" s="43" t="inlineStr">
        <is>
          <t>4282 — Activ, sold normal debitor</t>
        </is>
      </c>
      <c r="C28" s="43">
        <f>Declarații_CONTROL_BALANTA!B36</f>
        <v>1200</v>
      </c>
      <c r="D28" s="43" t="inlineStr">
        <is>
          <t>Debitor</t>
        </is>
      </c>
      <c r="E28" s="43">
        <f>IF(Declarații_CONTROL_BALANTA!B36&lt;0,ABS(Declarații_CONTROL_BALANTA!B36),0)</f>
        <v>0</v>
      </c>
      <c r="F28" s="43" t="str">
        <f>IF(E28&lt;0.01,"OK","ATENȚIE — 4282 are sold contrar naturii: "&amp;TEXT(E28,"#,##0.00")&amp;" lei pe sensul greșit")</f>
        <v>OK</v>
      </c>
    </row>
    <row r="29">
      <c r="A29" s="43" t="inlineStr">
        <is>
          <t>C-23</t>
        </is>
      </c>
      <c r="B29" s="43" t="inlineStr">
        <is>
          <t>1621 — Pasiv, sold normal creditor</t>
        </is>
      </c>
      <c r="C29" s="43">
        <f>Declarații_CONTROL_BALANTA!B37</f>
        <v>-85000</v>
      </c>
      <c r="D29" s="43" t="inlineStr">
        <is>
          <t>Creditor</t>
        </is>
      </c>
      <c r="E29" s="43">
        <f>IF(Declarații_CONTROL_BALANTA!B37&gt;0,ABS(Declarații_CONTROL_BALANTA!B37),0)</f>
        <v>0</v>
      </c>
      <c r="F29" s="43" t="str">
        <f>IF(E29&lt;0.01,"OK","ATENȚIE — 1621 are sold contrar naturii: "&amp;TEXT(E29,"#,##0.00")&amp;" lei pe sensul greșit")</f>
        <v>OK</v>
      </c>
    </row>
    <row r="31">
      <c r="A31" s="42" t="inlineStr">
        <is>
          <t>V4 — continuitatea total-sumelor (la preluare)</t>
        </is>
      </c>
    </row>
    <row r="32">
      <c r="A32" s="65" t="inlineStr">
        <is>
          <t>Cod</t>
        </is>
      </c>
      <c r="B32" s="65" t="inlineStr">
        <is>
          <t>Ce verifică</t>
        </is>
      </c>
      <c r="C32" s="65" t="inlineStr">
        <is>
          <t>Luna anterioară</t>
        </is>
      </c>
      <c r="D32" s="65" t="inlineStr">
        <is>
          <t>Luna curentă</t>
        </is>
      </c>
      <c r="E32" s="65" t="inlineStr">
        <is>
          <t>Creștere</t>
        </is>
      </c>
      <c r="F32" s="65" t="inlineStr">
        <is>
          <t>Verdict</t>
        </is>
      </c>
    </row>
    <row r="33">
      <c r="A33" s="43" t="inlineStr">
        <is>
          <t>C-39</t>
        </is>
      </c>
      <c r="B33" s="43" t="inlineStr">
        <is>
          <t>total sume debitoare cresc monoton</t>
        </is>
      </c>
      <c r="C33" s="43">
        <f>Declarații_CONTROL_BALANTA!B40</f>
        <v>2450000</v>
      </c>
      <c r="D33" s="43">
        <f>Declarații_CONTROL_BALANTA!B42</f>
        <v>2780000</v>
      </c>
      <c r="E33" s="43">
        <f>IF(Declarații_CONTROL_BALANTA!B8&lt;&gt;"DA",0,MIN(0,Declarații_CONTROL_BALANTA!B42-Declarații_CONTROL_BALANTA!B40))</f>
        <v>0</v>
      </c>
      <c r="F33" s="43" t="str">
        <f>IF(Declarații_CONTROL_BALANTA!B8&lt;&gt;"DA","— (nu e lună de preluare)",IF(E33&gt;=0,"OK — total sumele au continuitate","ATENȚIE — total sumele au SCĂZUT: s-au preluat soldurile ca sold inițial, nu total sumele. Orice verificare pe rulaj devine falsă"))</f>
        <v>— (nu e lună de preluare)</v>
      </c>
    </row>
    <row r="34">
      <c r="A34" s="43" t="inlineStr">
        <is>
          <t>C-39</t>
        </is>
      </c>
      <c r="B34" s="43" t="inlineStr">
        <is>
          <t>total sume creditoare cresc monoton</t>
        </is>
      </c>
      <c r="C34" s="43">
        <f>Declarații_CONTROL_BALANTA!B41</f>
        <v>2450000</v>
      </c>
      <c r="D34" s="43">
        <f>Declarații_CONTROL_BALANTA!B43</f>
        <v>2780000</v>
      </c>
      <c r="E34" s="43">
        <f>IF(Declarații_CONTROL_BALANTA!B8&lt;&gt;"DA",0,MIN(0,Declarații_CONTROL_BALANTA!B43-Declarații_CONTROL_BALANTA!B41))</f>
        <v>0</v>
      </c>
      <c r="F34" s="43" t="str">
        <f>IF(Declarații_CONTROL_BALANTA!B8&lt;&gt;"DA","— (nu e lună de preluare)",IF(E34&gt;=0,"OK — total sumele au continuitate","ATENȚIE — total sumele au SCĂZUT: s-au preluat soldurile ca sold inițial, nu total sumele. Orice verificare pe rulaj devine falsă"))</f>
        <v>— (nu e lună de preluare)</v>
      </c>
    </row>
    <row r="36">
      <c r="A36" s="42" t="inlineStr">
        <is>
          <t>Control final</t>
        </is>
      </c>
    </row>
    <row r="37">
      <c r="A37" s="43" t="inlineStr">
        <is>
          <t>Check — toate verificările balanței</t>
        </is>
      </c>
      <c r="B37" s="43">
        <f>ABS(E6)+ABS(E7)+ABS(E8)+ABS(E9)+ABS(E10)+ABS(E11)+ABS(E12)+ABS(E13)+ABS(E17)+ABS(E21)+ABS(E22)+ABS(E23)+ABS(E24)+ABS(E25)+ABS(E26)+ABS(E27)+ABS(E28)+ABS(E29)+ABS(E33)+ABS(E34)</f>
        <v>0</v>
      </c>
      <c r="C37" s="43" t="str">
        <f>IF(ABS(B37)&lt;0.01,"OK — balanța e coerentă pe toate verificările","EROARE — vezi foaia Abateri")</f>
        <v>OK — balanța e coerentă pe toate verificările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4" customWidth="1" style="40" min="3" max="3"/>
    <col width="16" customWidth="1" style="40" min="4" max="4"/>
    <col width="60" customWidth="1" style="40" min="5" max="5"/>
  </cols>
  <sheetData>
    <row r="1">
      <c r="A1" s="41" t="inlineStr">
        <is>
          <t>MOD_CONTROL_BALANTA — Abateri</t>
        </is>
      </c>
    </row>
    <row r="2">
      <c r="A2" s="44" t="inlineStr">
        <is>
          <t>Coloana „Include” spune DA doar unde verificarea n-a trecut. Lista e completă: dacă toate sunt NU, balanța e coerentă.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IF(ABS(Verificări_CONTROL_BALANTA!E6)&lt;0.01,"NU","DA")</f>
        <v>NU</v>
      </c>
      <c r="B5" s="43" t="inlineStr">
        <is>
          <t>C-37</t>
        </is>
      </c>
      <c r="C5" s="43" t="inlineStr">
        <is>
          <t>512x analitic ↔ sintetic</t>
        </is>
      </c>
      <c r="D5" s="43">
        <f>Verificări_CONTROL_BALANTA!E6</f>
        <v>0</v>
      </c>
      <c r="E5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6">
      <c r="A6" s="43" t="str">
        <f>IF(ABS(Verificări_CONTROL_BALANTA!E7)&lt;0.01,"NU","DA")</f>
        <v>NU</v>
      </c>
      <c r="B6" s="43" t="inlineStr">
        <is>
          <t>C-37</t>
        </is>
      </c>
      <c r="C6" s="43" t="inlineStr">
        <is>
          <t>4111 analitic ↔ sintetic</t>
        </is>
      </c>
      <c r="D6" s="43">
        <f>Verificări_CONTROL_BALANTA!E7</f>
        <v>0</v>
      </c>
      <c r="E6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7">
      <c r="A7" s="43" t="str">
        <f>IF(ABS(Verificări_CONTROL_BALANTA!E8)&lt;0.01,"NU","DA")</f>
        <v>NU</v>
      </c>
      <c r="B7" s="43" t="inlineStr">
        <is>
          <t>C-37</t>
        </is>
      </c>
      <c r="C7" s="43" t="inlineStr">
        <is>
          <t>401 analitic ↔ sintetic</t>
        </is>
      </c>
      <c r="D7" s="43">
        <f>Verificări_CONTROL_BALANTA!E8</f>
        <v>0</v>
      </c>
      <c r="E7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8">
      <c r="A8" s="43" t="str">
        <f>IF(ABS(Verificări_CONTROL_BALANTA!E9)&lt;0.01,"NU","DA")</f>
        <v>NU</v>
      </c>
      <c r="B8" s="43" t="inlineStr">
        <is>
          <t>C-37</t>
        </is>
      </c>
      <c r="C8" s="43" t="inlineStr">
        <is>
          <t>542 analitic ↔ sintetic</t>
        </is>
      </c>
      <c r="D8" s="43">
        <f>Verificări_CONTROL_BALANTA!E9</f>
        <v>0</v>
      </c>
      <c r="E8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9">
      <c r="A9" s="43" t="str">
        <f>IF(ABS(Verificări_CONTROL_BALANTA!E10)&lt;0.01,"NU","DA")</f>
        <v>NU</v>
      </c>
      <c r="B9" s="43" t="inlineStr">
        <is>
          <t>C-37</t>
        </is>
      </c>
      <c r="C9" s="43" t="inlineStr">
        <is>
          <t>21x / 28x analitic ↔ sintetic</t>
        </is>
      </c>
      <c r="D9" s="43">
        <f>Verificări_CONTROL_BALANTA!E10</f>
        <v>0</v>
      </c>
      <c r="E9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0">
      <c r="A10" s="43" t="str">
        <f>IF(ABS(Verificări_CONTROL_BALANTA!E11)&lt;0.01,"NU","DA")</f>
        <v>NU</v>
      </c>
      <c r="B10" s="43" t="inlineStr">
        <is>
          <t>C-37</t>
        </is>
      </c>
      <c r="C10" s="43" t="inlineStr">
        <is>
          <t>446 analitic ↔ sintetic</t>
        </is>
      </c>
      <c r="D10" s="43">
        <f>Verificări_CONTROL_BALANTA!E11</f>
        <v>0</v>
      </c>
      <c r="E10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1">
      <c r="A11" s="43" t="str">
        <f>IF(ABS(Verificări_CONTROL_BALANTA!E12)&lt;0.01,"NU","DA")</f>
        <v>NU</v>
      </c>
      <c r="B11" s="43" t="inlineStr">
        <is>
          <t>C-37</t>
        </is>
      </c>
      <c r="C11" s="43" t="inlineStr">
        <is>
          <t>455 analitic ↔ sintetic</t>
        </is>
      </c>
      <c r="D11" s="43">
        <f>Verificări_CONTROL_BALANTA!E12</f>
        <v>0</v>
      </c>
      <c r="E11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2">
      <c r="A12" s="43" t="str">
        <f>IF(ABS(Verificări_CONTROL_BALANTA!E13)&lt;0.01,"NU","DA")</f>
        <v>NU</v>
      </c>
      <c r="B12" s="43" t="inlineStr">
        <is>
          <t>C-37</t>
        </is>
      </c>
      <c r="C12" s="43" t="inlineStr">
        <is>
          <t>1012 analitic ↔ sintetic</t>
        </is>
      </c>
      <c r="D12" s="43">
        <f>Verificări_CONTROL_BALANTA!E13</f>
        <v>0</v>
      </c>
      <c r="E12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3">
      <c r="A13" s="43" t="str">
        <f>IF(ABS(Verificări_CONTROL_BALANTA!E17)&lt;0.01,"NU","DA")</f>
        <v>NU</v>
      </c>
      <c r="B13" s="43" t="inlineStr">
        <is>
          <t>—</t>
        </is>
      </c>
      <c r="C13" s="43" t="inlineStr">
        <is>
          <t>121 vs. clasele 6 și 7</t>
        </is>
      </c>
      <c r="D13" s="43">
        <f>Verificări_CONTROL_BALANTA!E17</f>
        <v>0</v>
      </c>
      <c r="E13" s="43" t="inlineStr">
        <is>
          <t>Se verifică dacă 121 din anul precedent a fost închis. Nu există automatism ca la TVA: închiderea lui 121 se face manual, la începutul exercițiului următor.</t>
        </is>
      </c>
    </row>
    <row r="14">
      <c r="A14" s="43" t="str">
        <f>IF(ABS(Verificări_CONTROL_BALANTA!E21)&lt;0.01,"NU","DA")</f>
        <v>NU</v>
      </c>
      <c r="B14" s="43" t="inlineStr">
        <is>
          <t>C-23</t>
        </is>
      </c>
      <c r="C14" s="43" t="inlineStr">
        <is>
          <t>4111 sens sold</t>
        </is>
      </c>
      <c r="D14" s="43">
        <f>Verificări_CONTROL_BALANTA!E21</f>
        <v>0</v>
      </c>
      <c r="E14" s="43" t="inlineStr">
        <is>
          <t>Se caută operațiunea care a răsturnat soldul. Un cont de activ cu sold creditor e cel mai des un avans neînregistrat ca avans (vezi F-415).</t>
        </is>
      </c>
    </row>
    <row r="15">
      <c r="A15" s="43" t="str">
        <f>IF(ABS(Verificări_CONTROL_BALANTA!E22)&lt;0.01,"NU","DA")</f>
        <v>NU</v>
      </c>
      <c r="B15" s="43" t="inlineStr">
        <is>
          <t>C-23</t>
        </is>
      </c>
      <c r="C15" s="43" t="inlineStr">
        <is>
          <t>401 sens sold</t>
        </is>
      </c>
      <c r="D15" s="43">
        <f>Verificări_CONTROL_BALANTA!E22</f>
        <v>0</v>
      </c>
      <c r="E15" s="43" t="inlineStr">
        <is>
          <t>Se caută operațiunea care a răsturnat soldul. Un cont de activ cu sold creditor e cel mai des un avans neînregistrat ca avans (vezi F-415).</t>
        </is>
      </c>
    </row>
    <row r="16">
      <c r="A16" s="43" t="str">
        <f>IF(ABS(Verificări_CONTROL_BALANTA!E23)&lt;0.01,"NU","DA")</f>
        <v>NU</v>
      </c>
      <c r="B16" s="43" t="inlineStr">
        <is>
          <t>C-23</t>
        </is>
      </c>
      <c r="C16" s="43" t="inlineStr">
        <is>
          <t>409 sens sold</t>
        </is>
      </c>
      <c r="D16" s="43">
        <f>Verificări_CONTROL_BALANTA!E23</f>
        <v>0</v>
      </c>
      <c r="E16" s="43" t="inlineStr">
        <is>
          <t>Se caută operațiunea care a răsturnat soldul. Un cont de activ cu sold creditor e cel mai des un avans neînregistrat ca avans (vezi F-415).</t>
        </is>
      </c>
    </row>
    <row r="17">
      <c r="A17" s="43" t="str">
        <f>IF(ABS(Verificări_CONTROL_BALANTA!E24)&lt;0.01,"NU","DA")</f>
        <v>NU</v>
      </c>
      <c r="B17" s="43" t="inlineStr">
        <is>
          <t>C-23</t>
        </is>
      </c>
      <c r="C17" s="43" t="inlineStr">
        <is>
          <t>419 sens sold</t>
        </is>
      </c>
      <c r="D17" s="43">
        <f>Verificări_CONTROL_BALANTA!E24</f>
        <v>0</v>
      </c>
      <c r="E17" s="43" t="inlineStr">
        <is>
          <t>Se caută operațiunea care a răsturnat soldul. Un cont de activ cu sold creditor e cel mai des un avans neînregistrat ca avans (vezi F-415).</t>
        </is>
      </c>
    </row>
    <row r="18">
      <c r="A18" s="43" t="str">
        <f>IF(ABS(Verificări_CONTROL_BALANTA!E25)&lt;0.01,"NU","DA")</f>
        <v>NU</v>
      </c>
      <c r="B18" s="43" t="inlineStr">
        <is>
          <t>C-23</t>
        </is>
      </c>
      <c r="C18" s="43" t="inlineStr">
        <is>
          <t>4551 sens sold</t>
        </is>
      </c>
      <c r="D18" s="43">
        <f>Verificări_CONTROL_BALANTA!E25</f>
        <v>0</v>
      </c>
      <c r="E18" s="43" t="inlineStr">
        <is>
          <t>Se caută operațiunea care a răsturnat soldul. Un cont de activ cu sold creditor e cel mai des un avans neînregistrat ca avans (vezi F-415).</t>
        </is>
      </c>
    </row>
    <row r="19">
      <c r="A19" s="43" t="str">
        <f>IF(ABS(Verificări_CONTROL_BALANTA!E26)&lt;0.01,"NU","DA")</f>
        <v>NU</v>
      </c>
      <c r="B19" s="43" t="inlineStr">
        <is>
          <t>C-23</t>
        </is>
      </c>
      <c r="C19" s="43" t="inlineStr">
        <is>
          <t>5191 sens sold</t>
        </is>
      </c>
      <c r="D19" s="43">
        <f>Verificări_CONTROL_BALANTA!E26</f>
        <v>0</v>
      </c>
      <c r="E19" s="43" t="inlineStr">
        <is>
          <t>Se caută operațiunea care a răsturnat soldul. Un cont de activ cu sold creditor e cel mai des un avans neînregistrat ca avans (vezi F-415).</t>
        </is>
      </c>
    </row>
    <row r="20">
      <c r="A20" s="43" t="str">
        <f>IF(ABS(Verificări_CONTROL_BALANTA!E27)&lt;0.01,"NU","DA")</f>
        <v>NU</v>
      </c>
      <c r="B20" s="43" t="inlineStr">
        <is>
          <t>C-23</t>
        </is>
      </c>
      <c r="C20" s="43" t="inlineStr">
        <is>
          <t>444 sens sold</t>
        </is>
      </c>
      <c r="D20" s="43">
        <f>Verificări_CONTROL_BALANTA!E27</f>
        <v>0</v>
      </c>
      <c r="E20" s="43" t="inlineStr">
        <is>
          <t>Se caută operațiunea care a răsturnat soldul. Un cont de activ cu sold creditor e cel mai des un avans neînregistrat ca avans (vezi F-415).</t>
        </is>
      </c>
    </row>
    <row r="21">
      <c r="A21" s="43" t="str">
        <f>IF(ABS(Verificări_CONTROL_BALANTA!E28)&lt;0.01,"NU","DA")</f>
        <v>NU</v>
      </c>
      <c r="B21" s="43" t="inlineStr">
        <is>
          <t>C-23</t>
        </is>
      </c>
      <c r="C21" s="43" t="inlineStr">
        <is>
          <t>4282 sens sold</t>
        </is>
      </c>
      <c r="D21" s="43">
        <f>Verificări_CONTROL_BALANTA!E28</f>
        <v>0</v>
      </c>
      <c r="E21" s="43" t="inlineStr">
        <is>
          <t>Se caută operațiunea care a răsturnat soldul. Un cont de activ cu sold creditor e cel mai des un avans neînregistrat ca avans (vezi F-415).</t>
        </is>
      </c>
    </row>
    <row r="22">
      <c r="A22" s="43" t="str">
        <f>IF(ABS(Verificări_CONTROL_BALANTA!E29)&lt;0.01,"NU","DA")</f>
        <v>NU</v>
      </c>
      <c r="B22" s="43" t="inlineStr">
        <is>
          <t>C-23</t>
        </is>
      </c>
      <c r="C22" s="43" t="inlineStr">
        <is>
          <t>1621 sens sold</t>
        </is>
      </c>
      <c r="D22" s="43">
        <f>Verificări_CONTROL_BALANTA!E29</f>
        <v>0</v>
      </c>
      <c r="E22" s="43" t="inlineStr">
        <is>
          <t>Se caută operațiunea care a răsturnat soldul. Un cont de activ cu sold creditor e cel mai des un avans neînregistrat ca avans (vezi F-415).</t>
        </is>
      </c>
    </row>
    <row r="23">
      <c r="A23" s="43" t="str">
        <f>IF(ABS(Verificări_CONTROL_BALANTA!E33)&lt;0.01,"NU","DA")</f>
        <v>NU</v>
      </c>
      <c r="B23" s="43" t="inlineStr">
        <is>
          <t>C-39</t>
        </is>
      </c>
      <c r="C23" s="43" t="inlineStr">
        <is>
          <t>total sume debitoare</t>
        </is>
      </c>
      <c r="D23" s="43">
        <f>Verificări_CONTROL_BALANTA!E33</f>
        <v>0</v>
      </c>
      <c r="E23" s="43" t="inlineStr">
        <is>
          <t>Se reface preluarea: se introduc TOTAL SUMELE debitoare și creditoare din balanța de preluare, nu soldurile. Altfel rulajele anului pornesc de la zero din luna preluării.</t>
        </is>
      </c>
    </row>
    <row r="24">
      <c r="A24" s="43" t="str">
        <f>IF(ABS(Verificări_CONTROL_BALANTA!E34)&lt;0.01,"NU","DA")</f>
        <v>NU</v>
      </c>
      <c r="B24" s="43" t="inlineStr">
        <is>
          <t>C-39</t>
        </is>
      </c>
      <c r="C24" s="43" t="inlineStr">
        <is>
          <t>total sume creditoare</t>
        </is>
      </c>
      <c r="D24" s="43">
        <f>Verificări_CONTROL_BALANTA!E34</f>
        <v>0</v>
      </c>
      <c r="E24" s="43" t="inlineStr">
        <is>
          <t>Se reface preluarea: se introduc TOTAL SUMELE debitoare și creditoare din balanța de preluare, nu soldurile. Altfel rulajele anului pornesc de la zero din luna preluării.</t>
        </is>
      </c>
    </row>
    <row r="26">
      <c r="A26" s="43" t="inlineStr">
        <is>
          <t>Check — număr de abateri</t>
        </is>
      </c>
      <c r="B26" s="43">
        <f>COUNTIF(A5:A24,"DA")</f>
        <v>0</v>
      </c>
      <c r="C26" s="43" t="str">
        <f>IF(B26=0,"OK — nicio abatere","ATENȚIE — "&amp;B26&amp;" verificări nu trec")</f>
        <v>OK — nicio abatere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2026-09-01T06:18:51Z</dcterms:modified>
  <cp:revision>0</cp:revision>
</cp:coreProperties>
</file>