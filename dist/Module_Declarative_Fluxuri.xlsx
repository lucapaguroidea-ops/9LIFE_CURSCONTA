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uni" sheetId="1" state="visible" r:id="rId1"/>
    <sheet name="Parametri" sheetId="2" state="visible" r:id="rId2"/>
    <sheet name="CatalogModule" sheetId="3" state="visible" r:id="rId3"/>
    <sheet name="Declarații_INCHIDERE_TVA" sheetId="4" state="visible" r:id="rId4"/>
    <sheet name="Reguli_INCHIDERE_TVA" sheetId="5" state="visible" r:id="rId5"/>
    <sheet name="Jurnale_INCHIDERE_TVA" sheetId="6" state="visible" r:id="rId6"/>
    <sheet name="NotaExport_INCHIDERE_TVA" sheetId="7" state="visible" r:id="rId7"/>
    <sheet name="Declarații_APROV_TRANZIT" sheetId="8" state="visible" r:id="rId8"/>
    <sheet name="Reguli_APROV_TRANZIT" sheetId="9" state="visible" r:id="rId9"/>
    <sheet name="Jurnale_APROV_TRANZIT" sheetId="10" state="visible" r:id="rId10"/>
    <sheet name="NotaExport_APROV_TRANZIT" sheetId="11" state="visible" r:id="rId11"/>
    <sheet name="Declarații_INTERMEDIAR" sheetId="12" state="visible" r:id="rId12"/>
    <sheet name="Reguli_INTERMEDIAR" sheetId="13" state="visible" r:id="rId13"/>
    <sheet name="Jurnale_INTERMEDIAR" sheetId="14" state="visible" r:id="rId14"/>
    <sheet name="NotaExport_INTERMEDIAR" sheetId="15" state="visible" r:id="rId15"/>
    <sheet name="Declarații_INCHIDERE_EX" sheetId="16" state="visible" r:id="rId16"/>
    <sheet name="Reguli_INCHIDERE_EX" sheetId="17" state="visible" r:id="rId17"/>
    <sheet name="Jurnale_INCHIDERE_EX" sheetId="18" state="visible" r:id="rId18"/>
    <sheet name="NotaExport_INCHIDERE_EX" sheetId="19" state="visible" r:id="rId19"/>
    <sheet name="Declarații_NEUTRALIZARE" sheetId="20" state="visible" r:id="rId20"/>
    <sheet name="Reguli_NEUTRALIZARE" sheetId="21" state="visible" r:id="rId21"/>
    <sheet name="Jurnale_NEUTRALIZARE" sheetId="22" state="visible" r:id="rId22"/>
    <sheet name="NotaExport_NEUTRALIZARE" sheetId="23" state="visible" r:id="rId23"/>
    <sheet name="Declarații_AMANUNT" sheetId="24" state="visible" r:id="rId24"/>
    <sheet name="Reguli_AMANUNT" sheetId="25" state="visible" r:id="rId25"/>
    <sheet name="Jurnale_AMANUNT" sheetId="26" state="visible" r:id="rId26"/>
    <sheet name="NotaExport_AMANUNT" sheetId="27" state="visible" r:id="rId27"/>
    <sheet name="Declarații_TVA_INC" sheetId="28" state="visible" r:id="rId28"/>
    <sheet name="Reguli_TVA_INC" sheetId="29" state="visible" r:id="rId29"/>
    <sheet name="Jurnale_TVA_INC" sheetId="30" state="visible" r:id="rId30"/>
    <sheet name="NotaExport_TVA_INC" sheetId="31" state="visible" r:id="rId31"/>
    <sheet name="Declarații_IMOBILIZARI" sheetId="32" state="visible" r:id="rId32"/>
    <sheet name="Reguli_IMOBILIZARI" sheetId="33" state="visible" r:id="rId33"/>
    <sheet name="Jurnale_IMOBILIZARI" sheetId="34" state="visible" r:id="rId34"/>
    <sheet name="NotaExport_IMOBILIZARI" sheetId="35" state="visible" r:id="rId35"/>
    <sheet name="Declarații_IESIRE_MF" sheetId="36" state="visible" r:id="rId36"/>
    <sheet name="Reguli_IESIRE_MF" sheetId="37" state="visible" r:id="rId37"/>
    <sheet name="Jurnale_IESIRE_MF" sheetId="38" state="visible" r:id="rId38"/>
    <sheet name="NotaExport_IESIRE_MF" sheetId="39" state="visible" r:id="rId39"/>
    <sheet name="Declarații_CAPITALURI" sheetId="40" state="visible" r:id="rId40"/>
    <sheet name="Reguli_CAPITALURI" sheetId="41" state="visible" r:id="rId41"/>
    <sheet name="Jurnale_CAPITALURI" sheetId="42" state="visible" r:id="rId42"/>
    <sheet name="NotaExport_CAPITALURI" sheetId="43" state="visible" r:id="rId43"/>
    <sheet name="Declarații_LEASING_FIN" sheetId="44" state="visible" r:id="rId44"/>
    <sheet name="Reguli_LEASING_FIN" sheetId="45" state="visible" r:id="rId45"/>
    <sheet name="Jurnale_LEASING_FIN" sheetId="46" state="visible" r:id="rId46"/>
    <sheet name="NotaExport_LEASING_FIN" sheetId="47" state="visible" r:id="rId4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sz val="9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6" borderId="0" pivotButton="0" quotePrefix="0" xfId="0"/>
    <xf numFmtId="0" fontId="22" fillId="0" borderId="0" applyAlignment="1" pivotButton="0" quotePrefix="0" xfId="0">
      <alignment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21" fillId="6" borderId="0" applyAlignment="1" pivotButton="0" quotePrefix="0" xfId="0">
      <alignment horizontal="center" vertical="center" wrapText="1"/>
    </xf>
    <xf numFmtId="0" fontId="20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6" borderId="0" applyAlignment="1" pivotButton="0" quotePrefix="0" xfId="0">
      <alignment vertical="top" wrapText="1"/>
    </xf>
    <xf numFmtId="0" fontId="24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F-05,06,07,14,15,16,22,24,25,28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adăugați în Etapa 4 (capitaluri și imobilizări)</t>
        </is>
      </c>
    </row>
    <row r="16">
      <c r="A16" s="49" t="inlineStr">
        <is>
          <t>Procent rezervă legală (din profitul brut)</t>
        </is>
      </c>
      <c r="B16" s="50" t="n">
        <v>0.05</v>
      </c>
      <c r="C16" s="51" t="inlineStr">
        <is>
          <t>art. 26 alin. (1) lit. a) Cod fiscal</t>
        </is>
      </c>
    </row>
    <row r="17">
      <c r="A17" s="49" t="inlineStr">
        <is>
          <t>Plafon rezervă legală (din capitalul vărsat)</t>
        </is>
      </c>
      <c r="B17" s="50" t="n">
        <v>0.2</v>
      </c>
      <c r="C17" s="51" t="inlineStr">
        <is>
          <t>art. 183 Legea 31/1990 — capital subscris ȘI VĂRSAT</t>
        </is>
      </c>
    </row>
    <row r="18">
      <c r="A18" s="49" t="inlineStr">
        <is>
          <t>Prag mijloc fix (lei)</t>
        </is>
      </c>
      <c r="B18" s="50" t="n">
        <v>5000</v>
      </c>
      <c r="C18" s="51" t="inlineStr">
        <is>
          <t>OUG 8/2026, de la 25.02.2026; se actualizează anual cu inflația</t>
        </is>
      </c>
    </row>
    <row r="19">
      <c r="A19" s="49" t="inlineStr">
        <is>
          <t>Procent de deducere vehicule (regim mixt)</t>
        </is>
      </c>
      <c r="B19" s="50" t="n">
        <v>0.5</v>
      </c>
      <c r="C19" s="51" t="inlineStr">
        <is>
          <t>art. 298 CF (TVA) și art. 25 alin. (3) lit. l) CF (cheltuieli)</t>
        </is>
      </c>
    </row>
    <row r="20">
      <c r="A20" s="49" t="inlineStr">
        <is>
          <t>Plafon amortizare autoturism (lei/lună)</t>
        </is>
      </c>
      <c r="B20" s="50" t="n">
        <v>1500</v>
      </c>
      <c r="C20" s="51" t="inlineStr">
        <is>
          <t>art. 28 alin. (14) CF — NU se cumulează cu limitarea de 50%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2" t="inlineStr">
        <is>
          <t>Activ</t>
        </is>
      </c>
      <c r="B5" s="52" t="inlineStr">
        <is>
          <t>Cod modul</t>
        </is>
      </c>
      <c r="C5" s="52" t="inlineStr">
        <is>
          <t>Flux(uri) acoperite</t>
        </is>
      </c>
      <c r="D5" s="52" t="inlineStr">
        <is>
          <t>Tip</t>
        </is>
      </c>
      <c r="E5" s="52" t="inlineStr">
        <is>
          <t>Variabile obligatorii</t>
        </is>
      </c>
      <c r="F5" s="52" t="inlineStr">
        <is>
          <t>Porți declarative</t>
        </is>
      </c>
      <c r="G5" s="52" t="inlineStr">
        <is>
          <t>Blocuri jurnal emise</t>
        </is>
      </c>
      <c r="H5" s="52" t="inlineStr">
        <is>
          <t>Status</t>
        </is>
      </c>
    </row>
    <row r="6" ht="34.5" customHeight="1" s="40">
      <c r="A6" s="53" t="inlineStr">
        <is>
          <t>DA</t>
        </is>
      </c>
      <c r="B6" s="54" t="inlineStr">
        <is>
          <t>MOD_INCHIDERE_TVA</t>
        </is>
      </c>
      <c r="C6" s="54" t="inlineStr">
        <is>
          <t>F-21</t>
        </is>
      </c>
      <c r="D6" s="54" t="inlineStr">
        <is>
          <t>Lunar (fără linii)</t>
        </is>
      </c>
      <c r="E6" s="54" t="inlineStr">
        <is>
          <t>Rulaj 4426, Rulaj 4427, Luna</t>
        </is>
      </c>
      <c r="F6" s="54" t="inlineStr">
        <is>
          <t>—</t>
        </is>
      </c>
      <c r="G6" s="54" t="inlineStr">
        <is>
          <t>B1 Închidere 4426/4427 → 4423/4424</t>
        </is>
      </c>
      <c r="H6" s="54" t="inlineStr">
        <is>
          <t>IMPLEMENTAT</t>
        </is>
      </c>
    </row>
    <row r="7" ht="34.5" customHeight="1" s="40">
      <c r="A7" s="53" t="inlineStr">
        <is>
          <t>DA</t>
        </is>
      </c>
      <c r="B7" s="54" t="inlineStr">
        <is>
          <t>MOD_APROV_TRANZIT</t>
        </is>
      </c>
      <c r="C7" s="54" t="inlineStr">
        <is>
          <t>F-02 (+408 simetric)</t>
        </is>
      </c>
      <c r="D7" s="54" t="inlineStr">
        <is>
          <t>Eveniment + stingere</t>
        </is>
      </c>
      <c r="E7" s="54" t="inlineStr">
        <is>
          <t>Sumă netă, TVA, Cont stoc, Furnizor, Data factură, Data recepție</t>
        </is>
      </c>
      <c r="F7" s="54" t="inlineStr">
        <is>
          <t>Tranzit vs. direct</t>
        </is>
      </c>
      <c r="G7" s="54" t="inlineStr">
        <is>
          <t>B1 Factură→32x; B2 Recepție 30x=32x</t>
        </is>
      </c>
      <c r="H7" s="54" t="inlineStr">
        <is>
          <t>IMPLEMENTAT</t>
        </is>
      </c>
    </row>
    <row r="8" ht="34.5" customHeight="1" s="40">
      <c r="A8" s="55" t="inlineStr">
        <is>
          <t>NU</t>
        </is>
      </c>
      <c r="B8" s="56" t="inlineStr">
        <is>
          <t>MOD_SALARII</t>
        </is>
      </c>
      <c r="C8" s="56" t="inlineStr">
        <is>
          <t>F-32</t>
        </is>
      </c>
      <c r="D8" s="56" t="inlineStr">
        <is>
          <t>Lunar + plăți</t>
        </is>
      </c>
      <c r="E8" s="56" t="inlineStr">
        <is>
          <t>Brut, Tichete, Avans, Angajat, Luna — vezi fișierul Salarii AS Kids</t>
        </is>
      </c>
      <c r="F8" s="56" t="inlineStr">
        <is>
          <t>—</t>
        </is>
      </c>
      <c r="G8" s="56" t="inlineStr">
        <is>
          <t>B1 Costuri; B2 Plăți net+taxe; B3 Tichete — EXEMPLU EXTERN complet</t>
        </is>
      </c>
      <c r="H8" s="56" t="inlineStr">
        <is>
          <t>EXEMPLU EXTERN</t>
        </is>
      </c>
    </row>
    <row r="9" ht="34.5" customHeight="1" s="40">
      <c r="A9" s="55" t="inlineStr">
        <is>
          <t>NU</t>
        </is>
      </c>
      <c r="B9" s="56" t="inlineStr">
        <is>
          <t>MOD_DECONT</t>
        </is>
      </c>
      <c r="C9" s="56" t="inlineStr">
        <is>
          <t>F-35 + deplasări</t>
        </is>
      </c>
      <c r="D9" s="56" t="inlineStr">
        <is>
          <t>Pe decont</t>
        </is>
      </c>
      <c r="E9" s="56" t="inlineStr">
        <is>
          <t>Linii decont, Titular, Avans, Cotă TVA — vezi Deconturi AS Kids</t>
        </is>
      </c>
      <c r="F9" s="56" t="inlineStr">
        <is>
          <t>Platitor TVA, % ded. vehicule</t>
        </is>
      </c>
      <c r="G9" s="56" t="inlineStr">
        <is>
          <t>B1 Avans; B2 Cheltuieli; B3 Regularizare; B4 Plată — EXEMPLU EXTERN complet</t>
        </is>
      </c>
      <c r="H9" s="56" t="inlineStr">
        <is>
          <t>EXEMPLU EXTERN</t>
        </is>
      </c>
    </row>
    <row r="10" ht="34.5" customHeight="1" s="40">
      <c r="A10" s="55" t="inlineStr">
        <is>
          <t>NU</t>
        </is>
      </c>
      <c r="B10" s="56" t="inlineStr">
        <is>
          <t>MOD_LEASING_FIN</t>
        </is>
      </c>
      <c r="C10" s="56" t="inlineStr">
        <is>
          <t>F-26 + F-28 + reeval</t>
        </is>
      </c>
      <c r="D10" s="56" t="inlineStr">
        <is>
          <t>Pe contract + lună</t>
        </is>
      </c>
      <c r="E10" s="56" t="inlineStr">
        <is>
          <t>Contract, Scadențar, Regim vehicul, Curs BNR — vezi Template_leasing_financiar_auto</t>
        </is>
      </c>
      <c r="F10" s="56" t="inlineStr">
        <is>
          <t>MIXT/EXCLUSIV/EXCEPTAT; Capitalizare vs Cheltuială TVA neded.</t>
        </is>
      </c>
      <c r="G10" s="56" t="inlineStr">
        <is>
          <t>B1–B7 pe momente — EXEMPLU EXTERN complet</t>
        </is>
      </c>
      <c r="H10" s="56" t="inlineStr">
        <is>
          <t>ÎNLOCUIT — vezi rândul MOD_LEASING_FIN implementat mai jos</t>
        </is>
      </c>
    </row>
    <row r="11" ht="34.5" customHeight="1" s="40">
      <c r="A11" s="55" t="inlineStr">
        <is>
          <t>DA</t>
        </is>
      </c>
      <c r="B11" s="54" t="inlineStr">
        <is>
          <t>MOD_VANZ_AMANUNT</t>
        </is>
      </c>
      <c r="C11" s="54" t="inlineStr">
        <is>
          <t>F-14</t>
        </is>
      </c>
      <c r="D11" s="54" t="inlineStr">
        <is>
          <t>Pe gestiune + cotă</t>
        </is>
      </c>
      <c r="E11" s="54" t="inlineStr">
        <is>
          <t>Cost, Adaos %, Cotă TVA, Gestiune</t>
        </is>
      </c>
      <c r="F11" s="54" t="inlineStr">
        <is>
          <t>En-gros vs Amănunt</t>
        </is>
      </c>
      <c r="G11" s="54" t="inlineStr">
        <is>
          <t>B1 Aprovizionare PVA; B2 TVA ded.; B3 Descărcare; B4 Venit; B5 Corelații; B6 Închidere TVA</t>
        </is>
      </c>
      <c r="H11" s="54" t="inlineStr">
        <is>
          <t>IMPLEMENTAT</t>
        </is>
      </c>
    </row>
    <row r="12" ht="34.5" customHeight="1" s="40">
      <c r="A12" s="55" t="inlineStr">
        <is>
          <t>DA</t>
        </is>
      </c>
      <c r="B12" s="54" t="inlineStr">
        <is>
          <t>MOD_TVA_INCASARE</t>
        </is>
      </c>
      <c r="C12" s="54" t="inlineStr">
        <is>
          <t>F-17</t>
        </is>
      </c>
      <c r="D12" s="54" t="inlineStr">
        <is>
          <t>Pe factură</t>
        </is>
      </c>
      <c r="E12" s="54" t="inlineStr">
        <is>
          <t>Sumă netă, TVA, Tip (achiziție/vânzare), Data plată/încasare</t>
        </is>
      </c>
      <c r="F12" s="54" t="inlineStr">
        <is>
          <t>4428.INC activ</t>
        </is>
      </c>
      <c r="G12" s="54" t="inlineStr">
        <is>
          <t>B1 Factură→4428.INC; B2 Plată/Încasare→4426/4427</t>
        </is>
      </c>
      <c r="H12" s="54" t="inlineStr">
        <is>
          <t>IMPLEMENTAT</t>
        </is>
      </c>
    </row>
    <row r="13" ht="34.5" customHeight="1" s="40">
      <c r="A13" s="53" t="inlineStr">
        <is>
          <t>DA</t>
        </is>
      </c>
      <c r="B13" s="54" t="inlineStr">
        <is>
          <t>MOD_INCHIDERE_EX</t>
        </is>
      </c>
      <c r="C13" s="54" t="inlineStr">
        <is>
          <t>F-37</t>
        </is>
      </c>
      <c r="D13" s="54" t="inlineStr">
        <is>
          <t>Anual</t>
        </is>
      </c>
      <c r="E13" s="54" t="inlineStr">
        <is>
          <t>Rulaje cls.6, Rulaje cls.7, Impozit/IMCA</t>
        </is>
      </c>
      <c r="F13" s="54" t="inlineStr">
        <is>
          <t>—</t>
        </is>
      </c>
      <c r="G13" s="54" t="inlineStr">
        <is>
          <t>B1 Închidere 6xx; B2 Închidere 7xx; B3 Impozit; B4 Repartizare 129; B5 Report 117</t>
        </is>
      </c>
      <c r="H13" s="54" t="inlineStr">
        <is>
          <t>IMPLEMENTAT</t>
        </is>
      </c>
    </row>
    <row r="14" ht="34.5" customHeight="1" s="40">
      <c r="A14" s="53" t="inlineStr">
        <is>
          <t>DA</t>
        </is>
      </c>
      <c r="B14" s="54" t="inlineStr">
        <is>
          <t>MOD_INTERMEDIAR</t>
        </is>
      </c>
      <c r="C14" s="54" t="inlineStr">
        <is>
          <t>F-23, F-33, F-34</t>
        </is>
      </c>
      <c r="D14" s="54" t="inlineStr">
        <is>
          <t>Eveniment discret</t>
        </is>
      </c>
      <c r="E14" s="54" t="inlineStr">
        <is>
          <t>Sumă, Cont intermediar (408/418/581/473), Cont final, Document</t>
        </is>
      </c>
      <c r="F14" s="54" t="inlineStr">
        <is>
          <t>—</t>
        </is>
      </c>
      <c r="G14" s="54" t="inlineStr">
        <is>
          <t>B1 Deschidere intermediar; B2 Stingere</t>
        </is>
      </c>
      <c r="H14" s="54" t="inlineStr">
        <is>
          <t>IMPLEMENTAT</t>
        </is>
      </c>
    </row>
    <row r="15" ht="34.5" customHeight="1" s="40">
      <c r="A15" s="53" t="inlineStr">
        <is>
          <t>DA</t>
        </is>
      </c>
      <c r="B15" s="54" t="inlineStr">
        <is>
          <t>MOD_NEUTRALIZARE</t>
        </is>
      </c>
      <c r="C15" s="54" t="inlineStr">
        <is>
          <t>F-05, F-07, F-28</t>
        </is>
      </c>
      <c r="D15" s="54" t="inlineStr">
        <is>
          <t>Pe stadiu producție</t>
        </is>
      </c>
      <c r="E15" s="54" t="inlineStr">
        <is>
          <t>Cost acumulat, Cont stoc (331/332/231), Cont venit (711/712/722)</t>
        </is>
      </c>
      <c r="F15" s="54" t="inlineStr">
        <is>
          <t>—</t>
        </is>
      </c>
      <c r="G15" s="54" t="inlineStr">
        <is>
          <t>B1 Costuri→stoc; B2 Neutralizare; B3 Finalizare/livrare</t>
        </is>
      </c>
      <c r="H15" s="54" t="inlineStr">
        <is>
          <t>IMPLEMENTAT</t>
        </is>
      </c>
    </row>
    <row r="17" ht="15" customHeight="1" s="40">
      <c r="A17" s="57" t="inlineStr">
        <is>
          <t>NU</t>
        </is>
      </c>
      <c r="B17" s="58" t="inlineStr">
        <is>
          <t>MOD_IMOBILIZARI</t>
        </is>
      </c>
      <c r="C17" s="58" t="inlineStr">
        <is>
          <t>F-54, F-55, F-57, F-61</t>
        </is>
      </c>
      <c r="D17" s="58" t="inlineStr">
        <is>
          <t>Pe mijloc fix + lunar</t>
        </is>
      </c>
      <c r="E17" s="58" t="inlineStr">
        <is>
          <t>Valoare, regim TVA, cod clasificare, durată, dată PIF, taxe vamale, transport</t>
        </is>
      </c>
      <c r="F17" s="58" t="inlineStr">
        <is>
          <t>Prag 5.000 lei (MF vs. obiect de inventar); tranzit 223/224 dacă nu e recepționat</t>
        </is>
      </c>
      <c r="G17" s="58" t="inlineStr">
        <is>
          <t>B1 Intrare; B2 TVA pe regim; B3 Costuri capitalizate; B4 Amortizare lunară</t>
        </is>
      </c>
      <c r="H17" s="58" t="inlineStr">
        <is>
          <t>IMPLEMENTAT</t>
        </is>
      </c>
    </row>
    <row r="18" ht="15" customHeight="1" s="40">
      <c r="A18" s="57" t="inlineStr">
        <is>
          <t>NU</t>
        </is>
      </c>
      <c r="B18" s="58" t="inlineStr">
        <is>
          <t>MOD_IESIRE_MF</t>
        </is>
      </c>
      <c r="C18" s="58" t="inlineStr">
        <is>
          <t>F-59, F-60</t>
        </is>
      </c>
      <c r="D18" s="58" t="inlineStr">
        <is>
          <t>Pe eveniment de ieșire</t>
        </is>
      </c>
      <c r="E18" s="58" t="inlineStr">
        <is>
          <t>Valoare de intrare, amortizare cumulată, preț de vânzare, tip ieșire, documente</t>
        </is>
      </c>
      <c r="F18" s="58" t="inlineStr">
        <is>
          <t>Test deductibilitate (valoare rămasă vs. venit); documentarea prețului</t>
        </is>
      </c>
      <c r="G18" s="58" t="inlineStr">
        <is>
          <t>B1 Descărcare amortizare; B2 Valoare rămasă; B3 Vânzare; B4 Piese recuperate</t>
        </is>
      </c>
      <c r="H18" s="58" t="inlineStr">
        <is>
          <t>IMPLEMENTAT</t>
        </is>
      </c>
    </row>
    <row r="19" ht="15" customHeight="1" s="40">
      <c r="A19" s="57" t="inlineStr">
        <is>
          <t>NU</t>
        </is>
      </c>
      <c r="B19" s="58" t="inlineStr">
        <is>
          <t>MOD_CAPITALURI</t>
        </is>
      </c>
      <c r="C19" s="58" t="inlineStr">
        <is>
          <t>F-46, F-47</t>
        </is>
      </c>
      <c r="D19" s="58" t="inlineStr">
        <is>
          <t>Anual (31.12 + ianuarie)</t>
        </is>
      </c>
      <c r="E19" s="58" t="inlineStr">
        <is>
          <t>Sold 121, rulaj 691, capital vărsat 1012, sold 1061, pierdere reportată</t>
        </is>
      </c>
      <c r="F19" s="58" t="inlineStr">
        <is>
          <t>Dublu plafon rezervă legală; pierdere reportată de acoperit înainte de dividende</t>
        </is>
      </c>
      <c r="G19" s="58" t="inlineStr">
        <is>
          <t>B1 Rezervă legală; B2 Închidere 121; B3 Dividende; B4 Corecție 1174</t>
        </is>
      </c>
      <c r="H19" s="58" t="inlineStr">
        <is>
          <t>IMPLEMENTAT</t>
        </is>
      </c>
    </row>
    <row r="20" ht="15" customHeight="1" s="40">
      <c r="A20" s="57" t="inlineStr">
        <is>
          <t>NU</t>
        </is>
      </c>
      <c r="B20" s="58" t="inlineStr">
        <is>
          <t>MOD_LEASING_FIN</t>
        </is>
      </c>
      <c r="C20" s="58" t="inlineStr">
        <is>
          <t>F-50</t>
        </is>
      </c>
      <c r="D20" s="58" t="inlineStr">
        <is>
          <t>Pe contract + lunar</t>
        </is>
      </c>
      <c r="E20" s="58" t="inlineStr">
        <is>
          <t>Valoare contract, avans, rată, dobândă, comision, CASCO, regim vehicul, durată</t>
        </is>
      </c>
      <c r="F20" s="58" t="inlineStr">
        <is>
          <t>MIXT 50% / EXCLUSIV 100% / EXCEPTAT; capitalizare vs. cheltuială pentru TVA nededusă</t>
        </is>
      </c>
      <c r="G20" s="58" t="inlineStr">
        <is>
          <t>B1 Avans; B2 TVA avans; B3 Intrare + 167; B4 Stingere avans; B5 Factura lunară; B6 Corecție TVA 50%; B7 Limitare 50% cheltuieli; B8 Amortizare</t>
        </is>
      </c>
      <c r="H20" s="58" t="inlineStr">
        <is>
          <t>IMPLEMENTAT</t>
        </is>
      </c>
    </row>
    <row r="21" ht="15" customHeight="1" s="40"/>
    <row r="22" ht="15" customHeight="1" s="40">
      <c r="A22" s="42" t="inlineStr">
        <is>
          <t>REGULĂ DE SUMONARE</t>
        </is>
      </c>
    </row>
    <row r="23">
      <c r="A23" s="43" t="inlineStr">
        <is>
          <t>1. În CatalogModule setezi Activ=DA doar pe modulele necesare lunii.</t>
        </is>
      </c>
    </row>
    <row r="24">
      <c r="A24" s="43" t="inlineStr">
        <is>
          <t>2. Completezi variabilele din foaia Declarații_Modul (galben).</t>
        </is>
      </c>
    </row>
    <row r="25">
      <c r="A25" s="43" t="inlineStr">
        <is>
          <t>3. Jurnalele și NotaExport se populează automat doar pentru modulele active.</t>
        </is>
      </c>
    </row>
    <row r="26">
      <c r="A26" s="43" t="inlineStr">
        <is>
          <t>4. Verifici Check=0 pe fiecare bloc; filtrezi NotaExport pe Include=DA și imporți.</t>
        </is>
      </c>
    </row>
    <row r="27">
      <c r="A27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5:H25"/>
    <mergeCell ref="A24:H24"/>
    <mergeCell ref="A2:H2"/>
    <mergeCell ref="A1:H1"/>
    <mergeCell ref="A23:H23"/>
    <mergeCell ref="A27:H27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(AAAA-LL)</t>
        </is>
      </c>
      <c r="B7" s="55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5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0" t="n">
        <v>10500</v>
      </c>
    </row>
    <row r="12" ht="15" customHeight="1" s="40">
      <c r="A12" s="39" t="inlineStr">
        <is>
          <t>Rulaj creditor 4427 (TVA colectată)</t>
        </is>
      </c>
      <c r="B12" s="60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5" t="inlineStr">
        <is>
          <t>4426</t>
        </is>
      </c>
    </row>
    <row r="16" ht="15" customHeight="1" s="40">
      <c r="A16" s="39" t="inlineStr">
        <is>
          <t>Cont TVA colectată</t>
        </is>
      </c>
      <c r="B16" s="55" t="inlineStr">
        <is>
          <t>4427</t>
        </is>
      </c>
    </row>
    <row r="17" ht="15" customHeight="1" s="40">
      <c r="A17" s="39" t="inlineStr">
        <is>
          <t>Cont TVA de plată</t>
        </is>
      </c>
      <c r="B17" s="55" t="inlineStr">
        <is>
          <t>4423</t>
        </is>
      </c>
    </row>
    <row r="18" ht="15" customHeight="1" s="40">
      <c r="A18" s="39" t="inlineStr">
        <is>
          <t>Cont TVA de recuperat</t>
        </is>
      </c>
      <c r="B18" s="55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1">
        <f>B12-B11</f>
        <v>5250</v>
      </c>
    </row>
    <row r="22" ht="15" customHeight="1" s="40">
      <c r="A22" s="39" t="inlineStr">
        <is>
          <t>Direcție</t>
        </is>
      </c>
      <c r="B22" s="62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1">
        <f>IF(B21&gt;0,B21,0)</f>
        <v>5250</v>
      </c>
    </row>
    <row r="24" ht="15" customHeight="1" s="40">
      <c r="A24" s="39" t="inlineStr">
        <is>
          <t>Sumă pe 4424</t>
        </is>
      </c>
      <c r="B24" s="61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2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2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2" t="inlineStr">
        <is>
          <t>Pas</t>
        </is>
      </c>
      <c r="B5" s="52" t="inlineStr">
        <is>
          <t>Cont Dr</t>
        </is>
      </c>
      <c r="C5" s="52" t="inlineStr">
        <is>
          <t>Cont Cr</t>
        </is>
      </c>
      <c r="D5" s="52" t="inlineStr">
        <is>
          <t>Sumă (sursă)</t>
        </is>
      </c>
      <c r="E5" s="52" t="inlineStr">
        <is>
          <t>Condiție</t>
        </is>
      </c>
      <c r="F5" s="52" t="inlineStr">
        <is>
          <t>Temei / observație</t>
        </is>
      </c>
    </row>
    <row r="6" ht="15" customHeight="1" s="40">
      <c r="A6" s="63" t="n">
        <v>1</v>
      </c>
      <c r="B6" s="63" t="inlineStr">
        <is>
          <t>4427</t>
        </is>
      </c>
      <c r="C6" s="63" t="inlineStr">
        <is>
          <t>4426</t>
        </is>
      </c>
      <c r="D6" s="63" t="inlineStr">
        <is>
          <t>MIN(rulaj 4426, rulaj 4427)</t>
        </is>
      </c>
      <c r="E6" s="63" t="inlineStr">
        <is>
          <t>Întotdeauna</t>
        </is>
      </c>
      <c r="F6" s="63" t="inlineStr">
        <is>
          <t>Stingere reciprocă a rulajelor — fără sold intermediar</t>
        </is>
      </c>
    </row>
    <row r="7" ht="15" customHeight="1" s="40">
      <c r="A7" s="63" t="n">
        <v>2</v>
      </c>
      <c r="B7" s="63" t="inlineStr">
        <is>
          <t>4427</t>
        </is>
      </c>
      <c r="C7" s="63" t="inlineStr">
        <is>
          <t>4423</t>
        </is>
      </c>
      <c r="D7" s="63" t="inlineStr">
        <is>
          <t>MAX(0, 4427−4426)</t>
        </is>
      </c>
      <c r="E7" s="63" t="inlineStr">
        <is>
          <t>Dacă 4427 &gt; 4426</t>
        </is>
      </c>
      <c r="F7" s="63" t="inlineStr">
        <is>
          <t>Sold net = TVA de plată către buget</t>
        </is>
      </c>
    </row>
    <row r="8" ht="15" customHeight="1" s="40">
      <c r="A8" s="63" t="n">
        <v>3</v>
      </c>
      <c r="B8" s="63" t="inlineStr">
        <is>
          <t>4424</t>
        </is>
      </c>
      <c r="C8" s="63" t="inlineStr">
        <is>
          <t>4426</t>
        </is>
      </c>
      <c r="D8" s="63" t="inlineStr">
        <is>
          <t>MAX(0, 4426−4427)</t>
        </is>
      </c>
      <c r="E8" s="63" t="inlineStr">
        <is>
          <t>Dacă 4426 &gt; 4427</t>
        </is>
      </c>
      <c r="F8" s="63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2" t="inlineStr">
        <is>
          <t>Cont</t>
        </is>
      </c>
      <c r="B11" s="52" t="inlineStr">
        <is>
          <t>Denumire</t>
        </is>
      </c>
      <c r="C11" s="52" t="inlineStr">
        <is>
          <t>Rol</t>
        </is>
      </c>
      <c r="D11" s="52" t="inlineStr">
        <is>
          <t>Observație din Plan de conturi</t>
        </is>
      </c>
    </row>
    <row r="12" ht="21.75" customHeight="1" s="40">
      <c r="A12" s="63" t="inlineStr">
        <is>
          <t>4426</t>
        </is>
      </c>
      <c r="B12" s="63" t="inlineStr">
        <is>
          <t>TVA deductibilă</t>
        </is>
      </c>
      <c r="C12" s="63" t="inlineStr">
        <is>
          <t>Tranzit / reflectare</t>
        </is>
      </c>
      <c r="D12" s="63" t="inlineStr">
        <is>
          <t>Jurnal cumpărări; se închide lunar; fără sold</t>
        </is>
      </c>
    </row>
    <row r="13" ht="21.75" customHeight="1" s="40">
      <c r="A13" s="63" t="inlineStr">
        <is>
          <t>4427</t>
        </is>
      </c>
      <c r="B13" s="63" t="inlineStr">
        <is>
          <t>TVA colectată</t>
        </is>
      </c>
      <c r="C13" s="63" t="inlineStr">
        <is>
          <t>Tranzit / reflectare</t>
        </is>
      </c>
      <c r="D13" s="63" t="inlineStr">
        <is>
          <t>Jurnal vânzări; se închide lunar; fără sold</t>
        </is>
      </c>
    </row>
    <row r="14" ht="21.75" customHeight="1" s="40">
      <c r="A14" s="63" t="inlineStr">
        <is>
          <t>4423</t>
        </is>
      </c>
      <c r="B14" s="63" t="inlineStr">
        <is>
          <t>TVA de plată</t>
        </is>
      </c>
      <c r="C14" s="63" t="inlineStr">
        <is>
          <t>Patrimonial — Datorie</t>
        </is>
      </c>
      <c r="D14" s="63" t="inlineStr">
        <is>
          <t>Sold datorie lunară către buget</t>
        </is>
      </c>
    </row>
    <row r="15" ht="21.75" customHeight="1" s="40">
      <c r="A15" s="63" t="inlineStr">
        <is>
          <t>4424</t>
        </is>
      </c>
      <c r="B15" s="63" t="inlineStr">
        <is>
          <t>TVA de recuperat</t>
        </is>
      </c>
      <c r="C15" s="63" t="inlineStr">
        <is>
          <t>Patrimonial — Creanță</t>
        </is>
      </c>
      <c r="D15" s="63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2" t="str">
        <f>Declarații_INCHIDERE_TVA!B8</f>
        <v>2026-07-31</v>
      </c>
    </row>
    <row r="7" ht="15" customHeight="1" s="40">
      <c r="A7" s="64" t="inlineStr">
        <is>
          <t>Înregistrări</t>
        </is>
      </c>
    </row>
    <row r="8" ht="15" customHeight="1" s="40">
      <c r="A8" s="52" t="inlineStr">
        <is>
          <t>Nr</t>
        </is>
      </c>
      <c r="B8" s="52" t="inlineStr">
        <is>
          <t>Cont Dr</t>
        </is>
      </c>
      <c r="C8" s="52" t="inlineStr">
        <is>
          <t>Sumă Dr</t>
        </is>
      </c>
      <c r="D8" s="52" t="inlineStr">
        <is>
          <t>Descriere Dr</t>
        </is>
      </c>
      <c r="E8" s="52" t="inlineStr">
        <is>
          <t>Cont Cr</t>
        </is>
      </c>
      <c r="F8" s="52" t="inlineStr">
        <is>
          <t>Sumă Cr</t>
        </is>
      </c>
      <c r="G8" s="52" t="inlineStr">
        <is>
          <t>Descriere Cr</t>
        </is>
      </c>
    </row>
    <row r="9" ht="30" customHeight="1" s="40">
      <c r="A9" s="65" t="n">
        <v>1</v>
      </c>
      <c r="B9" s="65" t="str">
        <f>Declarații_INCHIDERE_TVA!B16</f>
        <v>4427</v>
      </c>
      <c r="C9" s="66">
        <f>MIN(Declarații_INCHIDERE_TVA!B11,Declarații_INCHIDERE_TVA!B12)</f>
        <v>10500</v>
      </c>
      <c r="D9" s="65" t="str">
        <f>"Stingere TVA colectată " &amp; Declarații_INCHIDERE_TVA!B27</f>
        <v>Stingere TVA colectată — închidere TVA 2026-07</v>
      </c>
      <c r="E9" s="65" t="str">
        <f>Declarații_INCHIDERE_TVA!B15</f>
        <v>4426</v>
      </c>
      <c r="F9" s="66">
        <f>MIN(Declarații_INCHIDERE_TVA!B11,Declarații_INCHIDERE_TVA!B12)</f>
        <v>10500</v>
      </c>
      <c r="G9" s="65" t="str">
        <f>"Stingere TVA deductibilă " &amp; Declarații_INCHIDERE_TVA!B27</f>
        <v>Stingere TVA deductibilă — închidere TVA 2026-07</v>
      </c>
    </row>
    <row r="10" ht="30" customHeight="1" s="40">
      <c r="A10" s="65" t="n">
        <v>2</v>
      </c>
      <c r="B10" s="65" t="str">
        <f>Declarații_INCHIDERE_TVA!B16</f>
        <v>4427</v>
      </c>
      <c r="C10" s="66">
        <f>Declarații_INCHIDERE_TVA!B23</f>
        <v>5250</v>
      </c>
      <c r="D10" s="65" t="str">
        <f>"TVA de plată (sold net) " &amp; Declarații_INCHIDERE_TVA!B27</f>
        <v>TVA de plată (sold net) — închidere TVA 2026-07</v>
      </c>
      <c r="E10" s="65" t="str">
        <f>Declarații_INCHIDERE_TVA!B17</f>
        <v>4423</v>
      </c>
      <c r="F10" s="66">
        <f>Declarații_INCHIDERE_TVA!B23</f>
        <v>5250</v>
      </c>
      <c r="G10" s="65" t="str">
        <f>"Datorie TVA buget " &amp; Declarații_INCHIDERE_TVA!B27</f>
        <v>Datorie TVA buget — închidere TVA 2026-07</v>
      </c>
    </row>
    <row r="11" ht="30" customHeight="1" s="40">
      <c r="A11" s="65" t="n">
        <v>3</v>
      </c>
      <c r="B11" s="65" t="str">
        <f>Declarații_INCHIDERE_TVA!B18</f>
        <v>4424</v>
      </c>
      <c r="C11" s="66">
        <f>Declarații_INCHIDERE_TVA!B24</f>
        <v>0</v>
      </c>
      <c r="D11" s="65" t="str">
        <f>"TVA de recuperat (sold net) " &amp; Declarații_INCHIDERE_TVA!B27</f>
        <v>TVA de recuperat (sold net) — închidere TVA 2026-07</v>
      </c>
      <c r="E11" s="65" t="str">
        <f>Declarații_INCHIDERE_TVA!B15</f>
        <v>4426</v>
      </c>
      <c r="F11" s="66">
        <f>Declarații_INCHIDERE_TVA!B24</f>
        <v>0</v>
      </c>
      <c r="G11" s="65" t="str">
        <f>"Stingere rest TVA deductibilă " &amp; Declarații_INCHIDERE_TVA!B27</f>
        <v>Stingere rest TVA deductibilă — închidere TVA 2026-07</v>
      </c>
    </row>
    <row r="13" ht="15" customHeight="1" s="40">
      <c r="A13" s="64" t="inlineStr">
        <is>
          <t>Sumar</t>
        </is>
      </c>
    </row>
    <row r="14" ht="15" customHeight="1" s="40">
      <c r="A14" s="39" t="inlineStr">
        <is>
          <t>Total Dr</t>
        </is>
      </c>
      <c r="B14" s="67">
        <f>C9+C10+C11</f>
        <v>15750</v>
      </c>
    </row>
    <row r="15" ht="15" customHeight="1" s="40">
      <c r="A15" s="39" t="inlineStr">
        <is>
          <t>Total Cr</t>
        </is>
      </c>
      <c r="B15" s="67">
        <f>F9+F10+F11</f>
        <v>15750</v>
      </c>
    </row>
    <row r="16" ht="15" customHeight="1" s="40">
      <c r="A16" s="39" t="inlineStr">
        <is>
          <t>Check Σ (structural)</t>
        </is>
      </c>
      <c r="B16" s="67">
        <f>B14-B15</f>
        <v>0</v>
      </c>
      <c r="C16" s="68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69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69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65" t="n">
        <v>1</v>
      </c>
      <c r="B5" s="65" t="inlineStr">
        <is>
          <t>Bloc 1 — Închidere TVA</t>
        </is>
      </c>
      <c r="C5" s="65" t="str">
        <f>Declarații_INCHIDERE_TVA!B8</f>
        <v>2026-07-31</v>
      </c>
      <c r="D5" s="65" t="str">
        <f>Jurnale_INCHIDERE_TVA!B9</f>
        <v>4427</v>
      </c>
      <c r="E5" s="65" t="str">
        <f>Jurnale_INCHIDERE_TVA!E9</f>
        <v>4426</v>
      </c>
      <c r="F5" s="66">
        <f>Jurnale_INCHIDERE_TVA!C9</f>
        <v>10500</v>
      </c>
      <c r="G5" s="65" t="str">
        <f>Jurnale_INCHIDERE_TVA!D9</f>
        <v>Stingere TVA colectată — închidere TVA 2026-07</v>
      </c>
      <c r="H5" s="65" t="inlineStr">
        <is>
          <t>Închidere lunară TVA</t>
        </is>
      </c>
      <c r="I5" s="65" t="str">
        <f>IF(F5&gt;0,"DA","NU")</f>
        <v>DA</v>
      </c>
    </row>
    <row r="6" ht="15" customHeight="1" s="40">
      <c r="A6" s="65" t="n">
        <v>2</v>
      </c>
      <c r="B6" s="65" t="inlineStr">
        <is>
          <t>Bloc 1 — Închidere TVA</t>
        </is>
      </c>
      <c r="C6" s="65" t="str">
        <f>Declarații_INCHIDERE_TVA!B8</f>
        <v>2026-07-31</v>
      </c>
      <c r="D6" s="65" t="str">
        <f>Jurnale_INCHIDERE_TVA!B10</f>
        <v>4427</v>
      </c>
      <c r="E6" s="65" t="str">
        <f>Jurnale_INCHIDERE_TVA!E10</f>
        <v>4423</v>
      </c>
      <c r="F6" s="66">
        <f>Jurnale_INCHIDERE_TVA!C10</f>
        <v>5250</v>
      </c>
      <c r="G6" s="65" t="str">
        <f>Jurnale_INCHIDERE_TVA!D10</f>
        <v>TVA de plată (sold net) — închidere TVA 2026-07</v>
      </c>
      <c r="H6" s="65" t="inlineStr">
        <is>
          <t>Închidere lunară TVA</t>
        </is>
      </c>
      <c r="I6" s="65" t="str">
        <f>IF(F6&gt;0,"DA","NU")</f>
        <v>DA</v>
      </c>
    </row>
    <row r="7" ht="15" customHeight="1" s="40">
      <c r="A7" s="65" t="n">
        <v>3</v>
      </c>
      <c r="B7" s="65" t="inlineStr">
        <is>
          <t>Bloc 1 — Închidere TVA</t>
        </is>
      </c>
      <c r="C7" s="65" t="str">
        <f>Declarații_INCHIDERE_TVA!B8</f>
        <v>2026-07-31</v>
      </c>
      <c r="D7" s="65" t="str">
        <f>Jurnale_INCHIDERE_TVA!B11</f>
        <v>4424</v>
      </c>
      <c r="E7" s="65" t="str">
        <f>Jurnale_INCHIDERE_TVA!E11</f>
        <v>4426</v>
      </c>
      <c r="F7" s="66">
        <f>Jurnale_INCHIDERE_TVA!C11</f>
        <v>0</v>
      </c>
      <c r="G7" s="65" t="str">
        <f>Jurnale_INCHIDERE_TVA!D11</f>
        <v>TVA de recuperat (sold net) — închidere TVA 2026-07</v>
      </c>
      <c r="H7" s="65" t="inlineStr">
        <is>
          <t>Închidere lunară TVA</t>
        </is>
      </c>
      <c r="I7" s="65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7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(AAAA-LL)</t>
        </is>
      </c>
      <c r="B7" s="55" t="inlineStr">
        <is>
          <t>2026-07</t>
        </is>
      </c>
    </row>
    <row r="8" ht="15" customHeight="1" s="40">
      <c r="A8" s="39" t="inlineStr">
        <is>
          <t>Data factură (jurnal B1)</t>
        </is>
      </c>
      <c r="B8" s="55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5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5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5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0" t="n">
        <v>8000</v>
      </c>
    </row>
    <row r="15" ht="15" customHeight="1" s="40">
      <c r="A15" s="39" t="inlineStr">
        <is>
          <t>Cota TVA</t>
        </is>
      </c>
      <c r="B15" s="70" t="n">
        <v>0.21</v>
      </c>
    </row>
    <row r="16" ht="15" customHeight="1" s="40">
      <c r="A16" s="39" t="inlineStr">
        <is>
          <t>TVA (calculat)</t>
        </is>
      </c>
      <c r="B16" s="61">
        <f>B14*B15</f>
        <v>1680</v>
      </c>
    </row>
    <row r="17" ht="15" customHeight="1" s="40">
      <c r="A17" s="39" t="inlineStr">
        <is>
          <t>Total factură</t>
        </is>
      </c>
      <c r="B17" s="61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5" t="inlineStr">
        <is>
          <t>371</t>
        </is>
      </c>
    </row>
    <row r="21" ht="15" customHeight="1" s="40">
      <c r="A21" s="39" t="inlineStr">
        <is>
          <t>Cont tranzit (32x)</t>
        </is>
      </c>
      <c r="B21" s="55" t="inlineStr">
        <is>
          <t>327</t>
        </is>
      </c>
    </row>
    <row r="22" ht="15" customHeight="1" s="40">
      <c r="A22" s="39" t="inlineStr">
        <is>
          <t>Cont furnizor</t>
        </is>
      </c>
      <c r="B22" s="55" t="inlineStr">
        <is>
          <t>401.RO</t>
        </is>
      </c>
    </row>
    <row r="23" ht="15" customHeight="1" s="40">
      <c r="A23" s="39" t="inlineStr">
        <is>
          <t>Cont TVA deductibilă</t>
        </is>
      </c>
      <c r="B23" s="55" t="inlineStr">
        <is>
          <t>4426</t>
        </is>
      </c>
    </row>
    <row r="24" ht="15" customHeight="1" s="40">
      <c r="A24" s="39" t="inlineStr">
        <is>
          <t>Platitor TVA? (DA/NU)</t>
        </is>
      </c>
      <c r="B24" s="55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5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5" t="inlineStr">
        <is>
          <t>NU</t>
        </is>
      </c>
    </row>
    <row r="29" ht="15" customHeight="1" s="40">
      <c r="A29" s="39" t="inlineStr">
        <is>
          <t>Notă poartă</t>
        </is>
      </c>
      <c r="B29" s="62" t="str">
        <f>IF(AND(B27="DA",B28="NU"),"Cale standard F-02: 32x → stoc","Verifică: dacă ambele DA sau ambele NU, situația nu e tranzit clasic")</f>
        <v>Cale standard F-02: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2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2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F-02)</t>
        </is>
      </c>
    </row>
    <row r="5" ht="15" customHeight="1" s="40">
      <c r="A5" s="52" t="inlineStr">
        <is>
          <t>Pas</t>
        </is>
      </c>
      <c r="B5" s="52" t="inlineStr">
        <is>
          <t>Moment</t>
        </is>
      </c>
      <c r="C5" s="52" t="inlineStr">
        <is>
          <t>Cont Dr</t>
        </is>
      </c>
      <c r="D5" s="52" t="inlineStr">
        <is>
          <t>Cont Cr</t>
        </is>
      </c>
      <c r="E5" s="52" t="inlineStr">
        <is>
          <t>Sumă</t>
        </is>
      </c>
      <c r="F5" s="52" t="inlineStr">
        <is>
          <t>Temei / observație</t>
        </is>
      </c>
    </row>
    <row r="6" ht="15" customHeight="1" s="40">
      <c r="A6" s="63" t="n">
        <v>1</v>
      </c>
      <c r="B6" s="63" t="inlineStr">
        <is>
          <t>Factură (marfă pe drum)</t>
        </is>
      </c>
      <c r="C6" s="63" t="inlineStr">
        <is>
          <t>327 (tranzit)</t>
        </is>
      </c>
      <c r="D6" s="63" t="inlineStr">
        <is>
          <t>401.RO</t>
        </is>
      </c>
      <c r="E6" s="63" t="inlineStr">
        <is>
          <t>Netă</t>
        </is>
      </c>
      <c r="F6" s="63" t="inlineStr">
        <is>
          <t>Rol: Tranzit / reflectare — destinația cunoscută, așteaptă recepția</t>
        </is>
      </c>
    </row>
    <row r="7" ht="15" customHeight="1" s="40">
      <c r="A7" s="63" t="n">
        <v>2</v>
      </c>
      <c r="B7" s="63" t="inlineStr">
        <is>
          <t>Factură — TVA</t>
        </is>
      </c>
      <c r="C7" s="63" t="inlineStr">
        <is>
          <t>4426</t>
        </is>
      </c>
      <c r="D7" s="63" t="inlineStr">
        <is>
          <t>401.RO</t>
        </is>
      </c>
      <c r="E7" s="63" t="inlineStr">
        <is>
          <t>TVA</t>
        </is>
      </c>
      <c r="F7" s="63" t="inlineStr">
        <is>
          <t>Tranzit TVA; se închide lunar în 4423/4424</t>
        </is>
      </c>
    </row>
    <row r="8" ht="15" customHeight="1" s="40">
      <c r="A8" s="63" t="n">
        <v>3</v>
      </c>
      <c r="B8" s="63" t="inlineStr">
        <is>
          <t>Recepție NIR</t>
        </is>
      </c>
      <c r="C8" s="63" t="inlineStr">
        <is>
          <t>371 (sau 301)</t>
        </is>
      </c>
      <c r="D8" s="63" t="inlineStr">
        <is>
          <t>327</t>
        </is>
      </c>
      <c r="E8" s="63" t="inlineStr">
        <is>
          <t>Netă</t>
        </is>
      </c>
      <c r="F8" s="63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2" t="inlineStr">
        <is>
          <t>Cont</t>
        </is>
      </c>
      <c r="B11" s="52" t="inlineStr">
        <is>
          <t>Denumire</t>
        </is>
      </c>
      <c r="C11" s="52" t="inlineStr">
        <is>
          <t>Rol</t>
        </is>
      </c>
      <c r="D11" s="52" t="inlineStr">
        <is>
          <t>Observație</t>
        </is>
      </c>
    </row>
    <row r="12" ht="84.75" customHeight="1" s="40">
      <c r="A12" s="63" t="inlineStr">
        <is>
          <t>327</t>
        </is>
      </c>
      <c r="B12" s="63" t="inlineStr">
        <is>
          <t>Mărfuri în curs de aprovizionare</t>
        </is>
      </c>
      <c r="C12" s="63" t="inlineStr">
        <is>
          <t>Tranzit / reflectare</t>
        </is>
      </c>
      <c r="D12" s="63" t="inlineStr">
        <is>
          <t>Se stinge 371=327 la recepție. Fără pasul de stingere → stoc subevaluat + 327 deschis</t>
        </is>
      </c>
    </row>
    <row r="13" ht="74.25" customHeight="1" s="40">
      <c r="A13" s="63" t="inlineStr">
        <is>
          <t>321-328</t>
        </is>
      </c>
      <c r="B13" s="63" t="inlineStr">
        <is>
          <t>Familia 32x</t>
        </is>
      </c>
      <c r="C13" s="63" t="inlineStr">
        <is>
          <t>Tranzit / reflectare</t>
        </is>
      </c>
      <c r="D13" s="63" t="inlineStr">
        <is>
          <t>321 materii, 322 consumabile, 323 obiecte inventar, 327 mărfuri, 328 ambalaje</t>
        </is>
      </c>
    </row>
    <row r="14" ht="32.25" customHeight="1" s="40">
      <c r="A14" s="63" t="inlineStr">
        <is>
          <t>371 / 301</t>
        </is>
      </c>
      <c r="B14" s="63" t="inlineStr">
        <is>
          <t>Stoc real</t>
        </is>
      </c>
      <c r="C14" s="63" t="inlineStr">
        <is>
          <t>Patrimonial — Stoc</t>
        </is>
      </c>
      <c r="D14" s="63" t="inlineStr">
        <is>
          <t>Destinația finală după recepție</t>
        </is>
      </c>
    </row>
    <row r="15" ht="32.25" customHeight="1" s="40">
      <c r="A15" s="63" t="inlineStr">
        <is>
          <t>401.RO</t>
        </is>
      </c>
      <c r="B15" s="63" t="inlineStr">
        <is>
          <t>Furnizori RO</t>
        </is>
      </c>
      <c r="C15" s="63" t="inlineStr">
        <is>
          <t>Patrimonial — Datorie</t>
        </is>
      </c>
      <c r="D15" s="63" t="inlineStr">
        <is>
          <t>Analitic pe rezidență pentru D394</t>
        </is>
      </c>
    </row>
    <row r="16" ht="32.25" customHeight="1" s="40">
      <c r="A16" s="63" t="inlineStr">
        <is>
          <t>4426</t>
        </is>
      </c>
      <c r="B16" s="63" t="inlineStr">
        <is>
          <t>TVA deductibilă</t>
        </is>
      </c>
      <c r="C16" s="63" t="inlineStr">
        <is>
          <t>Tranzit / reflectare</t>
        </is>
      </c>
      <c r="D16" s="63" t="inlineStr">
        <is>
          <t>Fără sold după închiderea lunară</t>
        </is>
      </c>
    </row>
    <row r="17" ht="74.25" customHeight="1" s="40">
      <c r="A17" s="63" t="inlineStr">
        <is>
          <t>408</t>
        </is>
      </c>
      <c r="B17" s="63" t="inlineStr">
        <is>
          <t>Furnizori — facturi nesosite</t>
        </is>
      </c>
      <c r="C17" s="63" t="inlineStr">
        <is>
          <t>Intermediar / clarificare</t>
        </is>
      </c>
      <c r="D17" s="63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2" t="str">
        <f>Declarații_APROV_TRANZIT!B8</f>
        <v>2026-07-10</v>
      </c>
    </row>
    <row r="7" ht="15" customHeight="1" s="40">
      <c r="A7" s="52" t="inlineStr">
        <is>
          <t>Nr</t>
        </is>
      </c>
      <c r="B7" s="52" t="inlineStr">
        <is>
          <t>Cont Dr</t>
        </is>
      </c>
      <c r="C7" s="52" t="inlineStr">
        <is>
          <t>Sumă Dr</t>
        </is>
      </c>
      <c r="D7" s="52" t="inlineStr">
        <is>
          <t>Descriere Dr</t>
        </is>
      </c>
      <c r="E7" s="52" t="inlineStr">
        <is>
          <t>Cont Cr</t>
        </is>
      </c>
      <c r="F7" s="52" t="inlineStr">
        <is>
          <t>Sumă Cr</t>
        </is>
      </c>
      <c r="G7" s="52" t="inlineStr">
        <is>
          <t>Descriere Cr</t>
        </is>
      </c>
    </row>
    <row r="8" ht="27.75" customHeight="1" s="40">
      <c r="A8" s="65" t="n">
        <v>1</v>
      </c>
      <c r="B8" s="65" t="str">
        <f>Declarații_APROV_TRANZIT!B21</f>
        <v>327</v>
      </c>
      <c r="C8" s="66">
        <f>Declarații_APROV_TRANZIT!B14</f>
        <v>8000</v>
      </c>
      <c r="D8" s="65" t="str">
        <f>"Marfă în curs de aprovizionare " &amp; Declarații_APROV_TRANZIT!B32</f>
        <v>Marfă în curs de aprovizionare — 2026-07 — Furnizor DEMO — F-1234/10.07.2026</v>
      </c>
      <c r="E8" s="65" t="str">
        <f>Declarații_APROV_TRANZIT!B22</f>
        <v>401.RO</v>
      </c>
      <c r="F8" s="66">
        <f>Declarații_APROV_TRANZIT!B14</f>
        <v>8000</v>
      </c>
      <c r="G8" s="65" t="str">
        <f>"Datorie furnizor (net) " &amp; Declarații_APROV_TRANZIT!B32</f>
        <v>Datorie furnizor (net) — 2026-07 — Furnizor DEMO — F-1234/10.07.2026</v>
      </c>
    </row>
    <row r="9" ht="27.75" customHeight="1" s="40">
      <c r="A9" s="65" t="n">
        <v>2</v>
      </c>
      <c r="B9" s="65" t="str">
        <f>Declarații_APROV_TRANZIT!B23</f>
        <v>4426</v>
      </c>
      <c r="C9" s="66">
        <f>IF(Declarații_APROV_TRANZIT!B24="DA",Declarații_APROV_TRANZIT!B16,0)</f>
        <v>1680</v>
      </c>
      <c r="D9" s="65" t="str">
        <f>"TVA deductibilă pe factură în tranzit " &amp; Declarații_APROV_TRANZIT!B32</f>
        <v>TVA deductibilă pe factură în tranzit — 2026-07 — Furnizor DEMO — F-1234/10.07.2026</v>
      </c>
      <c r="E9" s="65" t="str">
        <f>Declarații_APROV_TRANZIT!B22</f>
        <v>401.RO</v>
      </c>
      <c r="F9" s="66">
        <f>IF(Declarații_APROV_TRANZIT!B24="DA",Declarații_APROV_TRANZIT!B16,0)</f>
        <v>1680</v>
      </c>
      <c r="G9" s="65" t="str">
        <f>"Datorie furnizor (TVA) " &amp; Declarații_APROV_TRANZIT!B32</f>
        <v>Datorie furnizor (TVA) — 2026-07 — Furnizor DEMO — F-1234/10.07.2026</v>
      </c>
    </row>
    <row r="11" ht="15" customHeight="1" s="40">
      <c r="A11" s="64" t="inlineStr">
        <is>
          <t>Sumar Bloc 1</t>
        </is>
      </c>
    </row>
    <row r="12" ht="15" customHeight="1" s="40">
      <c r="A12" s="39" t="inlineStr">
        <is>
          <t>Total Dr</t>
        </is>
      </c>
      <c r="B12" s="67">
        <f>C8+C9</f>
        <v>9680</v>
      </c>
    </row>
    <row r="13" ht="15" customHeight="1" s="40">
      <c r="A13" s="39" t="inlineStr">
        <is>
          <t>Total Cr</t>
        </is>
      </c>
      <c r="B13" s="67">
        <f>F8+F9</f>
        <v>9680</v>
      </c>
    </row>
    <row r="14" ht="15" customHeight="1" s="40">
      <c r="A14" s="39" t="inlineStr">
        <is>
          <t>Check B1</t>
        </is>
      </c>
      <c r="B14" s="67">
        <f>B12-B13</f>
        <v>0</v>
      </c>
      <c r="C14" s="69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2" t="str">
        <f>Declarații_APROV_TRANZIT!B9</f>
        <v>2026-07-18</v>
      </c>
    </row>
    <row r="19" ht="15" customHeight="1" s="40">
      <c r="A19" s="52" t="inlineStr">
        <is>
          <t>Nr</t>
        </is>
      </c>
      <c r="B19" s="52" t="inlineStr">
        <is>
          <t>Cont Dr</t>
        </is>
      </c>
      <c r="C19" s="52" t="inlineStr">
        <is>
          <t>Sumă Dr</t>
        </is>
      </c>
      <c r="D19" s="52" t="inlineStr">
        <is>
          <t>Descriere Dr</t>
        </is>
      </c>
      <c r="E19" s="52" t="inlineStr">
        <is>
          <t>Cont Cr</t>
        </is>
      </c>
      <c r="F19" s="52" t="inlineStr">
        <is>
          <t>Sumă Cr</t>
        </is>
      </c>
      <c r="G19" s="52" t="inlineStr">
        <is>
          <t>Descriere Cr</t>
        </is>
      </c>
    </row>
    <row r="20" ht="27.75" customHeight="1" s="40">
      <c r="A20" s="65" t="n">
        <v>1</v>
      </c>
      <c r="B20" s="65" t="str">
        <f>Declarații_APROV_TRANZIT!B20</f>
        <v>371</v>
      </c>
      <c r="C20" s="66">
        <f>Declarații_APROV_TRANZIT!B14</f>
        <v>8000</v>
      </c>
      <c r="D20" s="65" t="str">
        <f>"Recepție stoc real (stingere tranzit) " &amp; Declarații_APROV_TRANZIT!B32</f>
        <v>Recepție stoc real (stingere tranzit) — 2026-07 — Furnizor DEMO — F-1234/10.07.2026</v>
      </c>
      <c r="E20" s="65" t="str">
        <f>Declarații_APROV_TRANZIT!B21</f>
        <v>327</v>
      </c>
      <c r="F20" s="66">
        <f>Declarații_APROV_TRANZIT!B14</f>
        <v>8000</v>
      </c>
      <c r="G20" s="65" t="str">
        <f>"Stingere 32x " &amp; Declarații_APROV_TRANZIT!B32</f>
        <v>Stingere 32x — 2026-07 — Furnizor DEMO — F-1234/10.07.2026</v>
      </c>
    </row>
    <row r="22" ht="15" customHeight="1" s="40">
      <c r="A22" s="64" t="inlineStr">
        <is>
          <t>Sumar Bloc 2</t>
        </is>
      </c>
    </row>
    <row r="23" ht="15" customHeight="1" s="40">
      <c r="A23" s="39" t="inlineStr">
        <is>
          <t>Total Dr</t>
        </is>
      </c>
      <c r="B23" s="67">
        <f>C20</f>
        <v>8000</v>
      </c>
    </row>
    <row r="24" ht="15" customHeight="1" s="40">
      <c r="A24" s="39" t="inlineStr">
        <is>
          <t>Total Cr</t>
        </is>
      </c>
      <c r="B24" s="67">
        <f>F20</f>
        <v>8000</v>
      </c>
    </row>
    <row r="25" ht="15" customHeight="1" s="40">
      <c r="A25" s="39" t="inlineStr">
        <is>
          <t>Check B2</t>
        </is>
      </c>
      <c r="B25" s="67">
        <f>B23-B24</f>
        <v>0</v>
      </c>
      <c r="C25" s="69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4" t="inlineStr">
        <is>
          <t>Check global (toate blocurile)</t>
        </is>
      </c>
      <c r="B30" s="39">
        <f>ABS(B14)+ABS(B25)</f>
        <v>0</v>
      </c>
      <c r="C30" s="69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21.75" customHeight="1" s="40">
      <c r="A5" s="65" t="n">
        <v>1</v>
      </c>
      <c r="B5" s="65" t="inlineStr">
        <is>
          <t>Bloc 1 — Factură tranzit</t>
        </is>
      </c>
      <c r="C5" s="65" t="str">
        <f>Declarații_APROV_TRANZIT!B8</f>
        <v>2026-07-10</v>
      </c>
      <c r="D5" s="65" t="str">
        <f>Jurnale_APROV_TRANZIT!B8</f>
        <v>327</v>
      </c>
      <c r="E5" s="65" t="str">
        <f>Jurnale_APROV_TRANZIT!E8</f>
        <v>401.RO</v>
      </c>
      <c r="F5" s="66">
        <f>Jurnale_APROV_TRANZIT!C8</f>
        <v>8000</v>
      </c>
      <c r="G5" s="65" t="str">
        <f>Jurnale_APROV_TRANZIT!D8</f>
        <v>Marfă în curs de aprovizionare — 2026-07 — Furnizor DEMO — F-1234/10.07.2026</v>
      </c>
      <c r="H5" s="65" t="str">
        <f>Declarații_APROV_TRANZIT!B11</f>
        <v>F-1234/10.07.2026</v>
      </c>
      <c r="I5" s="65" t="str">
        <f>IF(F5&gt;0,"DA","NU")</f>
        <v>DA</v>
      </c>
    </row>
    <row r="6" ht="21.75" customHeight="1" s="40">
      <c r="A6" s="65" t="n">
        <v>2</v>
      </c>
      <c r="B6" s="65" t="inlineStr">
        <is>
          <t>Bloc 1 — Factură tranzit</t>
        </is>
      </c>
      <c r="C6" s="65" t="str">
        <f>Declarații_APROV_TRANZIT!B8</f>
        <v>2026-07-10</v>
      </c>
      <c r="D6" s="65" t="str">
        <f>Jurnale_APROV_TRANZIT!B9</f>
        <v>4426</v>
      </c>
      <c r="E6" s="65" t="str">
        <f>Jurnale_APROV_TRANZIT!E9</f>
        <v>401.RO</v>
      </c>
      <c r="F6" s="66">
        <f>Jurnale_APROV_TRANZIT!C9</f>
        <v>1680</v>
      </c>
      <c r="G6" s="65" t="str">
        <f>Jurnale_APROV_TRANZIT!D9</f>
        <v>TVA deductibilă pe factură în tranzit — 2026-07 — Furnizor DEMO — F-1234/10.07.2026</v>
      </c>
      <c r="H6" s="65" t="str">
        <f>Declarații_APROV_TRANZIT!B11</f>
        <v>F-1234/10.07.2026</v>
      </c>
      <c r="I6" s="65" t="str">
        <f>IF(F6&gt;0,"DA","NU")</f>
        <v>DA</v>
      </c>
    </row>
    <row r="7" ht="21.75" customHeight="1" s="40">
      <c r="A7" s="65" t="n">
        <v>3</v>
      </c>
      <c r="B7" s="65" t="inlineStr">
        <is>
          <t>Bloc 2 — Recepție</t>
        </is>
      </c>
      <c r="C7" s="65" t="str">
        <f>Declarații_APROV_TRANZIT!B9</f>
        <v>2026-07-18</v>
      </c>
      <c r="D7" s="65" t="str">
        <f>Jurnale_APROV_TRANZIT!B20</f>
        <v>371</v>
      </c>
      <c r="E7" s="65" t="str">
        <f>Jurnale_APROV_TRANZIT!E20</f>
        <v>327</v>
      </c>
      <c r="F7" s="66">
        <f>Jurnale_APROV_TRANZIT!C20</f>
        <v>8000</v>
      </c>
      <c r="G7" s="65" t="str">
        <f>Jurnale_APROV_TRANZIT!D20</f>
        <v>Recepție stoc real (stingere tranzit) — 2026-07 — Furnizor DEMO — F-1234/10.07.2026</v>
      </c>
      <c r="H7" s="65" t="inlineStr">
        <is>
          <t>NIR</t>
        </is>
      </c>
      <c r="I7" s="65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(AAAA-LL)</t>
        </is>
      </c>
      <c r="B7" s="55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5" t="inlineStr">
        <is>
          <t>473</t>
        </is>
      </c>
    </row>
    <row r="11" ht="15" customHeight="1" s="40">
      <c r="A11" s="39" t="inlineStr">
        <is>
          <t>Descriere tip (auto)</t>
        </is>
      </c>
      <c r="B11" s="62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5" t="inlineStr">
        <is>
          <t>2026-07-15</t>
        </is>
      </c>
    </row>
    <row r="15" ht="15" customHeight="1" s="40">
      <c r="A15" s="39" t="inlineStr">
        <is>
          <t>Sumă</t>
        </is>
      </c>
      <c r="B15" s="60" t="n">
        <v>2350</v>
      </c>
    </row>
    <row r="16" ht="15" customHeight="1" s="40">
      <c r="A16" s="39" t="inlineStr">
        <is>
          <t>Cont intermediar (Dr sau Cr după tip)</t>
        </is>
      </c>
      <c r="B16" s="55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5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5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5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5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5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5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2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2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2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2" t="inlineStr">
        <is>
          <t>Tip</t>
        </is>
      </c>
      <c r="B5" s="52" t="inlineStr">
        <is>
          <t>Denumire</t>
        </is>
      </c>
      <c r="C5" s="52" t="inlineStr">
        <is>
          <t>Rol</t>
        </is>
      </c>
      <c r="D5" s="52" t="inlineStr">
        <is>
          <t>Deschidere tipică</t>
        </is>
      </c>
      <c r="E5" s="52" t="inlineStr">
        <is>
          <t>Stingere tipică</t>
        </is>
      </c>
      <c r="F5" s="52" t="inlineStr">
        <is>
          <t>Pas revelator / red flag</t>
        </is>
      </c>
    </row>
    <row r="6" ht="15" customHeight="1" s="40">
      <c r="A6" s="71" t="inlineStr">
        <is>
          <t>408</t>
        </is>
      </c>
      <c r="B6" s="71" t="inlineStr">
        <is>
          <t>Furnizori — facturi nesosite</t>
        </is>
      </c>
      <c r="C6" s="71" t="inlineStr">
        <is>
          <t>Intermediar</t>
        </is>
      </c>
      <c r="D6" s="71" t="inlineStr">
        <is>
          <t>Dr stoc / 4426 = Cr 408</t>
        </is>
      </c>
      <c r="E6" s="71" t="inlineStr">
        <is>
          <t>Dr 408 = Cr 401</t>
        </is>
      </c>
      <c r="F6" s="71" t="inlineStr">
        <is>
          <t>Sold 408 la 31.12 = facturi încă nesosite</t>
        </is>
      </c>
    </row>
    <row r="7" ht="15" customHeight="1" s="40">
      <c r="A7" s="71" t="inlineStr">
        <is>
          <t>418</t>
        </is>
      </c>
      <c r="B7" s="71" t="inlineStr">
        <is>
          <t>Clienți — facturi de întocmit</t>
        </is>
      </c>
      <c r="C7" s="71" t="inlineStr">
        <is>
          <t>Intermediar</t>
        </is>
      </c>
      <c r="D7" s="71" t="inlineStr">
        <is>
          <t>Dr 418 = Cr venit / 4427</t>
        </is>
      </c>
      <c r="E7" s="71" t="inlineStr">
        <is>
          <t>Dr 411 = Cr 418</t>
        </is>
      </c>
      <c r="F7" s="71" t="inlineStr">
        <is>
          <t>Sold 418 = livrat nefacturat</t>
        </is>
      </c>
    </row>
    <row r="8" ht="15" customHeight="1" s="40">
      <c r="A8" s="71" t="inlineStr">
        <is>
          <t>581</t>
        </is>
      </c>
      <c r="B8" s="71" t="inlineStr">
        <is>
          <t>Viramente interne</t>
        </is>
      </c>
      <c r="C8" s="71" t="inlineStr">
        <is>
          <t>Intermediar</t>
        </is>
      </c>
      <c r="D8" s="71" t="inlineStr">
        <is>
          <t>Dr 581 = Cr 512 (ieșire)</t>
        </is>
      </c>
      <c r="E8" s="71" t="inlineStr">
        <is>
          <t>Dr 531/512 = Cr 581 (intrare)</t>
        </is>
      </c>
      <c r="F8" s="71" t="inlineStr">
        <is>
          <t>Sold 581 = transfer neconfirmat</t>
        </is>
      </c>
    </row>
    <row r="9" ht="15" customHeight="1" s="40">
      <c r="A9" s="71" t="inlineStr">
        <is>
          <t>473</t>
        </is>
      </c>
      <c r="B9" s="71" t="inlineStr">
        <is>
          <t>Operațiuni în curs de clarificare</t>
        </is>
      </c>
      <c r="C9" s="71" t="inlineStr">
        <is>
          <t>Intermediar</t>
        </is>
      </c>
      <c r="D9" s="71" t="inlineStr">
        <is>
          <t>Dr 512 = Cr 473 (intrare neid.)</t>
        </is>
      </c>
      <c r="E9" s="71" t="inlineStr">
        <is>
          <t>Dr 473 = Cr 411/401/768</t>
        </is>
      </c>
      <c r="F9" s="71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2" t="inlineStr">
        <is>
          <t>Pas</t>
        </is>
      </c>
      <c r="B12" s="52" t="inlineStr">
        <is>
          <t>Moment</t>
        </is>
      </c>
      <c r="C12" s="52" t="inlineStr">
        <is>
          <t>Logică</t>
        </is>
      </c>
      <c r="D12" s="52" t="inlineStr">
        <is>
          <t>Condiție</t>
        </is>
      </c>
    </row>
    <row r="13" ht="42.75" customHeight="1" s="40">
      <c r="A13" s="63" t="n">
        <v>1</v>
      </c>
      <c r="B13" s="63" t="inlineStr">
        <is>
          <t>Deschidere</t>
        </is>
      </c>
      <c r="C13" s="63" t="inlineStr">
        <is>
          <t>Cont intermediar ↔ Cont contrapartidă (bancă/stoc/venit)</t>
        </is>
      </c>
      <c r="D13" s="63" t="inlineStr">
        <is>
          <t>Sensul (Dr/Cr intermediar) se alege în Declarații</t>
        </is>
      </c>
    </row>
    <row r="14" ht="42.75" customHeight="1" s="40">
      <c r="A14" s="63" t="n">
        <v>2</v>
      </c>
      <c r="B14" s="63" t="inlineStr">
        <is>
          <t>Stingere</t>
        </is>
      </c>
      <c r="C14" s="63" t="inlineStr">
        <is>
          <t>Cont intermediar ↔ Cont final (401/411/512/531/768…)</t>
        </is>
      </c>
      <c r="D14" s="63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2" t="str">
        <f>Declarații_INTERMEDIAR!B14</f>
        <v>2026-07-15</v>
      </c>
    </row>
    <row r="6" ht="15" customHeight="1" s="40">
      <c r="A6" s="39" t="inlineStr">
        <is>
          <t>Tip:</t>
        </is>
      </c>
      <c r="B6" s="62" t="str">
        <f>Declarații_INTERMEDIAR!B10 &amp; " — " &amp; Declarații_INTERMEDIAR!B11</f>
        <v>473 — Operațiuni în curs de clarificare</v>
      </c>
    </row>
    <row r="8" ht="15" customHeight="1" s="40">
      <c r="A8" s="52" t="inlineStr">
        <is>
          <t>Nr</t>
        </is>
      </c>
      <c r="B8" s="52" t="inlineStr">
        <is>
          <t>Cont Dr</t>
        </is>
      </c>
      <c r="C8" s="52" t="inlineStr">
        <is>
          <t>Sumă Dr</t>
        </is>
      </c>
      <c r="D8" s="52" t="inlineStr">
        <is>
          <t>Descriere Dr</t>
        </is>
      </c>
      <c r="E8" s="52" t="inlineStr">
        <is>
          <t>Cont Cr</t>
        </is>
      </c>
      <c r="F8" s="52" t="inlineStr">
        <is>
          <t>Sumă Cr</t>
        </is>
      </c>
      <c r="G8" s="52" t="inlineStr">
        <is>
          <t>Descriere Cr</t>
        </is>
      </c>
    </row>
    <row r="9" ht="31.5" customHeight="1" s="40">
      <c r="A9" s="65" t="n">
        <v>1</v>
      </c>
      <c r="B9" s="65" t="str">
        <f>IF(Declarații_INTERMEDIAR!B18="Cr_intermediar",Declarații_INTERMEDIAR!B17,Declarații_INTERMEDIAR!B16)</f>
        <v>5121</v>
      </c>
      <c r="C9" s="66">
        <f>Declarații_INTERMEDIAR!B15</f>
        <v>2350</v>
      </c>
      <c r="D9" s="65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5" t="str">
        <f>IF(Declarații_INTERMEDIAR!B18="Cr_intermediar",Declarații_INTERMEDIAR!B16,Declarații_INTERMEDIAR!B17)</f>
        <v>473</v>
      </c>
      <c r="F9" s="66">
        <f>Declarații_INTERMEDIAR!B15</f>
        <v>2350</v>
      </c>
      <c r="G9" s="65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7">
        <f>C9-F9</f>
        <v>0</v>
      </c>
      <c r="C11" s="69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2" t="str">
        <f>Declarații_INTERMEDIAR!B22</f>
        <v>2026-07-22</v>
      </c>
    </row>
    <row r="16" ht="15" customHeight="1" s="40">
      <c r="A16" s="52" t="inlineStr">
        <is>
          <t>Nr</t>
        </is>
      </c>
      <c r="B16" s="52" t="inlineStr">
        <is>
          <t>Cont Dr</t>
        </is>
      </c>
      <c r="C16" s="52" t="inlineStr">
        <is>
          <t>Sumă Dr</t>
        </is>
      </c>
      <c r="D16" s="52" t="inlineStr">
        <is>
          <t>Descriere Dr</t>
        </is>
      </c>
      <c r="E16" s="52" t="inlineStr">
        <is>
          <t>Cont Cr</t>
        </is>
      </c>
      <c r="F16" s="52" t="inlineStr">
        <is>
          <t>Sumă Cr</t>
        </is>
      </c>
      <c r="G16" s="52" t="inlineStr">
        <is>
          <t>Descriere Cr</t>
        </is>
      </c>
    </row>
    <row r="17" ht="31.5" customHeight="1" s="40">
      <c r="A17" s="65" t="n">
        <v>1</v>
      </c>
      <c r="B17" s="65" t="str">
        <f>IF(Declarații_INTERMEDIAR!B18="Cr_intermediar",Declarații_INTERMEDIAR!B16,Declarații_INTERMEDIAR!B23)</f>
        <v>473</v>
      </c>
      <c r="C17" s="66">
        <f>Declarații_INTERMEDIAR!B15</f>
        <v>2350</v>
      </c>
      <c r="D17" s="65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5" t="str">
        <f>IF(Declarații_INTERMEDIAR!B18="Cr_intermediar",Declarații_INTERMEDIAR!B23,Declarații_INTERMEDIAR!B16)</f>
        <v>411.RO</v>
      </c>
      <c r="F17" s="66">
        <f>Declarații_INTERMEDIAR!B15</f>
        <v>2350</v>
      </c>
      <c r="G17" s="65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7">
        <f>C17-F17</f>
        <v>0</v>
      </c>
      <c r="C19" s="69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2" t="inlineStr">
        <is>
          <t>Check global</t>
        </is>
      </c>
      <c r="B24" s="39">
        <f>ABS(B11)+ABS(B19)</f>
        <v>0</v>
      </c>
      <c r="C24" s="69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21.75" customHeight="1" s="40">
      <c r="A5" s="65" t="n">
        <v>1</v>
      </c>
      <c r="B5" s="65" t="inlineStr">
        <is>
          <t>Bloc 1 — Deschidere</t>
        </is>
      </c>
      <c r="C5" s="65" t="str">
        <f>Declarații_INTERMEDIAR!B14</f>
        <v>2026-07-15</v>
      </c>
      <c r="D5" s="65" t="str">
        <f>Jurnale_INTERMEDIAR!B9</f>
        <v>5121</v>
      </c>
      <c r="E5" s="65" t="str">
        <f>Jurnale_INTERMEDIAR!E9</f>
        <v>473</v>
      </c>
      <c r="F5" s="66">
        <f>Jurnale_INTERMEDIAR!C9</f>
        <v>2350</v>
      </c>
      <c r="G5" s="65" t="str">
        <f>Jurnale_INTERMEDIAR!D9</f>
        <v>Contrapartidă deschidere — 2026-07 — 473 — Extras bancă 15.07 — sumă neidentificată</v>
      </c>
      <c r="H5" s="65" t="str">
        <f>Declarații_INTERMEDIAR!B19</f>
        <v>Extras bancă 15.07 — sumă neidentificată</v>
      </c>
      <c r="I5" s="65" t="str">
        <f>IF(F5&gt;0,"DA","NU")</f>
        <v>DA</v>
      </c>
    </row>
    <row r="6" ht="21.75" customHeight="1" s="40">
      <c r="A6" s="65" t="n">
        <v>2</v>
      </c>
      <c r="B6" s="65" t="inlineStr">
        <is>
          <t>Bloc 2 — Stingere</t>
        </is>
      </c>
      <c r="C6" s="65" t="str">
        <f>Declarații_INTERMEDIAR!B22</f>
        <v>2026-07-22</v>
      </c>
      <c r="D6" s="65" t="str">
        <f>Jurnale_INTERMEDIAR!B17</f>
        <v>473</v>
      </c>
      <c r="E6" s="65" t="str">
        <f>Jurnale_INTERMEDIAR!E17</f>
        <v>411.RO</v>
      </c>
      <c r="F6" s="66">
        <f>Jurnale_INTERMEDIAR!C17</f>
        <v>2350</v>
      </c>
      <c r="G6" s="65" t="str">
        <f>Jurnale_INTERMEDIAR!D17</f>
        <v>Stingere intermediar — 2026-07 — 473 — Extras bancă 15.07 — sumă neidentificată</v>
      </c>
      <c r="H6" s="65" t="str">
        <f>Declarații_INTERMEDIAR!B24</f>
        <v>Identificat: client X, factura Y</v>
      </c>
      <c r="I6" s="65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An exercițiu</t>
        </is>
      </c>
      <c r="B7" s="55" t="n">
        <v>2026</v>
      </c>
    </row>
    <row r="8" ht="15" customHeight="1" s="40">
      <c r="A8" s="39" t="inlineStr">
        <is>
          <t>Data jurnal închidere (31.12)</t>
        </is>
      </c>
      <c r="B8" s="55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0" t="n">
        <v>185000</v>
      </c>
    </row>
    <row r="12" ht="15" customHeight="1" s="40">
      <c r="A12" s="39" t="inlineStr">
        <is>
          <t>Total rulaj creditor cls.7 (venituri)</t>
        </is>
      </c>
      <c r="B12" s="60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5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0" t="n">
        <v>60000</v>
      </c>
    </row>
    <row r="17" ht="15" customHeight="1" s="40">
      <c r="A17" s="39" t="inlineStr">
        <is>
          <t>Cotă (0.16 / 0.01 / 0.03 etc.)</t>
        </is>
      </c>
      <c r="B17" s="73" t="n">
        <v>0.16</v>
      </c>
    </row>
    <row r="18" ht="15" customHeight="1" s="40">
      <c r="A18" s="39" t="inlineStr">
        <is>
          <t>Impozit calculat</t>
        </is>
      </c>
      <c r="B18" s="61">
        <f>B16*B17</f>
        <v>9600</v>
      </c>
    </row>
    <row r="19" ht="15" customHeight="1" s="40">
      <c r="A19" s="39" t="inlineStr">
        <is>
          <t>Cont cheltuială impozit (691 / 697 / 4417)</t>
        </is>
      </c>
      <c r="B19" s="55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5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1">
        <f>B12-B11</f>
        <v>60000</v>
      </c>
    </row>
    <row r="24" ht="15" customHeight="1" s="40">
      <c r="A24" s="39" t="inlineStr">
        <is>
          <t>Rezultat net (după impozit)</t>
        </is>
      </c>
      <c r="B24" s="61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0" t="n">
        <v>0</v>
      </c>
    </row>
    <row r="26" ht="15" customHeight="1" s="40">
      <c r="A26" s="39" t="inlineStr">
        <is>
          <t>Reportat pe 117 (sold final 121/129)</t>
        </is>
      </c>
      <c r="B26" s="61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5" t="inlineStr">
        <is>
          <t>121</t>
        </is>
      </c>
    </row>
    <row r="30" ht="15" customHeight="1" s="40">
      <c r="A30" s="39" t="inlineStr">
        <is>
          <t>Cont repartizare profit</t>
        </is>
      </c>
      <c r="B30" s="55" t="inlineStr">
        <is>
          <t>129</t>
        </is>
      </c>
    </row>
    <row r="31" ht="15" customHeight="1" s="40">
      <c r="A31" s="39" t="inlineStr">
        <is>
          <t>Cont rezultat reportat</t>
        </is>
      </c>
      <c r="B31" s="55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2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2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2" t="inlineStr">
        <is>
          <t>Pas</t>
        </is>
      </c>
      <c r="B5" s="52" t="inlineStr">
        <is>
          <t>Bloc</t>
        </is>
      </c>
      <c r="C5" s="52" t="inlineStr">
        <is>
          <t>Cont Dr</t>
        </is>
      </c>
      <c r="D5" s="52" t="inlineStr">
        <is>
          <t>Cont Cr</t>
        </is>
      </c>
      <c r="E5" s="52" t="inlineStr">
        <is>
          <t>Sumă</t>
        </is>
      </c>
      <c r="F5" s="52" t="inlineStr">
        <is>
          <t>Observație</t>
        </is>
      </c>
    </row>
    <row r="6" ht="15" customHeight="1" s="40">
      <c r="A6" s="63" t="n">
        <v>1</v>
      </c>
      <c r="B6" s="63" t="inlineStr">
        <is>
          <t>B1 Închidere cheltuieli</t>
        </is>
      </c>
      <c r="C6" s="63" t="inlineStr">
        <is>
          <t>121</t>
        </is>
      </c>
      <c r="D6" s="63" t="inlineStr">
        <is>
          <t>6xx (total)</t>
        </is>
      </c>
      <c r="E6" s="63" t="inlineStr">
        <is>
          <t>Rulaj D cls.6</t>
        </is>
      </c>
      <c r="F6" s="63" t="inlineStr">
        <is>
          <t>Neutralizare rezultat — cheltuieli</t>
        </is>
      </c>
    </row>
    <row r="7" ht="15" customHeight="1" s="40">
      <c r="A7" s="63" t="n">
        <v>2</v>
      </c>
      <c r="B7" s="63" t="inlineStr">
        <is>
          <t>B2 Închidere venituri</t>
        </is>
      </c>
      <c r="C7" s="63" t="inlineStr">
        <is>
          <t>7xx (total)</t>
        </is>
      </c>
      <c r="D7" s="63" t="inlineStr">
        <is>
          <t>121</t>
        </is>
      </c>
      <c r="E7" s="63" t="inlineStr">
        <is>
          <t>Rulaj C cls.7</t>
        </is>
      </c>
      <c r="F7" s="63" t="inlineStr">
        <is>
          <t>Neutralizare rezultat — venituri</t>
        </is>
      </c>
    </row>
    <row r="8" ht="15" customHeight="1" s="40">
      <c r="A8" s="63" t="n">
        <v>3</v>
      </c>
      <c r="B8" s="63" t="inlineStr">
        <is>
          <t>B3 Impozit</t>
        </is>
      </c>
      <c r="C8" s="63" t="inlineStr">
        <is>
          <t>691/697</t>
        </is>
      </c>
      <c r="D8" s="63" t="inlineStr">
        <is>
          <t>441/4417</t>
        </is>
      </c>
      <c r="E8" s="63" t="inlineStr">
        <is>
          <t>Impozit calculat</t>
        </is>
      </c>
      <c r="F8" s="63" t="inlineStr">
        <is>
          <t>Cheltuială cu impozitul → datorie</t>
        </is>
      </c>
    </row>
    <row r="9" ht="15" customHeight="1" s="40">
      <c r="A9" s="63" t="n">
        <v>4</v>
      </c>
      <c r="B9" s="63" t="inlineStr">
        <is>
          <t>B3b Închidere 691</t>
        </is>
      </c>
      <c r="C9" s="63" t="inlineStr">
        <is>
          <t>121</t>
        </is>
      </c>
      <c r="D9" s="63" t="inlineStr">
        <is>
          <t>691</t>
        </is>
      </c>
      <c r="E9" s="63" t="inlineStr">
        <is>
          <t>Impozit</t>
        </is>
      </c>
      <c r="F9" s="63" t="inlineStr">
        <is>
          <t>Impozitul intră în rezultatul net</t>
        </is>
      </c>
    </row>
    <row r="10" ht="15" customHeight="1" s="40">
      <c r="A10" s="63" t="n">
        <v>5</v>
      </c>
      <c r="B10" s="63" t="inlineStr">
        <is>
          <t>B4 Repartizare (opțional)</t>
        </is>
      </c>
      <c r="C10" s="63" t="inlineStr">
        <is>
          <t>129</t>
        </is>
      </c>
      <c r="D10" s="63" t="inlineStr">
        <is>
          <t>106/457…</t>
        </is>
      </c>
      <c r="E10" s="63" t="inlineStr">
        <is>
          <t>Sumă repartizată</t>
        </is>
      </c>
      <c r="F10" s="63" t="inlineStr">
        <is>
          <t>Doar dacă AGA / decizie există</t>
        </is>
      </c>
    </row>
    <row r="11" ht="15" customHeight="1" s="40">
      <c r="A11" s="63" t="n">
        <v>6</v>
      </c>
      <c r="B11" s="63" t="inlineStr">
        <is>
          <t>B5 Report</t>
        </is>
      </c>
      <c r="C11" s="63" t="inlineStr">
        <is>
          <t>121</t>
        </is>
      </c>
      <c r="D11" s="63" t="inlineStr">
        <is>
          <t>117</t>
        </is>
      </c>
      <c r="E11" s="63" t="inlineStr">
        <is>
          <t>Sold final 121</t>
        </is>
      </c>
      <c r="F11" s="63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2" t="inlineStr">
        <is>
          <t>Cont</t>
        </is>
      </c>
      <c r="B14" s="52" t="inlineStr">
        <is>
          <t>Denumire</t>
        </is>
      </c>
      <c r="C14" s="52" t="inlineStr">
        <is>
          <t>Rol</t>
        </is>
      </c>
      <c r="D14" s="52" t="inlineStr">
        <is>
          <t>Observație</t>
        </is>
      </c>
    </row>
    <row r="15" ht="32.25" customHeight="1" s="40">
      <c r="A15" s="63" t="inlineStr">
        <is>
          <t>121</t>
        </is>
      </c>
      <c r="B15" s="63" t="inlineStr">
        <is>
          <t>Profit sau pierdere</t>
        </is>
      </c>
      <c r="C15" s="63" t="inlineStr">
        <is>
          <t>Colectare rezultat</t>
        </is>
      </c>
      <c r="D15" s="63" t="inlineStr">
        <is>
          <t>Se închide anual; fără sold după report pe 117</t>
        </is>
      </c>
    </row>
    <row r="16" ht="32.25" customHeight="1" s="40">
      <c r="A16" s="63" t="inlineStr">
        <is>
          <t>129</t>
        </is>
      </c>
      <c r="B16" s="63" t="inlineStr">
        <is>
          <t>Repartizarea profitului</t>
        </is>
      </c>
      <c r="C16" s="63" t="inlineStr">
        <is>
          <t>Colectare / tranzit</t>
        </is>
      </c>
      <c r="D16" s="63" t="inlineStr">
        <is>
          <t>Se folosește doar la repartizare formală</t>
        </is>
      </c>
    </row>
    <row r="17" ht="42.75" customHeight="1" s="40">
      <c r="A17" s="63" t="inlineStr">
        <is>
          <t>117</t>
        </is>
      </c>
      <c r="B17" s="63" t="inlineStr">
        <is>
          <t>Rezultatul reportat</t>
        </is>
      </c>
      <c r="C17" s="63" t="inlineStr">
        <is>
          <t>Patrimonial — Capital</t>
        </is>
      </c>
      <c r="D17" s="63" t="inlineStr">
        <is>
          <t>Sold permanent până la acoperire / repartizare</t>
        </is>
      </c>
    </row>
    <row r="18" ht="15" customHeight="1" s="40">
      <c r="A18" s="63" t="inlineStr">
        <is>
          <t>691</t>
        </is>
      </c>
      <c r="B18" s="63" t="inlineStr">
        <is>
          <t>Cheltuieli cu impozitul pe profit</t>
        </is>
      </c>
      <c r="C18" s="63" t="inlineStr">
        <is>
          <t>Neutralizare rezultat</t>
        </is>
      </c>
      <c r="D18" s="63" t="inlineStr">
        <is>
          <t>Se închide în 121</t>
        </is>
      </c>
    </row>
    <row r="19" ht="15" customHeight="1" s="40">
      <c r="A19" s="63" t="inlineStr">
        <is>
          <t>697</t>
        </is>
      </c>
      <c r="B19" s="63" t="inlineStr">
        <is>
          <t>Cheltuieli cu impozitul pe venit micro</t>
        </is>
      </c>
      <c r="C19" s="63" t="inlineStr">
        <is>
          <t>Neutralizare rezultat</t>
        </is>
      </c>
      <c r="D19" s="63" t="inlineStr">
        <is>
          <t>Alternativă la 691</t>
        </is>
      </c>
    </row>
    <row r="20" ht="21.75" customHeight="1" s="40">
      <c r="A20" s="63" t="inlineStr">
        <is>
          <t>441</t>
        </is>
      </c>
      <c r="B20" s="63" t="inlineStr">
        <is>
          <t>Impozit pe profit</t>
        </is>
      </c>
      <c r="C20" s="63" t="inlineStr">
        <is>
          <t>Patrimonial — Datorie</t>
        </is>
      </c>
      <c r="D20" s="63" t="inlineStr">
        <is>
          <t>Datorie către buget</t>
        </is>
      </c>
    </row>
    <row r="21" ht="21.75" customHeight="1" s="40">
      <c r="A21" s="63" t="inlineStr">
        <is>
          <t>4417</t>
        </is>
      </c>
      <c r="B21" s="63" t="inlineStr">
        <is>
          <t>Impozit pe venit micro / alte impozite</t>
        </is>
      </c>
      <c r="C21" s="63" t="inlineStr">
        <is>
          <t>Patrimonial — Datorie</t>
        </is>
      </c>
      <c r="D21" s="63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2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2" t="inlineStr">
        <is>
          <t>Nr</t>
        </is>
      </c>
      <c r="B7" s="52" t="inlineStr">
        <is>
          <t>Cont Dr</t>
        </is>
      </c>
      <c r="C7" s="52" t="inlineStr">
        <is>
          <t>Sumă Dr</t>
        </is>
      </c>
      <c r="D7" s="52" t="inlineStr">
        <is>
          <t>Descriere Dr</t>
        </is>
      </c>
      <c r="E7" s="52" t="inlineStr">
        <is>
          <t>Cont Cr</t>
        </is>
      </c>
      <c r="F7" s="52" t="inlineStr">
        <is>
          <t>Sumă Cr</t>
        </is>
      </c>
      <c r="G7" s="52" t="inlineStr">
        <is>
          <t>Descriere Cr</t>
        </is>
      </c>
    </row>
    <row r="8" ht="27.75" customHeight="1" s="40">
      <c r="A8" s="65" t="n">
        <v>1</v>
      </c>
      <c r="B8" s="65" t="str">
        <f>Declarații_INCHIDERE_EX!B29</f>
        <v>121</v>
      </c>
      <c r="C8" s="66">
        <f>Declarații_INCHIDERE_EX!B11</f>
        <v>185000</v>
      </c>
      <c r="D8" s="65" t="str">
        <f>"Închidere cheltuieli cls.6 " &amp; Declarații_INCHIDERE_EX!B34</f>
        <v>Închidere cheltuieli cls.6 — închidere exercițiu 2026</v>
      </c>
      <c r="E8" s="65" t="inlineStr">
        <is>
          <t>6xx</t>
        </is>
      </c>
      <c r="F8" s="66">
        <f>Declarații_INCHIDERE_EX!B11</f>
        <v>185000</v>
      </c>
      <c r="G8" s="65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69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2" t="inlineStr">
        <is>
          <t>Nr</t>
        </is>
      </c>
      <c r="B12" s="52" t="inlineStr">
        <is>
          <t>Cont Dr</t>
        </is>
      </c>
      <c r="C12" s="52" t="inlineStr">
        <is>
          <t>Sumă Dr</t>
        </is>
      </c>
      <c r="D12" s="52" t="inlineStr">
        <is>
          <t>Descriere Dr</t>
        </is>
      </c>
      <c r="E12" s="52" t="inlineStr">
        <is>
          <t>Cont Cr</t>
        </is>
      </c>
      <c r="F12" s="52" t="inlineStr">
        <is>
          <t>Sumă Cr</t>
        </is>
      </c>
      <c r="G12" s="52" t="inlineStr">
        <is>
          <t>Descriere Cr</t>
        </is>
      </c>
    </row>
    <row r="13" ht="27.75" customHeight="1" s="40">
      <c r="A13" s="65" t="n">
        <v>1</v>
      </c>
      <c r="B13" s="65" t="inlineStr">
        <is>
          <t>7xx</t>
        </is>
      </c>
      <c r="C13" s="66">
        <f>Declarații_INCHIDERE_EX!B12</f>
        <v>245000</v>
      </c>
      <c r="D13" s="65" t="str">
        <f>"Închidere venituri cls.7 " &amp; Declarații_INCHIDERE_EX!B34</f>
        <v>Închidere venituri cls.7 — închidere exercițiu 2026</v>
      </c>
      <c r="E13" s="65" t="str">
        <f>Declarații_INCHIDERE_EX!B29</f>
        <v>121</v>
      </c>
      <c r="F13" s="66">
        <f>Declarații_INCHIDERE_EX!B12</f>
        <v>245000</v>
      </c>
      <c r="G13" s="65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69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2" t="inlineStr">
        <is>
          <t>Nr</t>
        </is>
      </c>
      <c r="B17" s="52" t="inlineStr">
        <is>
          <t>Cont Dr</t>
        </is>
      </c>
      <c r="C17" s="52" t="inlineStr">
        <is>
          <t>Sumă Dr</t>
        </is>
      </c>
      <c r="D17" s="52" t="inlineStr">
        <is>
          <t>Descriere Dr</t>
        </is>
      </c>
      <c r="E17" s="52" t="inlineStr">
        <is>
          <t>Cont Cr</t>
        </is>
      </c>
      <c r="F17" s="52" t="inlineStr">
        <is>
          <t>Sumă Cr</t>
        </is>
      </c>
      <c r="G17" s="52" t="inlineStr">
        <is>
          <t>Descriere Cr</t>
        </is>
      </c>
    </row>
    <row r="18" ht="27.75" customHeight="1" s="40">
      <c r="A18" s="65" t="n">
        <v>1</v>
      </c>
      <c r="B18" s="65" t="str">
        <f>Declarații_INCHIDERE_EX!B19</f>
        <v>691</v>
      </c>
      <c r="C18" s="66">
        <f>Declarații_INCHIDERE_EX!B18</f>
        <v>9600</v>
      </c>
      <c r="D18" s="65" t="str">
        <f>"Cheltuială impozit " &amp; Declarații_INCHIDERE_EX!B34</f>
        <v>Cheltuială impozit — închidere exercițiu 2026</v>
      </c>
      <c r="E18" s="65" t="str">
        <f>Declarații_INCHIDERE_EX!B20</f>
        <v>441</v>
      </c>
      <c r="F18" s="66">
        <f>Declarații_INCHIDERE_EX!B18</f>
        <v>9600</v>
      </c>
      <c r="G18" s="65" t="str">
        <f>"Datorie impozit buget " &amp; Declarații_INCHIDERE_EX!B34</f>
        <v>Datorie impozit buget — închidere exercițiu 2026</v>
      </c>
    </row>
    <row r="19" ht="27.75" customHeight="1" s="40">
      <c r="A19" s="65" t="n">
        <v>2</v>
      </c>
      <c r="B19" s="65" t="str">
        <f>Declarații_INCHIDERE_EX!B29</f>
        <v>121</v>
      </c>
      <c r="C19" s="66">
        <f>Declarații_INCHIDERE_EX!B18</f>
        <v>9600</v>
      </c>
      <c r="D19" s="65" t="str">
        <f>"Închidere cheltuială impozit în rezultat " &amp; Declarații_INCHIDERE_EX!B34</f>
        <v>Închidere cheltuială impozit în rezultat — închidere exercițiu 2026</v>
      </c>
      <c r="E19" s="65" t="str">
        <f>Declarații_INCHIDERE_EX!B19</f>
        <v>691</v>
      </c>
      <c r="F19" s="66">
        <f>Declarații_INCHIDERE_EX!B18</f>
        <v>9600</v>
      </c>
      <c r="G19" s="65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69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2" t="inlineStr">
        <is>
          <t>Nr</t>
        </is>
      </c>
      <c r="B23" s="52" t="inlineStr">
        <is>
          <t>Cont Dr</t>
        </is>
      </c>
      <c r="C23" s="52" t="inlineStr">
        <is>
          <t>Sumă Dr</t>
        </is>
      </c>
      <c r="D23" s="52" t="inlineStr">
        <is>
          <t>Descriere Dr</t>
        </is>
      </c>
      <c r="E23" s="52" t="inlineStr">
        <is>
          <t>Cont Cr</t>
        </is>
      </c>
      <c r="F23" s="52" t="inlineStr">
        <is>
          <t>Sumă Cr</t>
        </is>
      </c>
      <c r="G23" s="52" t="inlineStr">
        <is>
          <t>Descriere Cr</t>
        </is>
      </c>
    </row>
    <row r="24" ht="27.75" customHeight="1" s="40">
      <c r="A24" s="65" t="n">
        <v>1</v>
      </c>
      <c r="B24" s="65" t="str">
        <f>IF(Declarații_INCHIDERE_EX!B26&gt;=0,Declarații_INCHIDERE_EX!B29,Declarații_INCHIDERE_EX!B31)</f>
        <v>121</v>
      </c>
      <c r="C24" s="66">
        <f>ABS(Declarații_INCHIDERE_EX!B26)</f>
        <v>50400</v>
      </c>
      <c r="D24" s="65" t="str">
        <f>IF(Declarații_INCHIDERE_EX!B26&gt;=0,"Report profit pe 117 ","Report pierdere pe 117 ") &amp; Declarații_INCHIDERE_EX!B34</f>
        <v>Report profit pe 117 — închidere exercițiu 2026</v>
      </c>
      <c r="E24" s="65" t="str">
        <f>IF(Declarații_INCHIDERE_EX!B26&gt;=0,Declarații_INCHIDERE_EX!B31,Declarații_INCHIDERE_EX!B29)</f>
        <v>117</v>
      </c>
      <c r="F24" s="66">
        <f>ABS(Declarații_INCHIDERE_EX!B26)</f>
        <v>50400</v>
      </c>
      <c r="G24" s="65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69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2" t="inlineStr">
        <is>
          <t>Check global</t>
        </is>
      </c>
      <c r="B30" s="39">
        <f>ABS(B9)+ABS(B14)+ABS(B20)+ABS(B25)</f>
        <v>0</v>
      </c>
      <c r="C30" s="69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65" t="n">
        <v>1</v>
      </c>
      <c r="B5" s="65" t="inlineStr">
        <is>
          <t>B1 Cheltuieli</t>
        </is>
      </c>
      <c r="C5" s="65" t="str">
        <f>Declarații_INCHIDERE_EX!B8</f>
        <v>2026-12-31</v>
      </c>
      <c r="D5" s="65" t="str">
        <f>Jurnale_INCHIDERE_EX!B8</f>
        <v>121</v>
      </c>
      <c r="E5" s="65" t="str">
        <f>Jurnale_INCHIDERE_EX!E8</f>
        <v>6xx</v>
      </c>
      <c r="F5" s="66">
        <f>Jurnale_INCHIDERE_EX!C8</f>
        <v>185000</v>
      </c>
      <c r="G5" s="65" t="str">
        <f>Jurnale_INCHIDERE_EX!D8</f>
        <v>Închidere cheltuieli cls.6 — închidere exercițiu 2026</v>
      </c>
      <c r="H5" s="65" t="inlineStr">
        <is>
          <t>Închidere exercițiu</t>
        </is>
      </c>
      <c r="I5" s="65" t="str">
        <f>IF(F5&gt;0,"DA","NU")</f>
        <v>DA</v>
      </c>
    </row>
    <row r="6" ht="15" customHeight="1" s="40">
      <c r="A6" s="65" t="n">
        <v>2</v>
      </c>
      <c r="B6" s="65" t="inlineStr">
        <is>
          <t>B2 Venituri</t>
        </is>
      </c>
      <c r="C6" s="65" t="str">
        <f>Declarații_INCHIDERE_EX!B8</f>
        <v>2026-12-31</v>
      </c>
      <c r="D6" s="65" t="str">
        <f>Jurnale_INCHIDERE_EX!B13</f>
        <v>7xx</v>
      </c>
      <c r="E6" s="65" t="str">
        <f>Jurnale_INCHIDERE_EX!E13</f>
        <v>121</v>
      </c>
      <c r="F6" s="66">
        <f>Jurnale_INCHIDERE_EX!C13</f>
        <v>245000</v>
      </c>
      <c r="G6" s="65" t="str">
        <f>Jurnale_INCHIDERE_EX!D13</f>
        <v>Închidere venituri cls.7 — închidere exercițiu 2026</v>
      </c>
      <c r="H6" s="65" t="inlineStr">
        <is>
          <t>Închidere exercițiu</t>
        </is>
      </c>
      <c r="I6" s="65" t="str">
        <f>IF(F6&gt;0,"DA","NU")</f>
        <v>DA</v>
      </c>
    </row>
    <row r="7" ht="15" customHeight="1" s="40">
      <c r="A7" s="65" t="n">
        <v>3</v>
      </c>
      <c r="B7" s="65" t="inlineStr">
        <is>
          <t>B3 Impozit</t>
        </is>
      </c>
      <c r="C7" s="65" t="str">
        <f>Declarații_INCHIDERE_EX!B8</f>
        <v>2026-12-31</v>
      </c>
      <c r="D7" s="65" t="str">
        <f>Jurnale_INCHIDERE_EX!B18</f>
        <v>691</v>
      </c>
      <c r="E7" s="65" t="str">
        <f>Jurnale_INCHIDERE_EX!E18</f>
        <v>441</v>
      </c>
      <c r="F7" s="66">
        <f>Jurnale_INCHIDERE_EX!C18</f>
        <v>9600</v>
      </c>
      <c r="G7" s="65" t="str">
        <f>Jurnale_INCHIDERE_EX!D18</f>
        <v>Cheltuială impozit — închidere exercițiu 2026</v>
      </c>
      <c r="H7" s="65" t="inlineStr">
        <is>
          <t>Închidere exercițiu</t>
        </is>
      </c>
      <c r="I7" s="65" t="str">
        <f>IF(F7&gt;0,"DA","NU")</f>
        <v>DA</v>
      </c>
    </row>
    <row r="8" ht="15" customHeight="1" s="40">
      <c r="A8" s="65" t="n">
        <v>4</v>
      </c>
      <c r="B8" s="65" t="inlineStr">
        <is>
          <t>B3 Înch.691</t>
        </is>
      </c>
      <c r="C8" s="65" t="str">
        <f>Declarații_INCHIDERE_EX!B8</f>
        <v>2026-12-31</v>
      </c>
      <c r="D8" s="65" t="str">
        <f>Jurnale_INCHIDERE_EX!B19</f>
        <v>121</v>
      </c>
      <c r="E8" s="65" t="str">
        <f>Jurnale_INCHIDERE_EX!E19</f>
        <v>691</v>
      </c>
      <c r="F8" s="66">
        <f>Jurnale_INCHIDERE_EX!C19</f>
        <v>9600</v>
      </c>
      <c r="G8" s="65" t="str">
        <f>Jurnale_INCHIDERE_EX!D19</f>
        <v>Închidere cheltuială impozit în rezultat — închidere exercițiu 2026</v>
      </c>
      <c r="H8" s="65" t="inlineStr">
        <is>
          <t>Închidere exercițiu</t>
        </is>
      </c>
      <c r="I8" s="65" t="str">
        <f>IF(F8&gt;0,"DA","NU")</f>
        <v>DA</v>
      </c>
    </row>
    <row r="9" ht="15" customHeight="1" s="40">
      <c r="A9" s="65" t="n">
        <v>5</v>
      </c>
      <c r="B9" s="65" t="inlineStr">
        <is>
          <t>B4 Report 117</t>
        </is>
      </c>
      <c r="C9" s="65" t="str">
        <f>Declarații_INCHIDERE_EX!B8</f>
        <v>2026-12-31</v>
      </c>
      <c r="D9" s="65" t="str">
        <f>Jurnale_INCHIDERE_EX!B24</f>
        <v>121</v>
      </c>
      <c r="E9" s="65" t="str">
        <f>Jurnale_INCHIDERE_EX!E24</f>
        <v>117</v>
      </c>
      <c r="F9" s="66">
        <f>Jurnale_INCHIDERE_EX!C24</f>
        <v>50400</v>
      </c>
      <c r="G9" s="65" t="str">
        <f>Jurnale_INCHIDERE_EX!D24</f>
        <v>Report profit pe 117 — închidere exercițiu 2026</v>
      </c>
      <c r="H9" s="65" t="inlineStr">
        <is>
          <t>Închidere exercițiu</t>
        </is>
      </c>
      <c r="I9" s="65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F-05 (bunuri/711), F-07 (servicii/712), F-28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/ proiect</t>
        </is>
      </c>
      <c r="B7" s="55" t="inlineStr">
        <is>
          <t>2026-07</t>
        </is>
      </c>
    </row>
    <row r="8" ht="15" customHeight="1" s="40">
      <c r="A8" s="39" t="inlineStr">
        <is>
          <t>Data costuri (B1)</t>
        </is>
      </c>
      <c r="B8" s="55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5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5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5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2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2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2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2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0" t="n">
        <v>4500</v>
      </c>
    </row>
    <row r="21" ht="15" customHeight="1" s="40">
      <c r="A21" s="39" t="inlineStr">
        <is>
          <t>Cost manoperă (→ 641)</t>
        </is>
      </c>
      <c r="B21" s="60" t="n">
        <v>0</v>
      </c>
    </row>
    <row r="22" ht="15" customHeight="1" s="40">
      <c r="A22" s="39" t="inlineStr">
        <is>
          <t>Alte costuri (→ 6xx)</t>
        </is>
      </c>
      <c r="B22" s="60" t="n">
        <v>0</v>
      </c>
    </row>
    <row r="23" ht="15" customHeight="1" s="40">
      <c r="A23" s="39" t="inlineStr">
        <is>
          <t>Cost total</t>
        </is>
      </c>
      <c r="B23" s="61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0" t="n">
        <v>7000</v>
      </c>
    </row>
    <row r="27" ht="15" customHeight="1" s="40">
      <c r="A27" s="39" t="inlineStr">
        <is>
          <t>Cota TVA</t>
        </is>
      </c>
      <c r="B27" s="70" t="n">
        <v>0.21</v>
      </c>
    </row>
    <row r="28" ht="15" customHeight="1" s="40">
      <c r="A28" s="39" t="inlineStr">
        <is>
          <t>TVA</t>
        </is>
      </c>
      <c r="B28" s="61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1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5" t="inlineStr">
        <is>
          <t>301</t>
        </is>
      </c>
    </row>
    <row r="33" ht="15" customHeight="1" s="40">
      <c r="A33" s="39" t="inlineStr">
        <is>
          <t>Cont client</t>
        </is>
      </c>
      <c r="B33" s="55" t="inlineStr">
        <is>
          <t>411.RO</t>
        </is>
      </c>
    </row>
    <row r="34" ht="15" customHeight="1" s="40">
      <c r="A34" s="39" t="inlineStr">
        <is>
          <t>Cont TVA colectată</t>
        </is>
      </c>
      <c r="B34" s="55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2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1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F-05 / F-07 / F-28: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2" t="inlineStr">
        <is>
          <t>Tip</t>
        </is>
      </c>
      <c r="B5" s="52" t="inlineStr">
        <is>
          <t>Cost →</t>
        </is>
      </c>
      <c r="C5" s="52" t="inlineStr">
        <is>
          <t>Stoc intermediar</t>
        </is>
      </c>
      <c r="D5" s="52" t="inlineStr">
        <is>
          <t>Venit neut.</t>
        </is>
      </c>
      <c r="E5" s="52" t="inlineStr">
        <is>
          <t>Stoc final / livrare</t>
        </is>
      </c>
      <c r="F5" s="52" t="inlineStr">
        <is>
          <t>Descărcare la vânzare</t>
        </is>
      </c>
    </row>
    <row r="6" ht="15" customHeight="1" s="40">
      <c r="A6" s="63" t="inlineStr">
        <is>
          <t>BUNURI</t>
        </is>
      </c>
      <c r="B6" s="63" t="inlineStr">
        <is>
          <t>601=301</t>
        </is>
      </c>
      <c r="C6" s="63" t="inlineStr">
        <is>
          <t>331=711</t>
        </is>
      </c>
      <c r="D6" s="63" t="inlineStr">
        <is>
          <t>711=331 apoi 345=711</t>
        </is>
      </c>
      <c r="E6" s="63" t="inlineStr">
        <is>
          <t>345</t>
        </is>
      </c>
      <c r="F6" s="63" t="inlineStr">
        <is>
          <t>711=345 (NU 607)</t>
        </is>
      </c>
    </row>
    <row r="7" ht="15" customHeight="1" s="40">
      <c r="A7" s="63" t="inlineStr">
        <is>
          <t>SERVICII</t>
        </is>
      </c>
      <c r="B7" s="63" t="inlineStr">
        <is>
          <t>641/601=…</t>
        </is>
      </c>
      <c r="C7" s="63" t="inlineStr">
        <is>
          <t>332=712</t>
        </is>
      </c>
      <c r="D7" s="63" t="inlineStr">
        <is>
          <t>712=332</t>
        </is>
      </c>
      <c r="E7" s="63" t="inlineStr">
        <is>
          <t>(nu e stoc final)</t>
        </is>
      </c>
      <c r="F7" s="63" t="inlineStr">
        <is>
          <t>712 stins la livrare</t>
        </is>
      </c>
    </row>
    <row r="8" ht="15" customHeight="1" s="40">
      <c r="A8" s="63" t="inlineStr">
        <is>
          <t>MF</t>
        </is>
      </c>
      <c r="B8" s="63" t="inlineStr">
        <is>
          <t>601=301, 641=421</t>
        </is>
      </c>
      <c r="C8" s="63" t="inlineStr">
        <is>
          <t>231=722</t>
        </is>
      </c>
      <c r="D8" s="63" t="inlineStr">
        <is>
          <t>—</t>
        </is>
      </c>
      <c r="E8" s="63" t="inlineStr">
        <is>
          <t>213=231</t>
        </is>
      </c>
      <c r="F8" s="63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F-05 veche)</t>
        </is>
      </c>
    </row>
    <row r="19" ht="15" customHeight="1" s="40">
      <c r="A19" s="43" t="inlineStr">
        <is>
          <t>• 722 = 231 (ar stinge activul — eroare F-28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2" t="inlineStr">
        <is>
          <t>Nr</t>
        </is>
      </c>
      <c r="B6" s="52" t="inlineStr">
        <is>
          <t>Cont Dr</t>
        </is>
      </c>
      <c r="C6" s="52" t="inlineStr">
        <is>
          <t>Sumă Dr</t>
        </is>
      </c>
      <c r="D6" s="52" t="inlineStr">
        <is>
          <t>Descriere Dr</t>
        </is>
      </c>
      <c r="E6" s="52" t="inlineStr">
        <is>
          <t>Cont Cr</t>
        </is>
      </c>
      <c r="F6" s="52" t="inlineStr">
        <is>
          <t>Sumă Cr</t>
        </is>
      </c>
      <c r="G6" s="52" t="inlineStr">
        <is>
          <t>Descriere Cr</t>
        </is>
      </c>
    </row>
    <row r="7" ht="30" customHeight="1" s="40">
      <c r="A7" s="65" t="n">
        <v>1</v>
      </c>
      <c r="B7" s="65" t="inlineStr">
        <is>
          <t>601</t>
        </is>
      </c>
      <c r="C7" s="66">
        <f>Declarații_NEUTRALIZARE!B20</f>
        <v>4500</v>
      </c>
      <c r="D7" s="65" t="str">
        <f>"Consum materiale " &amp; Declarații_NEUTRALIZARE!B37</f>
        <v>Consum materiale — 2026-07 — BUNURI — 711</v>
      </c>
      <c r="E7" s="65" t="str">
        <f>Declarații_NEUTRALIZARE!B32</f>
        <v>301</v>
      </c>
      <c r="F7" s="66">
        <f>Declarații_NEUTRALIZARE!B20</f>
        <v>4500</v>
      </c>
      <c r="G7" s="65" t="str">
        <f>"Stingere stoc materii " &amp; Declarații_NEUTRALIZARE!B37</f>
        <v>Stingere stoc materii — 2026-07 — BUNURI — 711</v>
      </c>
    </row>
    <row r="8" ht="30" customHeight="1" s="40">
      <c r="A8" s="65" t="n">
        <v>2</v>
      </c>
      <c r="B8" s="65" t="inlineStr">
        <is>
          <t>641</t>
        </is>
      </c>
      <c r="C8" s="66">
        <f>Declarații_NEUTRALIZARE!B21</f>
        <v>0</v>
      </c>
      <c r="D8" s="65" t="str">
        <f>"Manoperă pe proiect " &amp; Declarații_NEUTRALIZARE!B37</f>
        <v>Manoperă pe proiect — 2026-07 — BUNURI — 711</v>
      </c>
      <c r="E8" s="65" t="inlineStr">
        <is>
          <t>421</t>
        </is>
      </c>
      <c r="F8" s="66">
        <f>Declarații_NEUTRALIZARE!B21</f>
        <v>0</v>
      </c>
      <c r="G8" s="65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69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2" t="inlineStr">
        <is>
          <t>Nr</t>
        </is>
      </c>
      <c r="B13" s="52" t="inlineStr">
        <is>
          <t>Cont Dr</t>
        </is>
      </c>
      <c r="C13" s="52" t="inlineStr">
        <is>
          <t>Sumă Dr</t>
        </is>
      </c>
      <c r="D13" s="52" t="inlineStr">
        <is>
          <t>Descriere Dr</t>
        </is>
      </c>
      <c r="E13" s="52" t="inlineStr">
        <is>
          <t>Cont Cr</t>
        </is>
      </c>
      <c r="F13" s="52" t="inlineStr">
        <is>
          <t>Sumă Cr</t>
        </is>
      </c>
      <c r="G13" s="52" t="inlineStr">
        <is>
          <t>Descriere Cr</t>
        </is>
      </c>
    </row>
    <row r="14" ht="30" customHeight="1" s="40">
      <c r="A14" s="65" t="n">
        <v>1</v>
      </c>
      <c r="B14" s="65">
        <f>Declarații_NEUTRALIZARE!B15</f>
        <v>331</v>
      </c>
      <c r="C14" s="66">
        <f>Declarații_NEUTRALIZARE!B23</f>
        <v>4500</v>
      </c>
      <c r="D14" s="65" t="str">
        <f>"Stoc intermediar (PN/servicii/MF în curs) " &amp; Declarații_NEUTRALIZARE!B37</f>
        <v>Stoc intermediar (PN/servicii/MF în curs) — 2026-07 — BUNURI — 711</v>
      </c>
      <c r="E14" s="65">
        <f>Declarații_NEUTRALIZARE!B14</f>
        <v>711</v>
      </c>
      <c r="F14" s="66">
        <f>Declarații_NEUTRALIZARE!B23</f>
        <v>4500</v>
      </c>
      <c r="G14" s="65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69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2" t="inlineStr">
        <is>
          <t>Nr</t>
        </is>
      </c>
      <c r="B19" s="52" t="inlineStr">
        <is>
          <t>Cont Dr</t>
        </is>
      </c>
      <c r="C19" s="52" t="inlineStr">
        <is>
          <t>Sumă Dr</t>
        </is>
      </c>
      <c r="D19" s="52" t="inlineStr">
        <is>
          <t>Descriere Dr</t>
        </is>
      </c>
      <c r="E19" s="52" t="inlineStr">
        <is>
          <t>Cont Cr</t>
        </is>
      </c>
      <c r="F19" s="52" t="inlineStr">
        <is>
          <t>Sumă Cr</t>
        </is>
      </c>
      <c r="G19" s="52" t="inlineStr">
        <is>
          <t>Descriere Cr</t>
        </is>
      </c>
    </row>
    <row r="20" ht="30" customHeight="1" s="40">
      <c r="A20" s="65" t="n">
        <v>1</v>
      </c>
      <c r="B20" s="65">
        <f>IF(Declarații_NEUTRALIZARE!B13="BUNURI",Declarații_NEUTRALIZARE!B14,IF(Declarații_NEUTRALIZARE!B13="SERVICII",Declarații_NEUTRALIZARE!B14,Declarații_NEUTRALIZARE!B16))</f>
        <v>711</v>
      </c>
      <c r="C20" s="66">
        <f>Declarații_NEUTRALIZARE!B23</f>
        <v>4500</v>
      </c>
      <c r="D20" s="65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5">
        <f>IF(Declarații_NEUTRALIZARE!B13="MF",Declarații_NEUTRALIZARE!B15,Declarații_NEUTRALIZARE!B15)</f>
        <v>331</v>
      </c>
      <c r="F20" s="66">
        <f>Declarații_NEUTRALIZARE!B23</f>
        <v>4500</v>
      </c>
      <c r="G20" s="65" t="str">
        <f>"Stingere stoc intermediar " &amp; Declarații_NEUTRALIZARE!B37</f>
        <v>Stingere stoc intermediar — 2026-07 — BUNURI — 711</v>
      </c>
    </row>
    <row r="21" ht="30" customHeight="1" s="40">
      <c r="A21" s="65" t="n">
        <v>2</v>
      </c>
      <c r="B21" s="65">
        <f>IF(Declarații_NEUTRALIZARE!B13="BUNURI",Declarații_NEUTRALIZARE!B16,0)</f>
        <v>345</v>
      </c>
      <c r="C21" s="66">
        <f>IF(Declarații_NEUTRALIZARE!B13="BUNURI",Declarații_NEUTRALIZARE!B23,0)</f>
        <v>4500</v>
      </c>
      <c r="D21" s="65" t="str">
        <f>IF(Declarații_NEUTRALIZARE!B13="BUNURI","Obținere produs finit (345=711) " &amp; Declarații_NEUTRALIZARE!B37,"")</f>
        <v>Obținere produs finit (345=711) — 2026-07 — BUNURI — 711</v>
      </c>
      <c r="E21" s="65">
        <f>IF(Declarații_NEUTRALIZARE!B13="BUNURI",Declarații_NEUTRALIZARE!B14,0)</f>
        <v>711</v>
      </c>
      <c r="F21" s="66">
        <f>IF(Declarații_NEUTRALIZARE!B13="BUNURI",Declarații_NEUTRALIZARE!B23,0)</f>
        <v>4500</v>
      </c>
      <c r="G21" s="65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69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2" t="inlineStr">
        <is>
          <t>Nr</t>
        </is>
      </c>
      <c r="B26" s="52" t="inlineStr">
        <is>
          <t>Cont Dr</t>
        </is>
      </c>
      <c r="C26" s="52" t="inlineStr">
        <is>
          <t>Sumă Dr</t>
        </is>
      </c>
      <c r="D26" s="52" t="inlineStr">
        <is>
          <t>Descriere Dr</t>
        </is>
      </c>
      <c r="E26" s="52" t="inlineStr">
        <is>
          <t>Cont Cr</t>
        </is>
      </c>
      <c r="F26" s="52" t="inlineStr">
        <is>
          <t>Sumă Cr</t>
        </is>
      </c>
      <c r="G26" s="52" t="inlineStr">
        <is>
          <t>Descriere Cr</t>
        </is>
      </c>
    </row>
    <row r="27" ht="30" customHeight="1" s="40">
      <c r="A27" s="65" t="n">
        <v>1</v>
      </c>
      <c r="B27" s="65" t="str">
        <f>IF(OR(Declarații_NEUTRALIZARE!B13="BUNURI",Declarații_NEUTRALIZARE!B13="SERVICII"),Declarații_NEUTRALIZARE!B33,0)</f>
        <v>411.RO</v>
      </c>
      <c r="C27" s="66">
        <f>IF(OR(Declarații_NEUTRALIZARE!B13="BUNURI",Declarații_NEUTRALIZARE!B13="SERVICII"),Declarații_NEUTRALIZARE!B29,0)</f>
        <v>8470</v>
      </c>
      <c r="D27" s="65" t="str">
        <f>"Creanță client " &amp; Declarații_NEUTRALIZARE!B37</f>
        <v>Creanță client — 2026-07 — BUNURI — 711</v>
      </c>
      <c r="E27" s="65">
        <f>IF(OR(Declarații_NEUTRALIZARE!B13="BUNURI",Declarații_NEUTRALIZARE!B13="SERVICII"),Declarații_NEUTRALIZARE!B17,0)</f>
        <v>701</v>
      </c>
      <c r="F27" s="66">
        <f>IF(OR(Declarații_NEUTRALIZARE!B13="BUNURI",Declarații_NEUTRALIZARE!B13="SERVICII"),Declarații_NEUTRALIZARE!B26,0)</f>
        <v>7000</v>
      </c>
      <c r="G27" s="65" t="str">
        <f>"Venit din vânzare " &amp; Declarații_NEUTRALIZARE!B37</f>
        <v>Venit din vânzare — 2026-07 — BUNURI — 711</v>
      </c>
    </row>
    <row r="28" ht="30" customHeight="1" s="40">
      <c r="A28" s="65" t="n">
        <v>2</v>
      </c>
      <c r="B28" s="65" t="n">
        <v>0</v>
      </c>
      <c r="C28" s="65" t="n">
        <v>0</v>
      </c>
      <c r="D28" s="65" t="n"/>
      <c r="E28" s="65">
        <f>IF(OR(Declarații_NEUTRALIZARE!B13="BUNURI",Declarații_NEUTRALIZARE!B13="SERVICII"),Declarații_NEUTRALIZARE!B34,0)</f>
        <v/>
      </c>
      <c r="F28" s="66">
        <f>IF(OR(Declarații_NEUTRALIZARE!B13="BUNURI",Declarații_NEUTRALIZARE!B13="SERVICII"),Declarații_NEUTRALIZARE!B28,0)</f>
        <v>1470</v>
      </c>
      <c r="G28" s="65" t="str">
        <f>"TVA colectată " &amp; Declarații_NEUTRALIZARE!B37</f>
        <v>TVA colectată — 2026-07 — BUNURI — 711</v>
      </c>
    </row>
    <row r="29" ht="30" customHeight="1" s="40">
      <c r="A29" s="65" t="n">
        <v>3</v>
      </c>
      <c r="B29" s="65">
        <f>IF(Declarații_NEUTRALIZARE!B13="BUNURI",Declarații_NEUTRALIZARE!B14,IF(Declarații_NEUTRALIZARE!B13="SERVICII",Declarații_NEUTRALIZARE!B14,0))</f>
        <v>711</v>
      </c>
      <c r="C29" s="66">
        <f>IF(OR(Declarații_NEUTRALIZARE!B13="BUNURI",Declarații_NEUTRALIZARE!B13="SERVICII"),Declarații_NEUTRALIZARE!B23,0)</f>
        <v>4500</v>
      </c>
      <c r="D29" s="65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5">
        <f>IF(Declarații_NEUTRALIZARE!B13="BUNURI",Declarații_NEUTRALIZARE!B16,0)</f>
        <v>345</v>
      </c>
      <c r="F29" s="66">
        <f>IF(Declarații_NEUTRALIZARE!B13="BUNURI",Declarații_NEUTRALIZARE!B23,0)</f>
        <v>4500</v>
      </c>
      <c r="G29" s="65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69" t="str">
        <f>IF(ABS(B30)&lt;0.01,"OK","EROARE")</f>
        <v>OK</v>
      </c>
    </row>
    <row r="32" ht="15" customHeight="1" s="40">
      <c r="A32" s="72" t="inlineStr">
        <is>
          <t>Check global</t>
        </is>
      </c>
      <c r="B32" s="39">
        <f>ABS(B9)+ABS(B15)+ABS(B22)+ABS(B30)</f>
        <v>0</v>
      </c>
      <c r="C32" s="69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65" t="n">
        <v>1</v>
      </c>
      <c r="B5" s="65" t="inlineStr">
        <is>
          <t>B1 Costuri</t>
        </is>
      </c>
      <c r="C5" s="65" t="str">
        <f>Declarații_NEUTRALIZARE!B8</f>
        <v>2026-07-05</v>
      </c>
      <c r="D5" s="65" t="str">
        <f>Jurnale_NEUTRALIZARE!B7</f>
        <v>601</v>
      </c>
      <c r="E5" s="65" t="str">
        <f>Jurnale_NEUTRALIZARE!E7</f>
        <v>301</v>
      </c>
      <c r="F5" s="66">
        <f>Jurnale_NEUTRALIZARE!C7</f>
        <v>4500</v>
      </c>
      <c r="G5" s="65" t="str">
        <f>Jurnale_NEUTRALIZARE!D7</f>
        <v>Consum materiale — 2026-07 — BUNURI — 711</v>
      </c>
      <c r="H5" s="65" t="inlineStr">
        <is>
          <t>Producție / neutralizare</t>
        </is>
      </c>
      <c r="I5" s="65" t="str">
        <f>IF(AND(ISNUMBER(F5),F5&gt;0),"DA","NU")</f>
        <v>DA</v>
      </c>
    </row>
    <row r="6" ht="15" customHeight="1" s="40">
      <c r="A6" s="65" t="n">
        <v>2</v>
      </c>
      <c r="B6" s="65" t="inlineStr">
        <is>
          <t>B1 Costuri</t>
        </is>
      </c>
      <c r="C6" s="65" t="str">
        <f>Declarații_NEUTRALIZARE!B8</f>
        <v>2026-07-05</v>
      </c>
      <c r="D6" s="65" t="str">
        <f>Jurnale_NEUTRALIZARE!B8</f>
        <v>641</v>
      </c>
      <c r="E6" s="65" t="str">
        <f>Jurnale_NEUTRALIZARE!E8</f>
        <v>421</v>
      </c>
      <c r="F6" s="66">
        <f>Jurnale_NEUTRALIZARE!C8</f>
        <v>0</v>
      </c>
      <c r="G6" s="65" t="str">
        <f>Jurnale_NEUTRALIZARE!D8</f>
        <v>Manoperă pe proiect — 2026-07 — BUNURI — 711</v>
      </c>
      <c r="H6" s="65" t="inlineStr">
        <is>
          <t>Producție / neutralizare</t>
        </is>
      </c>
      <c r="I6" s="65" t="str">
        <f>IF(AND(ISNUMBER(F6),F6&gt;0),"DA","NU")</f>
        <v>NU</v>
      </c>
    </row>
    <row r="7" ht="21.75" customHeight="1" s="40">
      <c r="A7" s="65" t="n">
        <v>3</v>
      </c>
      <c r="B7" s="65" t="inlineStr">
        <is>
          <t>B2 Neutralizare</t>
        </is>
      </c>
      <c r="C7" s="65" t="str">
        <f>Declarații_NEUTRALIZARE!B9</f>
        <v>2026-07-20</v>
      </c>
      <c r="D7" s="65">
        <f>Jurnale_NEUTRALIZARE!B14</f>
        <v>331</v>
      </c>
      <c r="E7" s="65">
        <f>Jurnale_NEUTRALIZARE!E14</f>
        <v>711</v>
      </c>
      <c r="F7" s="66">
        <f>Jurnale_NEUTRALIZARE!C14</f>
        <v>4500</v>
      </c>
      <c r="G7" s="65" t="str">
        <f>Jurnale_NEUTRALIZARE!D14</f>
        <v>Stoc intermediar (PN/servicii/MF în curs) — 2026-07 — BUNURI — 711</v>
      </c>
      <c r="H7" s="65" t="inlineStr">
        <is>
          <t>Producție / neutralizare</t>
        </is>
      </c>
      <c r="I7" s="65" t="str">
        <f>IF(AND(ISNUMBER(F7),F7&gt;0),"DA","NU")</f>
        <v>DA</v>
      </c>
    </row>
    <row r="8" ht="15" customHeight="1" s="40">
      <c r="A8" s="65" t="n">
        <v>4</v>
      </c>
      <c r="B8" s="65" t="inlineStr">
        <is>
          <t>B3 Finalizare</t>
        </is>
      </c>
      <c r="C8" s="65" t="str">
        <f>Declarații_NEUTRALIZARE!B9</f>
        <v>2026-07-20</v>
      </c>
      <c r="D8" s="65">
        <f>Jurnale_NEUTRALIZARE!B20</f>
        <v>711</v>
      </c>
      <c r="E8" s="65">
        <f>Jurnale_NEUTRALIZARE!E20</f>
        <v>331</v>
      </c>
      <c r="F8" s="66">
        <f>Jurnale_NEUTRALIZARE!C20</f>
        <v>4500</v>
      </c>
      <c r="G8" s="65" t="str">
        <f>Jurnale_NEUTRALIZARE!D20</f>
        <v>Reluare PN (711 debitat #1) — 2026-07 — BUNURI — 711</v>
      </c>
      <c r="H8" s="65" t="inlineStr">
        <is>
          <t>Producție / neutralizare</t>
        </is>
      </c>
      <c r="I8" s="65" t="str">
        <f>IF(AND(ISNUMBER(F8),F8&gt;0),"DA","NU")</f>
        <v>DA</v>
      </c>
    </row>
    <row r="9" ht="15" customHeight="1" s="40">
      <c r="A9" s="65" t="n">
        <v>5</v>
      </c>
      <c r="B9" s="65" t="inlineStr">
        <is>
          <t>B3 Finalizare</t>
        </is>
      </c>
      <c r="C9" s="65" t="str">
        <f>Declarații_NEUTRALIZARE!B9</f>
        <v>2026-07-20</v>
      </c>
      <c r="D9" s="65">
        <f>Jurnale_NEUTRALIZARE!B21</f>
        <v>345</v>
      </c>
      <c r="E9" s="65">
        <f>Jurnale_NEUTRALIZARE!E21</f>
        <v>711</v>
      </c>
      <c r="F9" s="66">
        <f>Jurnale_NEUTRALIZARE!C21</f>
        <v>4500</v>
      </c>
      <c r="G9" s="65" t="str">
        <f>Jurnale_NEUTRALIZARE!D21</f>
        <v>Obținere produs finit (345=711) — 2026-07 — BUNURI — 711</v>
      </c>
      <c r="H9" s="65" t="inlineStr">
        <is>
          <t>Producție / neutralizare</t>
        </is>
      </c>
      <c r="I9" s="65" t="str">
        <f>IF(AND(ISNUMBER(F9),F9&gt;0),"DA","NU")</f>
        <v>DA</v>
      </c>
    </row>
    <row r="10" ht="15" customHeight="1" s="40">
      <c r="A10" s="65" t="n">
        <v>6</v>
      </c>
      <c r="B10" s="65" t="inlineStr">
        <is>
          <t>B4 Vânzare</t>
        </is>
      </c>
      <c r="C10" s="65" t="str">
        <f>Declarații_NEUTRALIZARE!B10</f>
        <v>2026-07-25</v>
      </c>
      <c r="D10" s="65" t="str">
        <f>Jurnale_NEUTRALIZARE!B27</f>
        <v>411.RO</v>
      </c>
      <c r="E10" s="65">
        <f>Jurnale_NEUTRALIZARE!E27</f>
        <v>701</v>
      </c>
      <c r="F10" s="66">
        <f>Jurnale_NEUTRALIZARE!F27</f>
        <v>7000</v>
      </c>
      <c r="G10" s="65" t="str">
        <f>Jurnale_NEUTRALIZARE!D27</f>
        <v>Creanță client — 2026-07 — BUNURI — 711</v>
      </c>
      <c r="H10" s="65" t="inlineStr">
        <is>
          <t>Producție / neutralizare</t>
        </is>
      </c>
      <c r="I10" s="65" t="str">
        <f>IF(AND(ISNUMBER(F10),F10&gt;0),"DA","NU")</f>
        <v>DA</v>
      </c>
    </row>
    <row r="11" ht="15" customHeight="1" s="40">
      <c r="A11" s="65" t="n">
        <v>7</v>
      </c>
      <c r="B11" s="65" t="inlineStr">
        <is>
          <t>B4 TVA</t>
        </is>
      </c>
      <c r="C11" s="65" t="str">
        <f>Declarații_NEUTRALIZARE!B10</f>
        <v>2026-07-25</v>
      </c>
      <c r="D11" s="65" t="str">
        <f>Jurnale_NEUTRALIZARE!B27</f>
        <v>411.RO</v>
      </c>
      <c r="E11" s="65" t="str">
        <f>Jurnale_NEUTRALIZARE!E28</f>
        <v>4427</v>
      </c>
      <c r="F11" s="66">
        <f>Jurnale_NEUTRALIZARE!F28</f>
        <v>1470</v>
      </c>
      <c r="G11" s="65" t="str">
        <f>Jurnale_NEUTRALIZARE!G28</f>
        <v>TVA colectată — 2026-07 — BUNURI — 711</v>
      </c>
      <c r="H11" s="65" t="inlineStr">
        <is>
          <t>Producție / neutralizare</t>
        </is>
      </c>
      <c r="I11" s="65" t="str">
        <f>IF(AND(ISNUMBER(F11),F11&gt;0),"DA","NU")</f>
        <v>DA</v>
      </c>
    </row>
    <row r="12" ht="15" customHeight="1" s="40">
      <c r="A12" s="65" t="n">
        <v>8</v>
      </c>
      <c r="B12" s="65" t="inlineStr">
        <is>
          <t>B4 Descărcare</t>
        </is>
      </c>
      <c r="C12" s="65" t="str">
        <f>Declarații_NEUTRALIZARE!B10</f>
        <v>2026-07-25</v>
      </c>
      <c r="D12" s="65">
        <f>Jurnale_NEUTRALIZARE!B29</f>
        <v>711</v>
      </c>
      <c r="E12" s="65">
        <f>Jurnale_NEUTRALIZARE!E29</f>
        <v>345</v>
      </c>
      <c r="F12" s="66">
        <f>Jurnale_NEUTRALIZARE!C29</f>
        <v>4500</v>
      </c>
      <c r="G12" s="65" t="str">
        <f>Jurnale_NEUTRALIZARE!D29</f>
        <v>Descărcare PF prin 711 (NU 607) — 2026-07 — BUNURI — 711</v>
      </c>
      <c r="H12" s="65" t="inlineStr">
        <is>
          <t>Producție / neutralizare</t>
        </is>
      </c>
      <c r="I12" s="65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Gestiune (analitic)</t>
        </is>
      </c>
      <c r="B6" s="55" t="inlineStr">
        <is>
          <t>AM.21</t>
        </is>
      </c>
    </row>
    <row r="7" ht="15" customHeight="1" s="40">
      <c r="A7" s="39" t="inlineStr">
        <is>
          <t>Luna</t>
        </is>
      </c>
      <c r="B7" s="55" t="inlineStr">
        <is>
          <t>2026-07</t>
        </is>
      </c>
    </row>
    <row r="8" ht="15" customHeight="1" s="40">
      <c r="A8" s="39" t="inlineStr">
        <is>
          <t>Data aprovizionare</t>
        </is>
      </c>
      <c r="B8" s="55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5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0" t="n">
        <v>10000</v>
      </c>
    </row>
    <row r="13" ht="15" customHeight="1" s="40">
      <c r="A13" s="39" t="inlineStr">
        <is>
          <t>Adaos %</t>
        </is>
      </c>
      <c r="B13" s="70" t="n">
        <v>0.3</v>
      </c>
    </row>
    <row r="14" ht="15" customHeight="1" s="40">
      <c r="A14" s="39" t="inlineStr">
        <is>
          <t>Cotă TVA</t>
        </is>
      </c>
      <c r="B14" s="70" t="n">
        <v>0.21</v>
      </c>
    </row>
    <row r="15" ht="15" customHeight="1" s="40">
      <c r="A15" s="39" t="inlineStr">
        <is>
          <t>Adaos (lei)</t>
        </is>
      </c>
      <c r="B15" s="61">
        <f>B12*B13</f>
        <v>3000</v>
      </c>
    </row>
    <row r="16" ht="15" customHeight="1" s="40">
      <c r="A16" s="39" t="inlineStr">
        <is>
          <t>Bază PVA (cost+adaos)</t>
        </is>
      </c>
      <c r="B16" s="61">
        <f>B12+B15</f>
        <v>13000</v>
      </c>
    </row>
    <row r="17" ht="15" customHeight="1" s="40">
      <c r="A17" s="39" t="inlineStr">
        <is>
          <t>TVA în PVA</t>
        </is>
      </c>
      <c r="B17" s="61">
        <f>B16*B14</f>
        <v>2730</v>
      </c>
    </row>
    <row r="18" ht="15" customHeight="1" s="40">
      <c r="A18" s="39" t="inlineStr">
        <is>
          <t>PVA total (371)</t>
        </is>
      </c>
      <c r="B18" s="61">
        <f>B16+B17</f>
        <v>15730</v>
      </c>
    </row>
    <row r="19" ht="15" customHeight="1" s="40">
      <c r="A19" s="39" t="inlineStr">
        <is>
          <t>TVA deductibilă (pe cost)</t>
        </is>
      </c>
      <c r="B19" s="61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5" t="inlineStr">
        <is>
          <t>371.AM.21</t>
        </is>
      </c>
    </row>
    <row r="23" ht="15" customHeight="1" s="40">
      <c r="A23" s="39" t="inlineStr">
        <is>
          <t>Cont adaos (378)</t>
        </is>
      </c>
      <c r="B23" s="55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5" t="inlineStr">
        <is>
          <t>4428.AM</t>
        </is>
      </c>
    </row>
    <row r="25" ht="15" customHeight="1" s="40">
      <c r="A25" s="39" t="inlineStr">
        <is>
          <t>Cont furnizor</t>
        </is>
      </c>
      <c r="B25" s="55" t="inlineStr">
        <is>
          <t>401.RO</t>
        </is>
      </c>
    </row>
    <row r="26" ht="15" customHeight="1" s="40">
      <c r="A26" s="39" t="inlineStr">
        <is>
          <t>Cont TVA deductibilă</t>
        </is>
      </c>
      <c r="B26" s="55" t="inlineStr">
        <is>
          <t>4426</t>
        </is>
      </c>
    </row>
    <row r="27" ht="15" customHeight="1" s="40">
      <c r="A27" s="39" t="inlineStr">
        <is>
          <t>Cont cheltuială (607)</t>
        </is>
      </c>
      <c r="B27" s="55" t="inlineStr">
        <is>
          <t>607</t>
        </is>
      </c>
    </row>
    <row r="28" ht="15" customHeight="1" s="40">
      <c r="A28" s="39" t="inlineStr">
        <is>
          <t>Cont venit (707)</t>
        </is>
      </c>
      <c r="B28" s="55" t="inlineStr">
        <is>
          <t>707</t>
        </is>
      </c>
    </row>
    <row r="29" ht="15" customHeight="1" s="40">
      <c r="A29" s="39" t="inlineStr">
        <is>
          <t>Cont TVA colectată</t>
        </is>
      </c>
      <c r="B29" s="55" t="inlineStr">
        <is>
          <t>4427</t>
        </is>
      </c>
    </row>
    <row r="30" ht="15" customHeight="1" s="40">
      <c r="A30" s="39" t="inlineStr">
        <is>
          <t>Cont casă / bancă</t>
        </is>
      </c>
      <c r="B30" s="55" t="inlineStr">
        <is>
          <t>531.1</t>
        </is>
      </c>
    </row>
    <row r="31" ht="15" customHeight="1" s="40">
      <c r="A31" s="39" t="inlineStr">
        <is>
          <t>Cont TVA de plată</t>
        </is>
      </c>
      <c r="B31" s="55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1">
        <f>B18*B14/(1+B14)</f>
        <v>2730</v>
      </c>
    </row>
    <row r="35" ht="15" customHeight="1" s="40">
      <c r="A35" s="39" t="inlineStr">
        <is>
          <t>Trebuie = 4428</t>
        </is>
      </c>
      <c r="B35" s="62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1">
        <f>B16-B12</f>
        <v>3000</v>
      </c>
    </row>
    <row r="37" ht="15" customHeight="1" s="40">
      <c r="A37" s="39" t="inlineStr">
        <is>
          <t>Trebuie = adaos (rulaj D 378)</t>
        </is>
      </c>
      <c r="B37" s="62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2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4" t="inlineStr">
        <is>
          <t>Pas</t>
        </is>
      </c>
      <c r="B5" s="74" t="inlineStr">
        <is>
          <t>Cont Dr</t>
        </is>
      </c>
      <c r="C5" s="74" t="inlineStr">
        <is>
          <t>Cont Cr</t>
        </is>
      </c>
      <c r="D5" s="74" t="inlineStr">
        <is>
          <t>Sumă (sursă)</t>
        </is>
      </c>
      <c r="E5" s="74" t="inlineStr">
        <is>
          <t>Condiție</t>
        </is>
      </c>
      <c r="F5" s="74" t="inlineStr">
        <is>
          <t>Temei / observație</t>
        </is>
      </c>
    </row>
    <row r="6" ht="31.5" customHeight="1" s="40">
      <c r="A6" s="63" t="n">
        <v>1</v>
      </c>
      <c r="B6" s="63" t="inlineStr">
        <is>
          <t>371.gest.cotă</t>
        </is>
      </c>
      <c r="C6" s="63" t="inlineStr">
        <is>
          <t>401 + 378 + 4428</t>
        </is>
      </c>
      <c r="D6" s="63" t="inlineStr">
        <is>
          <t>PVA = cost+adaos+TVA_PVA</t>
        </is>
      </c>
      <c r="E6" s="63" t="inlineStr">
        <is>
          <t>La aprovizionare amănunt</t>
        </is>
      </c>
      <c r="F6" s="63" t="inlineStr">
        <is>
          <t>Stoc la preț de vânzare cu amănuntul</t>
        </is>
      </c>
    </row>
    <row r="7" ht="31.5" customHeight="1" s="40">
      <c r="A7" s="63" t="n">
        <v>2</v>
      </c>
      <c r="B7" s="63" t="inlineStr">
        <is>
          <t>4426</t>
        </is>
      </c>
      <c r="C7" s="63" t="inlineStr">
        <is>
          <t>401</t>
        </is>
      </c>
      <c r="D7" s="63" t="inlineStr">
        <is>
          <t>cost × cotă</t>
        </is>
      </c>
      <c r="E7" s="63" t="inlineStr">
        <is>
          <t>Din factură furnizor</t>
        </is>
      </c>
      <c r="F7" s="63" t="inlineStr">
        <is>
          <t>TVA deductibilă ≠ TVA din PVA</t>
        </is>
      </c>
    </row>
    <row r="8" ht="31.5" customHeight="1" s="40">
      <c r="A8" s="63" t="n">
        <v>3</v>
      </c>
      <c r="B8" s="63" t="inlineStr">
        <is>
          <t>607 + 378 + 4428</t>
        </is>
      </c>
      <c r="C8" s="63" t="inlineStr">
        <is>
          <t>371.gest.cotă</t>
        </is>
      </c>
      <c r="D8" s="63" t="inlineStr">
        <is>
          <t>proporțional pe PVA vândut</t>
        </is>
      </c>
      <c r="E8" s="63" t="inlineStr">
        <is>
          <t>La vânzare / Z-report</t>
        </is>
      </c>
      <c r="F8" s="63" t="inlineStr">
        <is>
          <t>Descărcare proporțională (nu doar cost)</t>
        </is>
      </c>
    </row>
    <row r="9" ht="31.5" customHeight="1" s="40">
      <c r="A9" s="63" t="n">
        <v>4</v>
      </c>
      <c r="B9" s="63" t="inlineStr">
        <is>
          <t>531/512</t>
        </is>
      </c>
      <c r="C9" s="63" t="inlineStr">
        <is>
          <t>707 + 4427</t>
        </is>
      </c>
      <c r="D9" s="63" t="inlineStr">
        <is>
          <t>bază + TVA = PVA vândut</t>
        </is>
      </c>
      <c r="E9" s="63" t="inlineStr">
        <is>
          <t>La vânzare</t>
        </is>
      </c>
      <c r="F9" s="63" t="inlineStr">
        <is>
          <t>Venit pe bază (cost+adaos), TVA colectată</t>
        </is>
      </c>
    </row>
    <row r="10" ht="31.5" customHeight="1" s="40">
      <c r="A10" s="63" t="n">
        <v>5</v>
      </c>
      <c r="B10" s="63" t="inlineStr">
        <is>
          <t>4427</t>
        </is>
      </c>
      <c r="C10" s="63" t="inlineStr">
        <is>
          <t>4426 + 4423</t>
        </is>
      </c>
      <c r="D10" s="63" t="inlineStr">
        <is>
          <t>rulaje lunare</t>
        </is>
      </c>
      <c r="E10" s="63" t="inlineStr">
        <is>
          <t>La închidere TVA</t>
        </is>
      </c>
      <c r="F10" s="63" t="inlineStr">
        <is>
          <t>Vezi MOD_INCHIDERE_TVA</t>
        </is>
      </c>
    </row>
    <row r="11" ht="31.5" customHeight="1" s="40">
      <c r="A11" s="63" t="n">
        <v>6</v>
      </c>
      <c r="B11" s="63" t="inlineStr">
        <is>
          <t>707 + 4427</t>
        </is>
      </c>
      <c r="C11" s="63" t="inlineStr">
        <is>
          <t>411/531</t>
        </is>
      </c>
      <c r="D11" s="63" t="inlineStr">
        <is>
          <t>proporțional retur</t>
        </is>
      </c>
      <c r="E11" s="63" t="inlineStr">
        <is>
          <t>La retur client</t>
        </is>
      </c>
      <c r="F11" s="63" t="inlineStr">
        <is>
          <t>Storno venit+TVA; apoi reîncarcă 371+378+4428 (F-40)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4" t="inlineStr">
        <is>
          <t>ID</t>
        </is>
      </c>
      <c r="B14" s="74" t="inlineStr">
        <is>
          <t>Formulă</t>
        </is>
      </c>
      <c r="C14" s="74" t="inlineStr">
        <is>
          <t>Când</t>
        </is>
      </c>
      <c r="D14" s="74" t="inlineStr">
        <is>
          <t>Ce o rupe legitim</t>
        </is>
      </c>
      <c r="E14" s="74" t="inlineStr">
        <is>
          <t>Ce o rupe suspect</t>
        </is>
      </c>
      <c r="F14" s="74" t="inlineStr">
        <is>
          <t>Flux</t>
        </is>
      </c>
    </row>
    <row r="15" ht="36" customHeight="1" s="40">
      <c r="A15" s="63" t="inlineStr">
        <is>
          <t>C-01</t>
        </is>
      </c>
      <c r="B15" s="63" t="inlineStr">
        <is>
          <t>sold 371 × c/(100+c) = sold 4428</t>
        </is>
      </c>
      <c r="C15" s="63" t="inlineStr">
        <is>
          <t>Pe gestiune+cotă, oricând</t>
        </is>
      </c>
      <c r="D15" s="63" t="inlineStr">
        <is>
          <t>Vânzare parțială, retur, transfer gestiuni</t>
        </is>
      </c>
      <c r="E15" s="63" t="inlineStr">
        <is>
          <t>4428 omis; descărcare fără 378/4428</t>
        </is>
      </c>
      <c r="F15" s="63" t="inlineStr">
        <is>
          <t>F-14, F-40, F-43</t>
        </is>
      </c>
    </row>
    <row r="16" ht="36" customHeight="1" s="40">
      <c r="A16" s="63" t="inlineStr">
        <is>
          <t>C-02</t>
        </is>
      </c>
      <c r="B16" s="63" t="inlineStr">
        <is>
          <t>707 − 607 = rulaj D 378</t>
        </is>
      </c>
      <c r="C16" s="63" t="inlineStr">
        <is>
          <t>Pe perioadă</t>
        </is>
      </c>
      <c r="D16" s="63" t="inlineStr">
        <is>
          <t>Retur, 709, discount furnizor pe stoc vândut</t>
        </is>
      </c>
      <c r="E16" s="63" t="inlineStr">
        <is>
          <t>607 greșit; 378 nestins</t>
        </is>
      </c>
      <c r="F16" s="63" t="inlineStr">
        <is>
          <t>F-14, F-40, F-43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2" t="inlineStr">
        <is>
          <t>Nr</t>
        </is>
      </c>
      <c r="B5" s="52" t="inlineStr">
        <is>
          <t>Cont Dr</t>
        </is>
      </c>
      <c r="C5" s="52" t="inlineStr">
        <is>
          <t>Sumă Dr</t>
        </is>
      </c>
      <c r="D5" s="52" t="inlineStr">
        <is>
          <t>Descriere Dr</t>
        </is>
      </c>
      <c r="E5" s="52" t="inlineStr">
        <is>
          <t>Cont Cr</t>
        </is>
      </c>
      <c r="F5" s="52" t="inlineStr">
        <is>
          <t>Sumă Cr</t>
        </is>
      </c>
      <c r="G5" s="52" t="inlineStr">
        <is>
          <t>Descriere Cr</t>
        </is>
      </c>
    </row>
    <row r="6" ht="27.75" customHeight="1" s="40">
      <c r="A6" s="65" t="n">
        <v>1</v>
      </c>
      <c r="B6" s="65" t="str">
        <f>Declarații_AMANUNT!B22</f>
        <v>371.AM.21</v>
      </c>
      <c r="C6" s="66">
        <f>Declarații_AMANUNT!B18</f>
        <v>15730</v>
      </c>
      <c r="D6" s="65" t="str">
        <f>"Intrare stoc la PVA " &amp; Declarații_AMANUNT!B40</f>
        <v>Intrare stoc la PVA — amănunt AM.21 — 2026-07</v>
      </c>
      <c r="E6" s="65" t="str">
        <f>Declarații_AMANUNT!B25</f>
        <v>401.RO</v>
      </c>
      <c r="F6" s="66">
        <f>Declarații_AMANUNT!B12</f>
        <v>10000</v>
      </c>
      <c r="G6" s="65" t="str">
        <f>"Datorie furnizor (cost) " &amp; Declarații_AMANUNT!B40</f>
        <v>Datorie furnizor (cost) — amănunt AM.21 — 2026-07</v>
      </c>
    </row>
    <row r="7" ht="27.75" customHeight="1" s="40">
      <c r="A7" s="65" t="n">
        <v>2</v>
      </c>
      <c r="B7" s="65" t="n">
        <v>0</v>
      </c>
      <c r="C7" s="65" t="n">
        <v>0</v>
      </c>
      <c r="D7" s="65" t="n"/>
      <c r="E7" s="65">
        <f>Declarații_AMANUNT!B23</f>
        <v/>
      </c>
      <c r="F7" s="66">
        <f>Declarații_AMANUNT!B15</f>
        <v>3000</v>
      </c>
      <c r="G7" s="65" t="str">
        <f>"Adaos comercial " &amp; Declarații_AMANUNT!B40</f>
        <v>Adaos comercial — amănunt AM.21 — 2026-07</v>
      </c>
    </row>
    <row r="8" ht="27.75" customHeight="1" s="40">
      <c r="A8" s="65" t="n">
        <v>3</v>
      </c>
      <c r="B8" s="65" t="n">
        <v>0</v>
      </c>
      <c r="C8" s="65" t="n">
        <v>0</v>
      </c>
      <c r="D8" s="65" t="n"/>
      <c r="E8" s="65">
        <f>Declarații_AMANUNT!B24</f>
        <v/>
      </c>
      <c r="F8" s="66">
        <f>Declarații_AMANUNT!B17</f>
        <v>2730</v>
      </c>
      <c r="G8" s="65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69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2" t="inlineStr">
        <is>
          <t>Nr</t>
        </is>
      </c>
      <c r="B12" s="52" t="inlineStr">
        <is>
          <t>Cont Dr</t>
        </is>
      </c>
      <c r="C12" s="52" t="inlineStr">
        <is>
          <t>Sumă Dr</t>
        </is>
      </c>
      <c r="D12" s="52" t="inlineStr">
        <is>
          <t>Descriere Dr</t>
        </is>
      </c>
      <c r="E12" s="52" t="inlineStr">
        <is>
          <t>Cont Cr</t>
        </is>
      </c>
      <c r="F12" s="52" t="inlineStr">
        <is>
          <t>Sumă Cr</t>
        </is>
      </c>
      <c r="G12" s="52" t="inlineStr">
        <is>
          <t>Descriere Cr</t>
        </is>
      </c>
    </row>
    <row r="13" ht="27.75" customHeight="1" s="40">
      <c r="A13" s="65" t="n">
        <v>1</v>
      </c>
      <c r="B13" s="65" t="str">
        <f>Declarații_AMANUNT!B26</f>
        <v>4426</v>
      </c>
      <c r="C13" s="66">
        <f>Declarații_AMANUNT!B19</f>
        <v>2100</v>
      </c>
      <c r="D13" s="65" t="str">
        <f>"TVA deductibilă pe cost " &amp; Declarații_AMANUNT!B40</f>
        <v>TVA deductibilă pe cost — amănunt AM.21 — 2026-07</v>
      </c>
      <c r="E13" s="65" t="str">
        <f>Declarații_AMANUNT!B25</f>
        <v>401.RO</v>
      </c>
      <c r="F13" s="66">
        <f>Declarații_AMANUNT!B19</f>
        <v>2100</v>
      </c>
      <c r="G13" s="65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69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2" t="inlineStr">
        <is>
          <t>Nr</t>
        </is>
      </c>
      <c r="B18" s="52" t="inlineStr">
        <is>
          <t>Cont Dr</t>
        </is>
      </c>
      <c r="C18" s="52" t="inlineStr">
        <is>
          <t>Sumă Dr</t>
        </is>
      </c>
      <c r="D18" s="52" t="inlineStr">
        <is>
          <t>Descriere Dr</t>
        </is>
      </c>
      <c r="E18" s="52" t="inlineStr">
        <is>
          <t>Cont Cr</t>
        </is>
      </c>
      <c r="F18" s="52" t="inlineStr">
        <is>
          <t>Sumă Cr</t>
        </is>
      </c>
      <c r="G18" s="52" t="inlineStr">
        <is>
          <t>Descriere Cr</t>
        </is>
      </c>
    </row>
    <row r="19" ht="27.75" customHeight="1" s="40">
      <c r="A19" s="65" t="n">
        <v>1</v>
      </c>
      <c r="B19" s="65" t="str">
        <f>Declarații_AMANUNT!B27</f>
        <v>607</v>
      </c>
      <c r="C19" s="66">
        <f>Declarații_AMANUNT!B12</f>
        <v>10000</v>
      </c>
      <c r="D19" s="65" t="str">
        <f>"Descărcare la cost " &amp; Declarații_AMANUNT!B40</f>
        <v>Descărcare la cost — amănunt AM.21 — 2026-07</v>
      </c>
      <c r="E19" s="65" t="str">
        <f>Declarații_AMANUNT!B22</f>
        <v>371.AM.21</v>
      </c>
      <c r="F19" s="66">
        <f>Declarații_AMANUNT!B18</f>
        <v>15730</v>
      </c>
      <c r="G19" s="65" t="str">
        <f>"Stingere stoc PVA " &amp; Declarații_AMANUNT!B40</f>
        <v>Stingere stoc PVA — amănunt AM.21 — 2026-07</v>
      </c>
    </row>
    <row r="20" ht="27.75" customHeight="1" s="40">
      <c r="A20" s="65" t="n">
        <v>2</v>
      </c>
      <c r="B20" s="65" t="str">
        <f>Declarații_AMANUNT!B23</f>
        <v>378.AM.21</v>
      </c>
      <c r="C20" s="66">
        <f>Declarații_AMANUNT!B15</f>
        <v>3000</v>
      </c>
      <c r="D20" s="65" t="str">
        <f>"Stingere adaos " &amp; Declarații_AMANUNT!B40</f>
        <v>Stingere adaos — amănunt AM.21 — 2026-07</v>
      </c>
      <c r="E20" s="65" t="n">
        <v>0</v>
      </c>
      <c r="F20" s="65" t="n">
        <v>0</v>
      </c>
      <c r="G20" s="65" t="n"/>
    </row>
    <row r="21" ht="27.75" customHeight="1" s="40">
      <c r="A21" s="65" t="n">
        <v>3</v>
      </c>
      <c r="B21" s="65" t="str">
        <f>Declarații_AMANUNT!B24</f>
        <v>4428.AM</v>
      </c>
      <c r="C21" s="66">
        <f>Declarații_AMANUNT!B17</f>
        <v>2730</v>
      </c>
      <c r="D21" s="65" t="str">
        <f>"Stingere TVA neexigibilă " &amp; Declarații_AMANUNT!B40</f>
        <v>Stingere TVA neexigibilă — amănunt AM.21 — 2026-07</v>
      </c>
      <c r="E21" s="65" t="n">
        <v>0</v>
      </c>
      <c r="F21" s="65" t="n">
        <v>0</v>
      </c>
      <c r="G21" s="65" t="n"/>
    </row>
    <row r="22" ht="15" customHeight="1" s="40">
      <c r="A22" s="39" t="inlineStr">
        <is>
          <t>Check B3</t>
        </is>
      </c>
      <c r="B22" s="39">
        <f>(C19+C20+C21)-F19</f>
        <v>0</v>
      </c>
      <c r="C22" s="69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2" t="inlineStr">
        <is>
          <t>Nr</t>
        </is>
      </c>
      <c r="B25" s="52" t="inlineStr">
        <is>
          <t>Cont Dr</t>
        </is>
      </c>
      <c r="C25" s="52" t="inlineStr">
        <is>
          <t>Sumă Dr</t>
        </is>
      </c>
      <c r="D25" s="52" t="inlineStr">
        <is>
          <t>Descriere Dr</t>
        </is>
      </c>
      <c r="E25" s="52" t="inlineStr">
        <is>
          <t>Cont Cr</t>
        </is>
      </c>
      <c r="F25" s="52" t="inlineStr">
        <is>
          <t>Sumă Cr</t>
        </is>
      </c>
      <c r="G25" s="52" t="inlineStr">
        <is>
          <t>Descriere Cr</t>
        </is>
      </c>
    </row>
    <row r="26" ht="27.75" customHeight="1" s="40">
      <c r="A26" s="65" t="n">
        <v>1</v>
      </c>
      <c r="B26" s="65" t="str">
        <f>Declarații_AMANUNT!B30</f>
        <v>531.1</v>
      </c>
      <c r="C26" s="66">
        <f>Declarații_AMANUNT!B18</f>
        <v>15730</v>
      </c>
      <c r="D26" s="65" t="str">
        <f>"Încasare amănunt " &amp; Declarații_AMANUNT!B40</f>
        <v>Încasare amănunt — amănunt AM.21 — 2026-07</v>
      </c>
      <c r="E26" s="65" t="str">
        <f>Declarații_AMANUNT!B28</f>
        <v>707</v>
      </c>
      <c r="F26" s="66">
        <f>Declarații_AMANUNT!B16</f>
        <v>13000</v>
      </c>
      <c r="G26" s="65" t="str">
        <f>"Venit amănunt (bază) " &amp; Declarații_AMANUNT!B40</f>
        <v>Venit amănunt (bază) — amănunt AM.21 — 2026-07</v>
      </c>
    </row>
    <row r="27" ht="27.75" customHeight="1" s="40">
      <c r="A27" s="65" t="n">
        <v>2</v>
      </c>
      <c r="B27" s="65" t="n">
        <v>0</v>
      </c>
      <c r="C27" s="65" t="n">
        <v>0</v>
      </c>
      <c r="D27" s="65" t="n"/>
      <c r="E27" s="65">
        <f>Declarații_AMANUNT!B29</f>
        <v/>
      </c>
      <c r="F27" s="66">
        <f>Declarații_AMANUNT!B17</f>
        <v>2730</v>
      </c>
      <c r="G27" s="65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69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2" t="inlineStr">
        <is>
          <t>Nr</t>
        </is>
      </c>
      <c r="B31" s="52" t="inlineStr">
        <is>
          <t>Cont Dr</t>
        </is>
      </c>
      <c r="C31" s="52" t="inlineStr">
        <is>
          <t>Sumă Dr</t>
        </is>
      </c>
      <c r="D31" s="52" t="inlineStr">
        <is>
          <t>Descriere Dr</t>
        </is>
      </c>
      <c r="E31" s="52" t="inlineStr">
        <is>
          <t>Cont Cr</t>
        </is>
      </c>
      <c r="F31" s="52" t="inlineStr">
        <is>
          <t>Sumă Cr</t>
        </is>
      </c>
      <c r="G31" s="52" t="inlineStr">
        <is>
          <t>Descriere Cr</t>
        </is>
      </c>
    </row>
    <row r="32" ht="27.75" customHeight="1" s="40">
      <c r="A32" s="65" t="n">
        <v>1</v>
      </c>
      <c r="B32" s="65" t="str">
        <f>Declarații_AMANUNT!B29</f>
        <v>4427</v>
      </c>
      <c r="C32" s="66">
        <f>Declarații_AMANUNT!B17</f>
        <v>2730</v>
      </c>
      <c r="D32" s="65" t="str">
        <f>"Închidere TVA colectată " &amp; Declarații_AMANUNT!B40</f>
        <v>Închidere TVA colectată — amănunt AM.21 — 2026-07</v>
      </c>
      <c r="E32" s="65" t="str">
        <f>Declarații_AMANUNT!B26</f>
        <v>4426</v>
      </c>
      <c r="F32" s="66">
        <f>Declarații_AMANUNT!B19</f>
        <v>2100</v>
      </c>
      <c r="G32" s="65" t="str">
        <f>"Închidere TVA deductibilă " &amp; Declarații_AMANUNT!B40</f>
        <v>Închidere TVA deductibilă — amănunt AM.21 — 2026-07</v>
      </c>
    </row>
    <row r="33" ht="27.75" customHeight="1" s="40">
      <c r="A33" s="65" t="n">
        <v>2</v>
      </c>
      <c r="B33" s="65" t="n">
        <v>0</v>
      </c>
      <c r="C33" s="65" t="n">
        <v>0</v>
      </c>
      <c r="D33" s="65" t="n"/>
      <c r="E33" s="65">
        <f>Declarații_AMANUNT!B31</f>
        <v/>
      </c>
      <c r="F33" s="66">
        <f>Declarații_AMANUNT!B17-Declarații_AMANUNT!B19</f>
        <v>630</v>
      </c>
      <c r="G33" s="65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69" t="str">
        <f>IF(ABS(B34)&lt;0.01,"OK","EROARE")</f>
        <v>OK</v>
      </c>
    </row>
    <row r="36" ht="15" customHeight="1" s="40">
      <c r="A36" s="72" t="inlineStr">
        <is>
          <t>Check global</t>
        </is>
      </c>
      <c r="B36" s="39">
        <f>ABS(B9)+ABS(B14)+ABS(B22)+ABS(B28)+ABS(B34)</f>
        <v>0</v>
      </c>
      <c r="C36" s="69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75" t="n">
        <v>1</v>
      </c>
      <c r="B5" s="75" t="inlineStr">
        <is>
          <t>B1</t>
        </is>
      </c>
      <c r="C5" s="75" t="str">
        <f>Declarații_AMANUNT!B8</f>
        <v>2026-07-05</v>
      </c>
      <c r="D5" s="75" t="str">
        <f>Jurnale_AMANUNT!B6</f>
        <v>371.AM.21</v>
      </c>
      <c r="E5" s="75" t="str">
        <f>Jurnale_AMANUNT!E6</f>
        <v>401.RO</v>
      </c>
      <c r="F5" s="76">
        <f>Jurnale_AMANUNT!F6</f>
        <v>10000</v>
      </c>
      <c r="G5" s="75" t="inlineStr">
        <is>
          <t>Cost</t>
        </is>
      </c>
      <c r="H5" s="75" t="inlineStr">
        <is>
          <t>Amănunt</t>
        </is>
      </c>
      <c r="I5" s="75" t="str">
        <f>IF(AND(ISNUMBER(F5),F5&gt;0),"DA","NU")</f>
        <v>DA</v>
      </c>
    </row>
    <row r="6" ht="15" customHeight="1" s="40">
      <c r="A6" s="75" t="n">
        <v>2</v>
      </c>
      <c r="B6" s="75" t="inlineStr">
        <is>
          <t>B1</t>
        </is>
      </c>
      <c r="C6" s="75" t="str">
        <f>Declarații_AMANUNT!B8</f>
        <v>2026-07-05</v>
      </c>
      <c r="D6" s="75" t="str">
        <f>Jurnale_AMANUNT!B6</f>
        <v>371.AM.21</v>
      </c>
      <c r="E6" s="75" t="str">
        <f>Jurnale_AMANUNT!E7</f>
        <v>378.AM.21</v>
      </c>
      <c r="F6" s="76">
        <f>Jurnale_AMANUNT!F7</f>
        <v>3000</v>
      </c>
      <c r="G6" s="75" t="inlineStr">
        <is>
          <t>Adaos</t>
        </is>
      </c>
      <c r="H6" s="75" t="inlineStr">
        <is>
          <t>Amănunt</t>
        </is>
      </c>
      <c r="I6" s="75" t="str">
        <f>IF(AND(ISNUMBER(F6),F6&gt;0),"DA","NU")</f>
        <v>DA</v>
      </c>
    </row>
    <row r="7" ht="15" customHeight="1" s="40">
      <c r="A7" s="75" t="n">
        <v>3</v>
      </c>
      <c r="B7" s="75" t="inlineStr">
        <is>
          <t>B1</t>
        </is>
      </c>
      <c r="C7" s="75" t="str">
        <f>Declarații_AMANUNT!B8</f>
        <v>2026-07-05</v>
      </c>
      <c r="D7" s="75" t="str">
        <f>Jurnale_AMANUNT!B6</f>
        <v>371.AM.21</v>
      </c>
      <c r="E7" s="75" t="str">
        <f>Jurnale_AMANUNT!E8</f>
        <v>4428.AM</v>
      </c>
      <c r="F7" s="76">
        <f>Jurnale_AMANUNT!F8</f>
        <v>2730</v>
      </c>
      <c r="G7" s="75" t="inlineStr">
        <is>
          <t>TVA PVA</t>
        </is>
      </c>
      <c r="H7" s="75" t="inlineStr">
        <is>
          <t>Amănunt</t>
        </is>
      </c>
      <c r="I7" s="75" t="str">
        <f>IF(AND(ISNUMBER(F7),F7&gt;0),"DA","NU")</f>
        <v>DA</v>
      </c>
    </row>
    <row r="8" ht="15" customHeight="1" s="40">
      <c r="A8" s="75" t="n">
        <v>4</v>
      </c>
      <c r="B8" s="75" t="inlineStr">
        <is>
          <t>B2</t>
        </is>
      </c>
      <c r="C8" s="75" t="str">
        <f>Declarații_AMANUNT!B8</f>
        <v>2026-07-05</v>
      </c>
      <c r="D8" s="75" t="str">
        <f>Jurnale_AMANUNT!B13</f>
        <v>4426</v>
      </c>
      <c r="E8" s="75" t="str">
        <f>Jurnale_AMANUNT!E13</f>
        <v>401.RO</v>
      </c>
      <c r="F8" s="76">
        <f>Jurnale_AMANUNT!C13</f>
        <v>2100</v>
      </c>
      <c r="G8" s="75" t="inlineStr">
        <is>
          <t>TVA ded</t>
        </is>
      </c>
      <c r="H8" s="75" t="inlineStr">
        <is>
          <t>Amănunt</t>
        </is>
      </c>
      <c r="I8" s="75" t="str">
        <f>IF(AND(ISNUMBER(F8),F8&gt;0),"DA","NU")</f>
        <v>DA</v>
      </c>
    </row>
    <row r="9" ht="15" customHeight="1" s="40">
      <c r="A9" s="75" t="n">
        <v>5</v>
      </c>
      <c r="B9" s="75" t="inlineStr">
        <is>
          <t>B3</t>
        </is>
      </c>
      <c r="C9" s="75" t="str">
        <f>Declarații_AMANUNT!B9</f>
        <v>2026-07-31</v>
      </c>
      <c r="D9" s="75" t="str">
        <f>Jurnale_AMANUNT!B19</f>
        <v>607</v>
      </c>
      <c r="E9" s="75" t="str">
        <f>Jurnale_AMANUNT!E19</f>
        <v>371.AM.21</v>
      </c>
      <c r="F9" s="76">
        <f>Jurnale_AMANUNT!C19</f>
        <v>10000</v>
      </c>
      <c r="G9" s="75" t="inlineStr">
        <is>
          <t>Desc cost</t>
        </is>
      </c>
      <c r="H9" s="75" t="inlineStr">
        <is>
          <t>Amănunt</t>
        </is>
      </c>
      <c r="I9" s="75" t="str">
        <f>IF(AND(ISNUMBER(F9),F9&gt;0),"DA","NU")</f>
        <v>DA</v>
      </c>
    </row>
    <row r="10" ht="15" customHeight="1" s="40">
      <c r="A10" s="75" t="n">
        <v>6</v>
      </c>
      <c r="B10" s="75" t="inlineStr">
        <is>
          <t>B3</t>
        </is>
      </c>
      <c r="C10" s="75" t="str">
        <f>Declarații_AMANUNT!B9</f>
        <v>2026-07-31</v>
      </c>
      <c r="D10" s="75" t="str">
        <f>Jurnale_AMANUNT!B20</f>
        <v>378.AM.21</v>
      </c>
      <c r="E10" s="75" t="str">
        <f>Jurnale_AMANUNT!E19</f>
        <v>371.AM.21</v>
      </c>
      <c r="F10" s="76">
        <f>Jurnale_AMANUNT!C20</f>
        <v>3000</v>
      </c>
      <c r="G10" s="75" t="inlineStr">
        <is>
          <t>Desc adaos</t>
        </is>
      </c>
      <c r="H10" s="75" t="inlineStr">
        <is>
          <t>Amănunt</t>
        </is>
      </c>
      <c r="I10" s="75" t="str">
        <f>IF(AND(ISNUMBER(F10),F10&gt;0),"DA","NU")</f>
        <v>DA</v>
      </c>
    </row>
    <row r="11" ht="15" customHeight="1" s="40">
      <c r="A11" s="75" t="n">
        <v>7</v>
      </c>
      <c r="B11" s="75" t="inlineStr">
        <is>
          <t>B3</t>
        </is>
      </c>
      <c r="C11" s="75" t="str">
        <f>Declarații_AMANUNT!B9</f>
        <v>2026-07-31</v>
      </c>
      <c r="D11" s="75" t="str">
        <f>Jurnale_AMANUNT!B21</f>
        <v>4428.AM</v>
      </c>
      <c r="E11" s="75" t="str">
        <f>Jurnale_AMANUNT!E19</f>
        <v>371.AM.21</v>
      </c>
      <c r="F11" s="76">
        <f>Jurnale_AMANUNT!C21</f>
        <v>2730</v>
      </c>
      <c r="G11" s="75" t="inlineStr">
        <is>
          <t>Desc 4428</t>
        </is>
      </c>
      <c r="H11" s="75" t="inlineStr">
        <is>
          <t>Amănunt</t>
        </is>
      </c>
      <c r="I11" s="75" t="str">
        <f>IF(AND(ISNUMBER(F11),F11&gt;0),"DA","NU")</f>
        <v>DA</v>
      </c>
    </row>
    <row r="12" ht="15" customHeight="1" s="40">
      <c r="A12" s="75" t="n">
        <v>8</v>
      </c>
      <c r="B12" s="75" t="inlineStr">
        <is>
          <t>B4</t>
        </is>
      </c>
      <c r="C12" s="75" t="str">
        <f>Declarații_AMANUNT!B9</f>
        <v>2026-07-31</v>
      </c>
      <c r="D12" s="75" t="str">
        <f>Jurnale_AMANUNT!B26</f>
        <v>531.1</v>
      </c>
      <c r="E12" s="75" t="str">
        <f>Jurnale_AMANUNT!E26</f>
        <v>707</v>
      </c>
      <c r="F12" s="76">
        <f>Jurnale_AMANUNT!F26</f>
        <v>13000</v>
      </c>
      <c r="G12" s="75" t="inlineStr">
        <is>
          <t>Venit</t>
        </is>
      </c>
      <c r="H12" s="75" t="inlineStr">
        <is>
          <t>Amănunt</t>
        </is>
      </c>
      <c r="I12" s="75" t="str">
        <f>IF(AND(ISNUMBER(F12),F12&gt;0),"DA","NU")</f>
        <v>DA</v>
      </c>
    </row>
    <row r="13" ht="15" customHeight="1" s="40">
      <c r="A13" s="75" t="n">
        <v>9</v>
      </c>
      <c r="B13" s="75" t="inlineStr">
        <is>
          <t>B4</t>
        </is>
      </c>
      <c r="C13" s="75" t="str">
        <f>Declarații_AMANUNT!B9</f>
        <v>2026-07-31</v>
      </c>
      <c r="D13" s="75" t="str">
        <f>Jurnale_AMANUNT!B26</f>
        <v>531.1</v>
      </c>
      <c r="E13" s="75" t="str">
        <f>Jurnale_AMANUNT!E27</f>
        <v>4427</v>
      </c>
      <c r="F13" s="76">
        <f>Jurnale_AMANUNT!F27</f>
        <v>2730</v>
      </c>
      <c r="G13" s="75" t="inlineStr">
        <is>
          <t>TVA col</t>
        </is>
      </c>
      <c r="H13" s="75" t="inlineStr">
        <is>
          <t>Amănunt</t>
        </is>
      </c>
      <c r="I13" s="75" t="str">
        <f>IF(AND(ISNUMBER(F13),F13&gt;0),"DA","NU")</f>
        <v>DA</v>
      </c>
    </row>
    <row r="14" ht="15" customHeight="1" s="40">
      <c r="A14" s="75" t="n">
        <v>10</v>
      </c>
      <c r="B14" s="75" t="inlineStr">
        <is>
          <t>B5</t>
        </is>
      </c>
      <c r="C14" s="75" t="str">
        <f>Declarații_AMANUNT!B9</f>
        <v>2026-07-31</v>
      </c>
      <c r="D14" s="75" t="str">
        <f>Jurnale_AMANUNT!B32</f>
        <v>4427</v>
      </c>
      <c r="E14" s="75" t="str">
        <f>Jurnale_AMANUNT!E32</f>
        <v>4426</v>
      </c>
      <c r="F14" s="76">
        <f>Jurnale_AMANUNT!F32</f>
        <v>2100</v>
      </c>
      <c r="G14" s="75" t="inlineStr">
        <is>
          <t>Înch 4426</t>
        </is>
      </c>
      <c r="H14" s="75" t="inlineStr">
        <is>
          <t>Amănunt</t>
        </is>
      </c>
      <c r="I14" s="75" t="str">
        <f>IF(AND(ISNUMBER(F14),F14&gt;0),"DA","NU")</f>
        <v>DA</v>
      </c>
    </row>
    <row r="15" ht="15" customHeight="1" s="40">
      <c r="A15" s="75" t="n">
        <v>11</v>
      </c>
      <c r="B15" s="75" t="inlineStr">
        <is>
          <t>B5</t>
        </is>
      </c>
      <c r="C15" s="75" t="str">
        <f>Declarații_AMANUNT!B9</f>
        <v>2026-07-31</v>
      </c>
      <c r="D15" s="75" t="str">
        <f>Jurnale_AMANUNT!B32</f>
        <v>4427</v>
      </c>
      <c r="E15" s="75" t="str">
        <f>Jurnale_AMANUNT!E33</f>
        <v>4423</v>
      </c>
      <c r="F15" s="76">
        <f>Jurnale_AMANUNT!F33</f>
        <v>630</v>
      </c>
      <c r="G15" s="75" t="inlineStr">
        <is>
          <t>TVA plată</t>
        </is>
      </c>
      <c r="H15" s="75" t="inlineStr">
        <is>
          <t>Amănunt</t>
        </is>
      </c>
      <c r="I15" s="75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Luna</t>
        </is>
      </c>
      <c r="B6" s="55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5" t="inlineStr">
        <is>
          <t>2026-07-08</t>
        </is>
      </c>
    </row>
    <row r="10" ht="15" customHeight="1" s="40">
      <c r="A10" s="39" t="inlineStr">
        <is>
          <t>Data plată furnizor</t>
        </is>
      </c>
      <c r="B10" s="55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0" t="n">
        <v>5000</v>
      </c>
    </row>
    <row r="12" ht="15" customHeight="1" s="40">
      <c r="A12" s="39" t="inlineStr">
        <is>
          <t>Cotă TVA</t>
        </is>
      </c>
      <c r="B12" s="70" t="n">
        <v>0.21</v>
      </c>
    </row>
    <row r="13" ht="15" customHeight="1" s="40">
      <c r="A13" s="39" t="inlineStr">
        <is>
          <t>TVA achiziție</t>
        </is>
      </c>
      <c r="B13" s="61">
        <f>B11*B12</f>
        <v>1050</v>
      </c>
    </row>
    <row r="14" ht="15" customHeight="1" s="40">
      <c r="A14" s="39" t="inlineStr">
        <is>
          <t>Total factură achiziție</t>
        </is>
      </c>
      <c r="B14" s="61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5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5" t="inlineStr">
        <is>
          <t>2026-07-28</t>
        </is>
      </c>
    </row>
    <row r="19" ht="15" customHeight="1" s="40">
      <c r="A19" s="39" t="inlineStr">
        <is>
          <t>Sumă netă vânzare</t>
        </is>
      </c>
      <c r="B19" s="60" t="n">
        <v>8000</v>
      </c>
    </row>
    <row r="20" ht="15" customHeight="1" s="40">
      <c r="A20" s="39" t="inlineStr">
        <is>
          <t>TVA vânzare</t>
        </is>
      </c>
      <c r="B20" s="61">
        <f>B19*B12</f>
        <v>1680</v>
      </c>
    </row>
    <row r="21" ht="15" customHeight="1" s="40">
      <c r="A21" s="39" t="inlineStr">
        <is>
          <t>Total factură vânzare</t>
        </is>
      </c>
      <c r="B21" s="61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5" t="inlineStr">
        <is>
          <t>301</t>
        </is>
      </c>
    </row>
    <row r="25" ht="15" customHeight="1" s="40">
      <c r="A25" s="39" t="inlineStr">
        <is>
          <t>Cont furnizor</t>
        </is>
      </c>
      <c r="B25" s="55" t="inlineStr">
        <is>
          <t>401.RO</t>
        </is>
      </c>
    </row>
    <row r="26" ht="15" customHeight="1" s="40">
      <c r="A26" s="39" t="inlineStr">
        <is>
          <t>Cont client</t>
        </is>
      </c>
      <c r="B26" s="55" t="inlineStr">
        <is>
          <t>411.RO</t>
        </is>
      </c>
    </row>
    <row r="27" ht="15" customHeight="1" s="40">
      <c r="A27" s="39" t="inlineStr">
        <is>
          <t>Cont venit</t>
        </is>
      </c>
      <c r="B27" s="55" t="inlineStr">
        <is>
          <t>707</t>
        </is>
      </c>
    </row>
    <row r="28" ht="15" customHeight="1" s="40">
      <c r="A28" s="39" t="inlineStr">
        <is>
          <t>Cont 4428.INC</t>
        </is>
      </c>
      <c r="B28" s="55" t="inlineStr">
        <is>
          <t>4428.INC</t>
        </is>
      </c>
    </row>
    <row r="29" ht="15" customHeight="1" s="40">
      <c r="A29" s="39" t="inlineStr">
        <is>
          <t>Cont 4426</t>
        </is>
      </c>
      <c r="B29" s="55" t="inlineStr">
        <is>
          <t>4426</t>
        </is>
      </c>
    </row>
    <row r="30" ht="15" customHeight="1" s="40">
      <c r="A30" s="39" t="inlineStr">
        <is>
          <t>Cont 4427</t>
        </is>
      </c>
      <c r="B30" s="55" t="inlineStr">
        <is>
          <t>4427</t>
        </is>
      </c>
    </row>
    <row r="31" ht="15" customHeight="1" s="40">
      <c r="A31" s="39" t="inlineStr">
        <is>
          <t>Cont trezorerie</t>
        </is>
      </c>
      <c r="B31" s="55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2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4" t="inlineStr">
        <is>
          <t>Pas</t>
        </is>
      </c>
      <c r="B5" s="74" t="inlineStr">
        <is>
          <t>Cont Dr</t>
        </is>
      </c>
      <c r="C5" s="74" t="inlineStr">
        <is>
          <t>Cont Cr</t>
        </is>
      </c>
      <c r="D5" s="74" t="inlineStr">
        <is>
          <t>Sumă (sursă)</t>
        </is>
      </c>
      <c r="E5" s="74" t="inlineStr">
        <is>
          <t>Condiție</t>
        </is>
      </c>
      <c r="F5" s="74" t="inlineStr">
        <is>
          <t>Temei / observație</t>
        </is>
      </c>
    </row>
    <row r="6" ht="31.5" customHeight="1" s="40">
      <c r="A6" s="63" t="n">
        <v>1</v>
      </c>
      <c r="B6" s="63" t="inlineStr">
        <is>
          <t>3xx/6xx + 4428.INC</t>
        </is>
      </c>
      <c r="C6" s="63" t="inlineStr">
        <is>
          <t>401</t>
        </is>
      </c>
      <c r="D6" s="63" t="inlineStr">
        <is>
          <t>net + TVA</t>
        </is>
      </c>
      <c r="E6" s="63" t="inlineStr">
        <is>
          <t>La factură achiziție (regim TVA la încasare)</t>
        </is>
      </c>
      <c r="F6" s="63" t="inlineStr">
        <is>
          <t>TVA NU intră pe 4426 la factură</t>
        </is>
      </c>
    </row>
    <row r="7" ht="31.5" customHeight="1" s="40">
      <c r="A7" s="63" t="n">
        <v>2</v>
      </c>
      <c r="B7" s="63" t="inlineStr">
        <is>
          <t>401</t>
        </is>
      </c>
      <c r="C7" s="63" t="inlineStr">
        <is>
          <t>512</t>
        </is>
      </c>
      <c r="D7" s="63" t="inlineStr">
        <is>
          <t>total factură</t>
        </is>
      </c>
      <c r="E7" s="63" t="inlineStr">
        <is>
          <t>La plată furnizor</t>
        </is>
      </c>
      <c r="F7" s="63" t="inlineStr">
        <is>
          <t>Stingere datorie</t>
        </is>
      </c>
    </row>
    <row r="8" ht="31.5" customHeight="1" s="40">
      <c r="A8" s="63" t="n">
        <v>3</v>
      </c>
      <c r="B8" s="63" t="inlineStr">
        <is>
          <t>4426</t>
        </is>
      </c>
      <c r="C8" s="63" t="inlineStr">
        <is>
          <t>4428.INC</t>
        </is>
      </c>
      <c r="D8" s="63" t="inlineStr">
        <is>
          <t>TVA</t>
        </is>
      </c>
      <c r="E8" s="63" t="inlineStr">
        <is>
          <t>La plată (același moment sau ulterior)</t>
        </is>
      </c>
      <c r="F8" s="63" t="inlineStr">
        <is>
          <t>TVA devine exigibilă / deductibilă</t>
        </is>
      </c>
    </row>
    <row r="9" ht="31.5" customHeight="1" s="40">
      <c r="A9" s="63" t="n">
        <v>4</v>
      </c>
      <c r="B9" s="63" t="inlineStr">
        <is>
          <t>411</t>
        </is>
      </c>
      <c r="C9" s="63" t="inlineStr">
        <is>
          <t>7xx + 4428.INC</t>
        </is>
      </c>
      <c r="D9" s="63" t="inlineStr">
        <is>
          <t>net + TVA</t>
        </is>
      </c>
      <c r="E9" s="63" t="inlineStr">
        <is>
          <t>La factură vânzare (regim TVA la încasare)</t>
        </is>
      </c>
      <c r="F9" s="63" t="inlineStr">
        <is>
          <t>TVA NU intră pe 4427 la factură</t>
        </is>
      </c>
    </row>
    <row r="10" ht="31.5" customHeight="1" s="40">
      <c r="A10" s="63" t="n">
        <v>5</v>
      </c>
      <c r="B10" s="63" t="inlineStr">
        <is>
          <t>512</t>
        </is>
      </c>
      <c r="C10" s="63" t="inlineStr">
        <is>
          <t>411</t>
        </is>
      </c>
      <c r="D10" s="63" t="inlineStr">
        <is>
          <t>total factură</t>
        </is>
      </c>
      <c r="E10" s="63" t="inlineStr">
        <is>
          <t>La încasare client</t>
        </is>
      </c>
      <c r="F10" s="63" t="inlineStr">
        <is>
          <t>Stingere creanță</t>
        </is>
      </c>
    </row>
    <row r="11" ht="31.5" customHeight="1" s="40">
      <c r="A11" s="63" t="n">
        <v>6</v>
      </c>
      <c r="B11" s="63" t="inlineStr">
        <is>
          <t>4428.INC</t>
        </is>
      </c>
      <c r="C11" s="63" t="inlineStr">
        <is>
          <t>4427</t>
        </is>
      </c>
      <c r="D11" s="63" t="inlineStr">
        <is>
          <t>TVA</t>
        </is>
      </c>
      <c r="E11" s="63" t="inlineStr">
        <is>
          <t>La încasare</t>
        </is>
      </c>
      <c r="F11" s="63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2" t="inlineStr">
        <is>
          <t>Nr</t>
        </is>
      </c>
      <c r="B5" s="52" t="inlineStr">
        <is>
          <t>Cont Dr</t>
        </is>
      </c>
      <c r="C5" s="52" t="inlineStr">
        <is>
          <t>Sumă Dr</t>
        </is>
      </c>
      <c r="D5" s="52" t="inlineStr">
        <is>
          <t>Descriere Dr</t>
        </is>
      </c>
      <c r="E5" s="52" t="inlineStr">
        <is>
          <t>Cont Cr</t>
        </is>
      </c>
      <c r="F5" s="52" t="inlineStr">
        <is>
          <t>Sumă Cr</t>
        </is>
      </c>
      <c r="G5" s="52" t="inlineStr">
        <is>
          <t>Descriere Cr</t>
        </is>
      </c>
    </row>
    <row r="6" ht="27.75" customHeight="1" s="40">
      <c r="A6" s="65" t="n">
        <v>1</v>
      </c>
      <c r="B6" s="65" t="str">
        <f>Declarații_TVA_INC!B24</f>
        <v>301</v>
      </c>
      <c r="C6" s="66">
        <f>Declarații_TVA_INC!B11</f>
        <v>5000</v>
      </c>
      <c r="D6" s="65" t="str">
        <f>"Achiziție (net) " &amp; Declarații_TVA_INC!B34</f>
        <v>Achiziție (net) — TVA la încasare 2026-07</v>
      </c>
      <c r="E6" s="65" t="str">
        <f>Declarații_TVA_INC!B25</f>
        <v>401.RO</v>
      </c>
      <c r="F6" s="66">
        <f>Declarații_TVA_INC!B14</f>
        <v>6050</v>
      </c>
      <c r="G6" s="65" t="str">
        <f>"Datorie furnizor total " &amp; Declarații_TVA_INC!B34</f>
        <v>Datorie furnizor total — TVA la încasare 2026-07</v>
      </c>
    </row>
    <row r="7" ht="27.75" customHeight="1" s="40">
      <c r="A7" s="65" t="n">
        <v>2</v>
      </c>
      <c r="B7" s="65" t="str">
        <f>Declarații_TVA_INC!B28</f>
        <v>4428.INC</v>
      </c>
      <c r="C7" s="66">
        <f>Declarații_TVA_INC!B13</f>
        <v>1050</v>
      </c>
      <c r="D7" s="65" t="str">
        <f>"TVA neexigibilă achiziție " &amp; Declarații_TVA_INC!B34</f>
        <v>TVA neexigibilă achiziție — TVA la încasare 2026-07</v>
      </c>
      <c r="E7" s="65" t="n">
        <v>0</v>
      </c>
      <c r="F7" s="65" t="n">
        <v>0</v>
      </c>
      <c r="G7" s="65" t="n"/>
    </row>
    <row r="8" ht="15" customHeight="1" s="40">
      <c r="A8" s="39" t="inlineStr">
        <is>
          <t>Check B1</t>
        </is>
      </c>
      <c r="B8" s="39">
        <f>(C6+C7)-F6</f>
        <v>0</v>
      </c>
      <c r="C8" s="69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2" t="inlineStr">
        <is>
          <t>Nr</t>
        </is>
      </c>
      <c r="B12" s="52" t="inlineStr">
        <is>
          <t>Cont Dr</t>
        </is>
      </c>
      <c r="C12" s="52" t="inlineStr">
        <is>
          <t>Sumă Dr</t>
        </is>
      </c>
      <c r="D12" s="52" t="inlineStr">
        <is>
          <t>Descriere Dr</t>
        </is>
      </c>
      <c r="E12" s="52" t="inlineStr">
        <is>
          <t>Cont Cr</t>
        </is>
      </c>
      <c r="F12" s="52" t="inlineStr">
        <is>
          <t>Sumă Cr</t>
        </is>
      </c>
      <c r="G12" s="52" t="inlineStr">
        <is>
          <t>Descriere Cr</t>
        </is>
      </c>
    </row>
    <row r="13" ht="27.75" customHeight="1" s="40">
      <c r="A13" s="65" t="n">
        <v>1</v>
      </c>
      <c r="B13" s="65" t="str">
        <f>Declarații_TVA_INC!B25</f>
        <v>401.RO</v>
      </c>
      <c r="C13" s="66">
        <f>Declarații_TVA_INC!B14</f>
        <v>6050</v>
      </c>
      <c r="D13" s="65" t="str">
        <f>"Plată furnizor " &amp; Declarații_TVA_INC!B34</f>
        <v>Plată furnizor — TVA la încasare 2026-07</v>
      </c>
      <c r="E13" s="65" t="str">
        <f>Declarații_TVA_INC!B31</f>
        <v>512.1</v>
      </c>
      <c r="F13" s="66">
        <f>Declarații_TVA_INC!B14</f>
        <v>6050</v>
      </c>
      <c r="G13" s="65" t="str">
        <f>"Ieșire bancă " &amp; Declarații_TVA_INC!B34</f>
        <v>Ieșire bancă — TVA la încasare 2026-07</v>
      </c>
    </row>
    <row r="14" ht="27.75" customHeight="1" s="40">
      <c r="A14" s="65" t="n">
        <v>2</v>
      </c>
      <c r="B14" s="65" t="str">
        <f>Declarații_TVA_INC!B29</f>
        <v>4426</v>
      </c>
      <c r="C14" s="66">
        <f>Declarații_TVA_INC!B13</f>
        <v>1050</v>
      </c>
      <c r="D14" s="65" t="str">
        <f>"TVA deductibilă (exigibilă) " &amp; Declarații_TVA_INC!B34</f>
        <v>TVA deductibilă (exigibilă) — TVA la încasare 2026-07</v>
      </c>
      <c r="E14" s="65" t="str">
        <f>Declarații_TVA_INC!B28</f>
        <v>4428.INC</v>
      </c>
      <c r="F14" s="66">
        <f>Declarații_TVA_INC!B13</f>
        <v>1050</v>
      </c>
      <c r="G14" s="65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69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2" t="inlineStr">
        <is>
          <t>Nr</t>
        </is>
      </c>
      <c r="B19" s="52" t="inlineStr">
        <is>
          <t>Cont Dr</t>
        </is>
      </c>
      <c r="C19" s="52" t="inlineStr">
        <is>
          <t>Sumă Dr</t>
        </is>
      </c>
      <c r="D19" s="52" t="inlineStr">
        <is>
          <t>Descriere Dr</t>
        </is>
      </c>
      <c r="E19" s="52" t="inlineStr">
        <is>
          <t>Cont Cr</t>
        </is>
      </c>
      <c r="F19" s="52" t="inlineStr">
        <is>
          <t>Sumă Cr</t>
        </is>
      </c>
      <c r="G19" s="52" t="inlineStr">
        <is>
          <t>Descriere Cr</t>
        </is>
      </c>
    </row>
    <row r="20" ht="27.75" customHeight="1" s="40">
      <c r="A20" s="65" t="n">
        <v>1</v>
      </c>
      <c r="B20" s="65" t="str">
        <f>Declarații_TVA_INC!B26</f>
        <v>411.RO</v>
      </c>
      <c r="C20" s="66">
        <f>Declarații_TVA_INC!B21</f>
        <v>9680</v>
      </c>
      <c r="D20" s="65" t="str">
        <f>"Creanță client total " &amp; Declarații_TVA_INC!B34</f>
        <v>Creanță client total — TVA la încasare 2026-07</v>
      </c>
      <c r="E20" s="65" t="str">
        <f>Declarații_TVA_INC!B27</f>
        <v>707</v>
      </c>
      <c r="F20" s="66">
        <f>Declarații_TVA_INC!B19</f>
        <v>8000</v>
      </c>
      <c r="G20" s="65" t="str">
        <f>"Venit " &amp; Declarații_TVA_INC!B34</f>
        <v>Venit — TVA la încasare 2026-07</v>
      </c>
    </row>
    <row r="21" ht="27.75" customHeight="1" s="40">
      <c r="A21" s="65" t="n">
        <v>2</v>
      </c>
      <c r="B21" s="65" t="n">
        <v>0</v>
      </c>
      <c r="C21" s="65" t="n">
        <v>0</v>
      </c>
      <c r="D21" s="65" t="n"/>
      <c r="E21" s="65">
        <f>Declarații_TVA_INC!B28</f>
        <v/>
      </c>
      <c r="F21" s="66">
        <f>Declarații_TVA_INC!B20</f>
        <v>1680</v>
      </c>
      <c r="G21" s="65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69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2" t="inlineStr">
        <is>
          <t>Nr</t>
        </is>
      </c>
      <c r="B26" s="52" t="inlineStr">
        <is>
          <t>Cont Dr</t>
        </is>
      </c>
      <c r="C26" s="52" t="inlineStr">
        <is>
          <t>Sumă Dr</t>
        </is>
      </c>
      <c r="D26" s="52" t="inlineStr">
        <is>
          <t>Descriere Dr</t>
        </is>
      </c>
      <c r="E26" s="52" t="inlineStr">
        <is>
          <t>Cont Cr</t>
        </is>
      </c>
      <c r="F26" s="52" t="inlineStr">
        <is>
          <t>Sumă Cr</t>
        </is>
      </c>
      <c r="G26" s="52" t="inlineStr">
        <is>
          <t>Descriere Cr</t>
        </is>
      </c>
    </row>
    <row r="27" ht="27.75" customHeight="1" s="40">
      <c r="A27" s="65" t="n">
        <v>1</v>
      </c>
      <c r="B27" s="65" t="str">
        <f>Declarații_TVA_INC!B31</f>
        <v>512.1</v>
      </c>
      <c r="C27" s="66">
        <f>Declarații_TVA_INC!B21</f>
        <v>9680</v>
      </c>
      <c r="D27" s="65" t="str">
        <f>"Încasare client " &amp; Declarații_TVA_INC!B34</f>
        <v>Încasare client — TVA la încasare 2026-07</v>
      </c>
      <c r="E27" s="65" t="str">
        <f>Declarații_TVA_INC!B26</f>
        <v>411.RO</v>
      </c>
      <c r="F27" s="66">
        <f>Declarații_TVA_INC!B21</f>
        <v>9680</v>
      </c>
      <c r="G27" s="65" t="str">
        <f>"Stingere creanță " &amp; Declarații_TVA_INC!B34</f>
        <v>Stingere creanță — TVA la încasare 2026-07</v>
      </c>
    </row>
    <row r="28" ht="27.75" customHeight="1" s="40">
      <c r="A28" s="65" t="n">
        <v>2</v>
      </c>
      <c r="B28" s="65" t="str">
        <f>Declarații_TVA_INC!B28</f>
        <v>4428.INC</v>
      </c>
      <c r="C28" s="66">
        <f>Declarații_TVA_INC!B20</f>
        <v>1680</v>
      </c>
      <c r="D28" s="65" t="str">
        <f>"Stingere 4428.INC vânzare " &amp; Declarații_TVA_INC!B34</f>
        <v>Stingere 4428.INC vânzare — TVA la încasare 2026-07</v>
      </c>
      <c r="E28" s="65" t="str">
        <f>Declarații_TVA_INC!B30</f>
        <v>4427</v>
      </c>
      <c r="F28" s="66">
        <f>Declarații_TVA_INC!B20</f>
        <v>1680</v>
      </c>
      <c r="G28" s="65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69" t="str">
        <f>IF(ABS(B29)&lt;0.01,"OK","EROARE")</f>
        <v>OK</v>
      </c>
    </row>
    <row r="31" ht="15" customHeight="1" s="40">
      <c r="A31" s="72" t="inlineStr">
        <is>
          <t>Check global</t>
        </is>
      </c>
      <c r="B31" s="39">
        <f>ABS(B8)+ABS(B15)+ABS(B22)+ABS(B29)</f>
        <v>0</v>
      </c>
      <c r="C31" s="69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75" t="n">
        <v>1</v>
      </c>
      <c r="B5" s="75" t="inlineStr">
        <is>
          <t>B1 Ach.</t>
        </is>
      </c>
      <c r="C5" s="75" t="str">
        <f>Declarații_TVA_INC!B9</f>
        <v>2026-07-08</v>
      </c>
      <c r="D5" s="75" t="str">
        <f>Jurnale_TVA_INC!B6</f>
        <v>301</v>
      </c>
      <c r="E5" s="75" t="str">
        <f>Jurnale_TVA_INC!E6</f>
        <v>401.RO</v>
      </c>
      <c r="F5" s="76">
        <f>Jurnale_TVA_INC!C6</f>
        <v>5000</v>
      </c>
      <c r="G5" s="75" t="inlineStr">
        <is>
          <t>TVA la încasare</t>
        </is>
      </c>
      <c r="H5" s="75" t="inlineStr">
        <is>
          <t>F-17</t>
        </is>
      </c>
      <c r="I5" s="75" t="str">
        <f>IF(AND(ISNUMBER(F5),F5&gt;0),"DA","NU")</f>
        <v>DA</v>
      </c>
    </row>
    <row r="6" ht="15" customHeight="1" s="40">
      <c r="A6" s="75" t="n">
        <v>2</v>
      </c>
      <c r="B6" s="75" t="inlineStr">
        <is>
          <t>B1 Ach.</t>
        </is>
      </c>
      <c r="C6" s="75" t="str">
        <f>Declarații_TVA_INC!B9</f>
        <v>2026-07-08</v>
      </c>
      <c r="D6" s="75" t="str">
        <f>Jurnale_TVA_INC!B7</f>
        <v>4428.INC</v>
      </c>
      <c r="E6" s="75" t="str">
        <f>Jurnale_TVA_INC!E6</f>
        <v>401.RO</v>
      </c>
      <c r="F6" s="76">
        <f>Jurnale_TVA_INC!C7</f>
        <v>1050</v>
      </c>
      <c r="G6" s="75" t="inlineStr">
        <is>
          <t>TVA la încasare</t>
        </is>
      </c>
      <c r="H6" s="75" t="inlineStr">
        <is>
          <t>F-17</t>
        </is>
      </c>
      <c r="I6" s="75" t="str">
        <f>IF(AND(ISNUMBER(F6),F6&gt;0),"DA","NU")</f>
        <v>DA</v>
      </c>
    </row>
    <row r="7" ht="15" customHeight="1" s="40">
      <c r="A7" s="75" t="n">
        <v>3</v>
      </c>
      <c r="B7" s="75" t="inlineStr">
        <is>
          <t>B2 Plată</t>
        </is>
      </c>
      <c r="C7" s="75" t="str">
        <f>Declarații_TVA_INC!B10</f>
        <v>2026-07-20</v>
      </c>
      <c r="D7" s="75" t="str">
        <f>Jurnale_TVA_INC!B13</f>
        <v>401.RO</v>
      </c>
      <c r="E7" s="75" t="str">
        <f>Jurnale_TVA_INC!E13</f>
        <v>512.1</v>
      </c>
      <c r="F7" s="76">
        <f>Jurnale_TVA_INC!C13</f>
        <v>6050</v>
      </c>
      <c r="G7" s="75" t="inlineStr">
        <is>
          <t>TVA la încasare</t>
        </is>
      </c>
      <c r="H7" s="75" t="inlineStr">
        <is>
          <t>F-17</t>
        </is>
      </c>
      <c r="I7" s="75" t="str">
        <f>IF(AND(ISNUMBER(F7),F7&gt;0),"DA","NU")</f>
        <v>DA</v>
      </c>
    </row>
    <row r="8" ht="15" customHeight="1" s="40">
      <c r="A8" s="75" t="n">
        <v>4</v>
      </c>
      <c r="B8" s="75" t="inlineStr">
        <is>
          <t>B2 Plată</t>
        </is>
      </c>
      <c r="C8" s="75" t="str">
        <f>Declarații_TVA_INC!B10</f>
        <v>2026-07-20</v>
      </c>
      <c r="D8" s="75" t="str">
        <f>Jurnale_TVA_INC!B14</f>
        <v>4426</v>
      </c>
      <c r="E8" s="75" t="str">
        <f>Jurnale_TVA_INC!E14</f>
        <v>4428.INC</v>
      </c>
      <c r="F8" s="76">
        <f>Jurnale_TVA_INC!C14</f>
        <v>1050</v>
      </c>
      <c r="G8" s="75" t="inlineStr">
        <is>
          <t>TVA la încasare</t>
        </is>
      </c>
      <c r="H8" s="75" t="inlineStr">
        <is>
          <t>F-17</t>
        </is>
      </c>
      <c r="I8" s="75" t="str">
        <f>IF(AND(ISNUMBER(F8),F8&gt;0),"DA","NU")</f>
        <v>DA</v>
      </c>
    </row>
    <row r="9" ht="15" customHeight="1" s="40">
      <c r="A9" s="75" t="n">
        <v>5</v>
      </c>
      <c r="B9" s="75" t="inlineStr">
        <is>
          <t>B3 Vânz.</t>
        </is>
      </c>
      <c r="C9" s="75" t="str">
        <f>Declarații_TVA_INC!B17</f>
        <v>2026-07-12</v>
      </c>
      <c r="D9" s="75" t="str">
        <f>Jurnale_TVA_INC!B20</f>
        <v>411.RO</v>
      </c>
      <c r="E9" s="75" t="str">
        <f>Jurnale_TVA_INC!E20</f>
        <v>707</v>
      </c>
      <c r="F9" s="76">
        <f>Jurnale_TVA_INC!F20</f>
        <v>8000</v>
      </c>
      <c r="G9" s="75" t="inlineStr">
        <is>
          <t>TVA la încasare</t>
        </is>
      </c>
      <c r="H9" s="75" t="inlineStr">
        <is>
          <t>F-17</t>
        </is>
      </c>
      <c r="I9" s="75" t="str">
        <f>IF(AND(ISNUMBER(F9),F9&gt;0),"DA","NU")</f>
        <v>DA</v>
      </c>
    </row>
    <row r="10" ht="15" customHeight="1" s="40">
      <c r="A10" s="75" t="n">
        <v>6</v>
      </c>
      <c r="B10" s="75" t="inlineStr">
        <is>
          <t>B3 Vânz.</t>
        </is>
      </c>
      <c r="C10" s="75" t="str">
        <f>Declarații_TVA_INC!B17</f>
        <v>2026-07-12</v>
      </c>
      <c r="D10" s="75" t="str">
        <f>Jurnale_TVA_INC!B20</f>
        <v>411.RO</v>
      </c>
      <c r="E10" s="75" t="str">
        <f>Jurnale_TVA_INC!E21</f>
        <v>4428.INC</v>
      </c>
      <c r="F10" s="76">
        <f>Jurnale_TVA_INC!F21</f>
        <v>1680</v>
      </c>
      <c r="G10" s="75" t="inlineStr">
        <is>
          <t>TVA la încasare</t>
        </is>
      </c>
      <c r="H10" s="75" t="inlineStr">
        <is>
          <t>F-17</t>
        </is>
      </c>
      <c r="I10" s="75" t="str">
        <f>IF(AND(ISNUMBER(F10),F10&gt;0),"DA","NU")</f>
        <v>DA</v>
      </c>
    </row>
    <row r="11" ht="15" customHeight="1" s="40">
      <c r="A11" s="75" t="n">
        <v>7</v>
      </c>
      <c r="B11" s="75" t="inlineStr">
        <is>
          <t>B4 Înc.</t>
        </is>
      </c>
      <c r="C11" s="75" t="str">
        <f>Declarații_TVA_INC!B18</f>
        <v>2026-07-28</v>
      </c>
      <c r="D11" s="75" t="str">
        <f>Jurnale_TVA_INC!B27</f>
        <v>512.1</v>
      </c>
      <c r="E11" s="75" t="str">
        <f>Jurnale_TVA_INC!E27</f>
        <v>411.RO</v>
      </c>
      <c r="F11" s="76">
        <f>Jurnale_TVA_INC!C27</f>
        <v>9680</v>
      </c>
      <c r="G11" s="75" t="inlineStr">
        <is>
          <t>TVA la încasare</t>
        </is>
      </c>
      <c r="H11" s="75" t="inlineStr">
        <is>
          <t>F-17</t>
        </is>
      </c>
      <c r="I11" s="75" t="str">
        <f>IF(AND(ISNUMBER(F11),F11&gt;0),"DA","NU")</f>
        <v>DA</v>
      </c>
    </row>
    <row r="12" ht="15" customHeight="1" s="40">
      <c r="A12" s="75" t="n">
        <v>8</v>
      </c>
      <c r="B12" s="75" t="inlineStr">
        <is>
          <t>B4 Înc.</t>
        </is>
      </c>
      <c r="C12" s="75" t="str">
        <f>Declarații_TVA_INC!B18</f>
        <v>2026-07-28</v>
      </c>
      <c r="D12" s="75" t="str">
        <f>Jurnale_TVA_INC!B28</f>
        <v>4428.INC</v>
      </c>
      <c r="E12" s="75" t="str">
        <f>Jurnale_TVA_INC!E28</f>
        <v>4427</v>
      </c>
      <c r="F12" s="76">
        <f>Jurnale_TVA_INC!C28</f>
        <v>1680</v>
      </c>
      <c r="G12" s="75" t="inlineStr">
        <is>
          <t>TVA la încasare</t>
        </is>
      </c>
      <c r="H12" s="75" t="inlineStr">
        <is>
          <t>F-17</t>
        </is>
      </c>
      <c r="I12" s="75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7" t="inlineStr">
        <is>
          <t>MOD_IMOBILIZARI — Declarații (input)</t>
        </is>
      </c>
    </row>
    <row r="2">
      <c r="A2" s="78" t="inlineStr">
        <is>
          <t>Completează doar celulele galbene. Regimul de TVA activează singur blocul potrivit.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Denumire mijloc fix</t>
        </is>
      </c>
      <c r="B6" s="81" t="inlineStr">
        <is>
          <t>Echipament tehnologic</t>
        </is>
      </c>
    </row>
    <row r="7">
      <c r="A7" s="80" t="inlineStr">
        <is>
          <t>Luna</t>
        </is>
      </c>
      <c r="B7" s="81" t="inlineStr">
        <is>
          <t>2026-07</t>
        </is>
      </c>
    </row>
    <row r="8">
      <c r="A8" s="80" t="inlineStr">
        <is>
          <t>Data facturii</t>
        </is>
      </c>
      <c r="B8" s="81" t="inlineStr">
        <is>
          <t>2026-07-05</t>
        </is>
      </c>
    </row>
    <row r="9">
      <c r="A9" s="80" t="inlineStr">
        <is>
          <t>Data punerii în funcțiune</t>
        </is>
      </c>
      <c r="B9" s="81" t="inlineStr">
        <is>
          <t>2026-07-20</t>
        </is>
      </c>
    </row>
    <row r="11">
      <c r="A11" s="79" t="inlineStr">
        <is>
          <t>2. Valori</t>
        </is>
      </c>
    </row>
    <row r="12">
      <c r="A12" s="80" t="inlineStr">
        <is>
          <t>Valoare din factură / DVI (fără TVA)</t>
        </is>
      </c>
      <c r="B12" s="81" t="n">
        <v>100000</v>
      </c>
    </row>
    <row r="13">
      <c r="A13" s="80" t="inlineStr">
        <is>
          <t>Taxe vamale (0 dacă nu e import)</t>
        </is>
      </c>
      <c r="B13" s="81" t="n">
        <v>0</v>
      </c>
      <c r="C13" s="78" t="inlineStr">
        <is>
          <t>Se CAPITALIZEAZĂ, nu se trec pe 635</t>
        </is>
      </c>
    </row>
    <row r="14">
      <c r="A14" s="80" t="inlineStr">
        <is>
          <t>Transport și manipulare până la recepție</t>
        </is>
      </c>
      <c r="B14" s="81" t="n">
        <v>0</v>
      </c>
      <c r="C14" s="78" t="inlineStr">
        <is>
          <t>Intră tot în costul de achiziție</t>
        </is>
      </c>
    </row>
    <row r="15">
      <c r="A15" s="80" t="inlineStr">
        <is>
          <t>Cotă TVA</t>
        </is>
      </c>
      <c r="B15" s="80">
        <f>Parametri!B10</f>
        <v>0.21</v>
      </c>
    </row>
    <row r="17">
      <c r="A17" s="79" t="inlineStr">
        <is>
          <t>3. Regim și clasificare</t>
        </is>
      </c>
    </row>
    <row r="18">
      <c r="A18" s="80" t="inlineStr">
        <is>
          <t>Regim TVA (INTERN / TAXARE_INVERSA / IMPORT)</t>
        </is>
      </c>
      <c r="B18" s="81" t="inlineStr">
        <is>
          <t>INTERN</t>
        </is>
      </c>
    </row>
    <row r="19">
      <c r="A19" s="80" t="inlineStr">
        <is>
          <t>Bunul a fost recepționat? (DA / NU)</t>
        </is>
      </c>
      <c r="B19" s="81" t="inlineStr">
        <is>
          <t>DA</t>
        </is>
      </c>
      <c r="C19" s="78" t="inlineStr">
        <is>
          <t>NU → intrarea se face pe 223/224 (tranzit), vezi F-57</t>
        </is>
      </c>
    </row>
    <row r="20">
      <c r="A20" s="80" t="inlineStr">
        <is>
          <t>Cod de clasificare din catalog</t>
        </is>
      </c>
      <c r="B20" s="81" t="inlineStr">
        <is>
          <t>2.1.16.4.1</t>
        </is>
      </c>
    </row>
    <row r="21">
      <c r="A21" s="80" t="inlineStr">
        <is>
          <t>Durată de amortizare (luni)</t>
        </is>
      </c>
      <c r="B21" s="81" t="n">
        <v>120</v>
      </c>
      <c r="C21" s="78" t="inlineStr">
        <is>
          <t>Din catalogul de clasificare; merge în D406/SAF-T</t>
        </is>
      </c>
    </row>
    <row r="23">
      <c r="A23" s="79" t="inlineStr">
        <is>
          <t>4. Calcul automat (nu edita)</t>
        </is>
      </c>
    </row>
    <row r="24">
      <c r="A24" s="80" t="inlineStr">
        <is>
          <t>Valoare de intrare (cost complet)</t>
        </is>
      </c>
      <c r="B24" s="80">
        <f>B12+B13+B14</f>
        <v>100000</v>
      </c>
    </row>
    <row r="25">
      <c r="A25" s="80" t="inlineStr">
        <is>
          <t>TVA aferentă</t>
        </is>
      </c>
      <c r="B25" s="80">
        <f>B12*B15</f>
        <v>21000</v>
      </c>
    </row>
    <row r="26">
      <c r="A26" s="80" t="inlineStr">
        <is>
          <t>Amortizare lunară</t>
        </is>
      </c>
      <c r="B26" s="80">
        <f>ROUND(B24/B21,2)</f>
        <v>833.33</v>
      </c>
    </row>
    <row r="27">
      <c r="A27" s="80" t="inlineStr">
        <is>
          <t>Test prag mijloc fix</t>
        </is>
      </c>
      <c r="B27" s="80">
        <f>B24</f>
        <v>100000</v>
      </c>
      <c r="C27" s="80" t="str">
        <f>IF(B24&gt;=Parametri!B18,"OK — mijloc fix, se amortizează","ATENȚIE — sub prag: obiect de inventar (303), nu mijloc fix")</f>
        <v>OK — mijloc fix, se amortizează</v>
      </c>
    </row>
    <row r="28">
      <c r="A28" s="80" t="inlineStr">
        <is>
          <t>Test recepție</t>
        </is>
      </c>
      <c r="B28" s="80" t="str">
        <f>B19</f>
        <v>DA</v>
      </c>
      <c r="C28" s="80" t="str">
        <f>IF(B19="DA","OK — intrare directă în contul de imobilizare","TRANZIT — se înregistrează pe 223/224 până la recepție (F-57)")</f>
        <v>OK — intrare directă în contul de imobilizare</v>
      </c>
    </row>
    <row r="29">
      <c r="A29" s="80" t="inlineStr">
        <is>
          <t>Test regim TVA</t>
        </is>
      </c>
      <c r="B29" s="80" t="str">
        <f>B18</f>
        <v>INTERN</v>
      </c>
      <c r="C29" s="80" t="str">
        <f>IF(OR(B18="INTERN",B18="TAXARE_INVERSA",B18="IMPORT"),"OK — regim recunoscut","EROARE — regim necunoscut")</f>
        <v>OK — regim recunoscut</v>
      </c>
    </row>
    <row r="31">
      <c r="A31" s="79" t="inlineStr">
        <is>
          <t>5. Conturi</t>
        </is>
      </c>
    </row>
    <row r="32">
      <c r="A32" s="80" t="inlineStr">
        <is>
          <t>Cont imobilizare (21x)</t>
        </is>
      </c>
      <c r="B32" s="81" t="inlineStr">
        <is>
          <t>2131</t>
        </is>
      </c>
    </row>
    <row r="33">
      <c r="A33" s="80" t="inlineStr">
        <is>
          <t>Cont amortizare (28x) — oglinda</t>
        </is>
      </c>
      <c r="B33" s="81" t="inlineStr">
        <is>
          <t>2813</t>
        </is>
      </c>
      <c r="C33" s="78" t="inlineStr">
        <is>
          <t>C-14: 212↔2812, 213x↔2813, 214↔2814, 215↔2815</t>
        </is>
      </c>
    </row>
    <row r="34">
      <c r="A34" s="80" t="inlineStr">
        <is>
          <t>Cont tranzit dacă nerecepționat</t>
        </is>
      </c>
      <c r="B34" s="81" t="inlineStr">
        <is>
          <t>223</t>
        </is>
      </c>
    </row>
    <row r="35">
      <c r="A35" s="80" t="inlineStr">
        <is>
          <t>Cont furnizor de imobilizări</t>
        </is>
      </c>
      <c r="B35" s="81" t="inlineStr">
        <is>
          <t>404</t>
        </is>
      </c>
    </row>
    <row r="36">
      <c r="A36" s="80" t="inlineStr">
        <is>
          <t>Cont TVA deductibilă</t>
        </is>
      </c>
      <c r="B36" s="81" t="n">
        <v>4426</v>
      </c>
    </row>
    <row r="37">
      <c r="A37" s="80" t="inlineStr">
        <is>
          <t>Cont TVA colectată (taxare inversă)</t>
        </is>
      </c>
      <c r="B37" s="81" t="n">
        <v>4427</v>
      </c>
    </row>
    <row r="38">
      <c r="A38" s="80" t="inlineStr">
        <is>
          <t>Cont taxe vamale</t>
        </is>
      </c>
      <c r="B38" s="81" t="inlineStr">
        <is>
          <t>446.VAMA</t>
        </is>
      </c>
    </row>
    <row r="39">
      <c r="A39" s="80" t="inlineStr">
        <is>
          <t>Cont bancă</t>
        </is>
      </c>
      <c r="B39" s="81" t="inlineStr">
        <is>
          <t>5121</t>
        </is>
      </c>
    </row>
    <row r="40">
      <c r="A40" s="80" t="inlineStr">
        <is>
          <t>Cont cheltuială cu amortizarea</t>
        </is>
      </c>
      <c r="B40" s="81" t="n">
        <v>6811</v>
      </c>
    </row>
    <row r="42">
      <c r="A42" s="79" t="inlineStr">
        <is>
          <t>6. Sufix generat</t>
        </is>
      </c>
    </row>
    <row r="43">
      <c r="A43" s="80" t="inlineStr">
        <is>
          <t>Sufix</t>
        </is>
      </c>
      <c r="B43" s="80" t="str">
        <f>"— " &amp; B6 &amp; " " &amp; B7</f>
        <v>— Echipament tehnologic 2026-07</v>
      </c>
    </row>
    <row r="45">
      <c r="A45" s="80" t="inlineStr">
        <is>
          <t>Modul activ în CatalogModule?</t>
        </is>
      </c>
      <c r="B45" s="80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7" t="inlineStr">
        <is>
          <t>MOD_IMOBILIZARI — Reguli (tabele fixe)</t>
        </is>
      </c>
    </row>
    <row r="2">
      <c r="A2" s="78" t="inlineStr">
        <is>
          <t>Se editează doar când se schimbă legea sau catalogul de clasificare.</t>
        </is>
      </c>
    </row>
    <row r="4">
      <c r="A4" s="79" t="inlineStr">
        <is>
          <t>Tabel A — Regimuri de TVA la intrare</t>
        </is>
      </c>
    </row>
    <row r="5">
      <c r="A5" s="82" t="inlineStr">
        <is>
          <t>Regim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INTERN</t>
        </is>
      </c>
      <c r="B6" s="80" t="inlineStr">
        <is>
          <t>4426</t>
        </is>
      </c>
      <c r="C6" s="80" t="inlineStr">
        <is>
          <t>404</t>
        </is>
      </c>
      <c r="D6" s="80" t="inlineStr">
        <is>
          <t>valoare × cotă</t>
        </is>
      </c>
      <c r="E6" s="80" t="inlineStr">
        <is>
          <t>Furnizor român plătitor</t>
        </is>
      </c>
      <c r="F6" s="80" t="inlineStr">
        <is>
          <t>TVA deductibilă normală</t>
        </is>
      </c>
    </row>
    <row r="7">
      <c r="A7" s="80" t="inlineStr">
        <is>
          <t>TAXARE_INVERSA</t>
        </is>
      </c>
      <c r="B7" s="80" t="inlineStr">
        <is>
          <t>4426</t>
        </is>
      </c>
      <c r="C7" s="80" t="inlineStr">
        <is>
          <t>4427</t>
        </is>
      </c>
      <c r="D7" s="80" t="inlineStr">
        <is>
          <t>valoare × cota din România</t>
        </is>
      </c>
      <c r="E7" s="80" t="inlineStr">
        <is>
          <t>Achiziție intracomunitară SAU art. 331 intern</t>
        </is>
      </c>
      <c r="F7" s="80" t="inlineStr">
        <is>
          <t>IC: cere VIES valid + dovada transportului. Clădiri: cod 27 în D394, altfel decontul nu recunoaște operațiunea</t>
        </is>
      </c>
    </row>
    <row r="8">
      <c r="A8" s="80" t="inlineStr">
        <is>
          <t>IMPORT</t>
        </is>
      </c>
      <c r="B8" s="80" t="inlineStr">
        <is>
          <t>4426</t>
        </is>
      </c>
      <c r="C8" s="80" t="inlineStr">
        <is>
          <t>5121</t>
        </is>
      </c>
      <c r="D8" s="80" t="inlineStr">
        <is>
          <t>TVA plătit efectiv în vamă</t>
        </is>
      </c>
      <c r="E8" s="80" t="inlineStr">
        <is>
          <t>Import din afara UE</t>
        </is>
      </c>
      <c r="F8" s="80" t="inlineStr">
        <is>
          <t>Document de bază: DVI, nu factura furnizorului. Cu certificat de amânare: 4426 = 4427</t>
        </is>
      </c>
    </row>
    <row r="10">
      <c r="A10" s="79" t="inlineStr">
        <is>
          <t>Tabel B — Ce intră în costul de achiziție</t>
        </is>
      </c>
    </row>
    <row r="11">
      <c r="A11" s="82" t="inlineStr">
        <is>
          <t>Element</t>
        </is>
      </c>
      <c r="B11" s="82" t="inlineStr">
        <is>
          <t>Tratament</t>
        </is>
      </c>
      <c r="C11" s="82" t="inlineStr"/>
      <c r="D11" s="82" t="inlineStr"/>
      <c r="E11" s="82" t="inlineStr"/>
      <c r="F11" s="82" t="inlineStr">
        <is>
          <t>Temei</t>
        </is>
      </c>
    </row>
    <row r="12">
      <c r="A12" s="80" t="inlineStr">
        <is>
          <t>Preț din factură / DVI</t>
        </is>
      </c>
      <c r="B12" s="80" t="inlineStr">
        <is>
          <t>capitalizat</t>
        </is>
      </c>
      <c r="C12" s="80" t="inlineStr"/>
      <c r="D12" s="80" t="inlineStr"/>
      <c r="E12" s="80" t="inlineStr"/>
      <c r="F12" s="80" t="inlineStr">
        <is>
          <t>OMFP 1802/2014</t>
        </is>
      </c>
    </row>
    <row r="13">
      <c r="A13" s="80" t="inlineStr">
        <is>
          <t>Taxe vamale nerecuperabile</t>
        </is>
      </c>
      <c r="B13" s="80" t="inlineStr">
        <is>
          <t>CAPITALIZAT — nu pe 635</t>
        </is>
      </c>
      <c r="C13" s="80" t="inlineStr"/>
      <c r="D13" s="80" t="inlineStr"/>
      <c r="E13" s="80" t="inlineStr"/>
      <c r="F13" s="80" t="inlineStr">
        <is>
          <t>OMFP 1802/2014</t>
        </is>
      </c>
    </row>
    <row r="14">
      <c r="A14" s="80" t="inlineStr">
        <is>
          <t>Transport și manipulare până la recepție</t>
        </is>
      </c>
      <c r="B14" s="80" t="inlineStr">
        <is>
          <t>capitalizat</t>
        </is>
      </c>
      <c r="C14" s="80" t="inlineStr"/>
      <c r="D14" s="80" t="inlineStr"/>
      <c r="E14" s="80" t="inlineStr"/>
      <c r="F14" s="80" t="inlineStr">
        <is>
          <t>OMFP 1802/2014</t>
        </is>
      </c>
    </row>
    <row r="15">
      <c r="A15" s="80" t="inlineStr">
        <is>
          <t>TVA nedeductibilă (ex. 50% vehicule)</t>
        </is>
      </c>
      <c r="B15" s="80" t="inlineStr">
        <is>
          <t>capitalizată sau pe cheltuială</t>
        </is>
      </c>
      <c r="C15" s="80" t="inlineStr"/>
      <c r="D15" s="80" t="inlineStr"/>
      <c r="E15" s="80" t="inlineStr"/>
      <c r="F15" s="80" t="inlineStr">
        <is>
          <t>vezi MOD_LEASING_FIN</t>
        </is>
      </c>
    </row>
    <row r="16">
      <c r="A16" s="80" t="inlineStr">
        <is>
          <t>Dobânzi de finanțare</t>
        </is>
      </c>
      <c r="B16" s="80" t="inlineStr">
        <is>
          <t>de regulă pe cheltuială</t>
        </is>
      </c>
      <c r="C16" s="80" t="inlineStr"/>
      <c r="D16" s="80" t="inlineStr"/>
      <c r="E16" s="80" t="inlineStr"/>
      <c r="F16" s="80" t="inlineStr">
        <is>
          <t>OMFP 1802/2014</t>
        </is>
      </c>
    </row>
    <row r="18">
      <c r="A18" s="79" t="inlineStr">
        <is>
          <t>Tabel C — Oglinda cont activ ↔ cont amortizare (C-14)</t>
        </is>
      </c>
    </row>
    <row r="19">
      <c r="A19" s="82" t="inlineStr">
        <is>
          <t>Activ</t>
        </is>
      </c>
      <c r="B19" s="82" t="inlineStr">
        <is>
          <t>Amortizare</t>
        </is>
      </c>
      <c r="C19" s="82" t="inlineStr"/>
      <c r="D19" s="82" t="inlineStr">
        <is>
          <t>Activ</t>
        </is>
      </c>
      <c r="E19" s="82" t="inlineStr">
        <is>
          <t>Amortizare</t>
        </is>
      </c>
      <c r="F19" s="82" t="inlineStr">
        <is>
          <t>Observație</t>
        </is>
      </c>
    </row>
    <row r="20">
      <c r="A20" s="80" t="inlineStr">
        <is>
          <t>205</t>
        </is>
      </c>
      <c r="B20" s="80" t="inlineStr">
        <is>
          <t>2805</t>
        </is>
      </c>
      <c r="C20" s="80" t="inlineStr"/>
      <c r="D20" s="80" t="inlineStr">
        <is>
          <t>212</t>
        </is>
      </c>
      <c r="E20" s="80" t="inlineStr">
        <is>
          <t>2812</t>
        </is>
      </c>
      <c r="F20" s="80" t="inlineStr"/>
    </row>
    <row r="21">
      <c r="A21" s="80" t="inlineStr">
        <is>
          <t>208</t>
        </is>
      </c>
      <c r="B21" s="80" t="inlineStr">
        <is>
          <t>2808</t>
        </is>
      </c>
      <c r="C21" s="80" t="inlineStr"/>
      <c r="D21" s="80" t="inlineStr">
        <is>
          <t>2131/2132/2133</t>
        </is>
      </c>
      <c r="E21" s="80" t="inlineStr">
        <is>
          <t>2813</t>
        </is>
      </c>
      <c r="F21" s="80" t="inlineStr">
        <is>
          <t>2813 deservește mai multe conturi</t>
        </is>
      </c>
    </row>
    <row r="22">
      <c r="A22" s="80" t="inlineStr">
        <is>
          <t>2111</t>
        </is>
      </c>
      <c r="B22" s="80" t="inlineStr">
        <is>
          <t>— nu se amortizează</t>
        </is>
      </c>
      <c r="C22" s="80" t="inlineStr"/>
      <c r="D22" s="80" t="inlineStr">
        <is>
          <t>214</t>
        </is>
      </c>
      <c r="E22" s="80" t="inlineStr">
        <is>
          <t>2814</t>
        </is>
      </c>
      <c r="F22" s="80" t="inlineStr">
        <is>
          <t>„2114” din notițe este 214</t>
        </is>
      </c>
    </row>
    <row r="23">
      <c r="A23" s="80" t="inlineStr">
        <is>
          <t>2112</t>
        </is>
      </c>
      <c r="B23" s="80" t="inlineStr">
        <is>
          <t>2811</t>
        </is>
      </c>
      <c r="C23" s="80" t="inlineStr"/>
      <c r="D23" s="80" t="inlineStr">
        <is>
          <t>215</t>
        </is>
      </c>
      <c r="E23" s="80" t="inlineStr">
        <is>
          <t>2815</t>
        </is>
      </c>
      <c r="F23" s="80" t="inlineStr"/>
    </row>
    <row r="25">
      <c r="A25" s="79" t="inlineStr">
        <is>
          <t>Tabel D — Porți de calitate</t>
        </is>
      </c>
    </row>
    <row r="26">
      <c r="A26" s="80" t="inlineStr">
        <is>
          <t>• ΣDr = ΣCr pe fiecare bloc</t>
        </is>
      </c>
    </row>
    <row r="27">
      <c r="A27" s="80" t="inlineStr">
        <is>
          <t>• Amortizarea începe cu luna următoare punerii în funcțiune</t>
        </is>
      </c>
    </row>
    <row r="28">
      <c r="A28" s="80" t="inlineStr">
        <is>
          <t>• Sold 28x ≤ sold 21x, pe fiecare mijloc (C-13)</t>
        </is>
      </c>
    </row>
    <row r="29">
      <c r="A29" s="80" t="inlineStr">
        <is>
          <t>• Analitic 21x din balanță = registrul mijloacelor fixe, LUNAR (C-15)</t>
        </is>
      </c>
    </row>
    <row r="30">
      <c r="A30" s="80" t="inlineStr">
        <is>
          <t>• Verifică în PRIMA lună că nota de amortizare postează perechea corectă (C-14)</t>
        </is>
      </c>
    </row>
    <row r="31">
      <c r="A31" s="80" t="inlineStr">
        <is>
          <t>• Sub pragul de 5.000 lei: obiect de inventar (303 + 8035), nu mijloc fix</t>
        </is>
      </c>
    </row>
    <row r="32">
      <c r="A32" s="80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MOD_IMOBILIZARI — Jurnale (generate automat)</t>
        </is>
      </c>
    </row>
    <row r="2">
      <c r="A2" s="78" t="inlineStr">
        <is>
          <t>Blocurile inactive rămân pe zero — sumele sunt condiționate de regimul declarat.</t>
        </is>
      </c>
    </row>
    <row r="4">
      <c r="A4" s="79" t="inlineStr">
        <is>
          <t>Bloc 1 — Intrarea în patrimoniu</t>
        </is>
      </c>
    </row>
    <row r="5">
      <c r="A5" s="80" t="inlineStr">
        <is>
          <t>Data jurnal:</t>
        </is>
      </c>
      <c r="B5" s="80" t="str">
        <f>Declarații_IMOBILIZARI!B8</f>
        <v>2026-07-05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IF(Declarații_IMOBILIZARI!B19="DA",Declarații_IMOBILIZARI!B32,Declarații_IMOBILIZARI!B34)</f>
        <v>2131</v>
      </c>
      <c r="C8" s="80">
        <f>Declarații_IMOBILIZARI!B12</f>
        <v>100000</v>
      </c>
      <c r="D8" s="80" t="str">
        <f>"Intrare imobilizare " &amp; Declarații_IMOBILIZARI!B43</f>
        <v>Intrare imobilizare — Echipament tehnologic 2026-07</v>
      </c>
      <c r="E8" s="80" t="str">
        <f>Declarații_IMOBILIZARI!B35</f>
        <v>404</v>
      </c>
      <c r="F8" s="80">
        <f>Declarații_IMOBILIZARI!B12</f>
        <v>100000</v>
      </c>
      <c r="G8" s="80" t="str">
        <f>"Datorie furnizor de imobilizări " &amp; Declarații_IMOBILIZARI!B43</f>
        <v>Datorie furnizor de imobilizări — Echipament tehnologic 2026-07</v>
      </c>
    </row>
    <row r="9">
      <c r="A9" s="80" t="n">
        <v>2</v>
      </c>
      <c r="B9" s="80" t="str">
        <f>IF(Declarații_IMOBILIZARI!B19="DA",Declarații_IMOBILIZARI!B32,Declarații_IMOBILIZARI!B34)</f>
        <v>2131</v>
      </c>
      <c r="C9" s="80">
        <f>Declarații_IMOBILIZARI!B13+Declarații_IMOBILIZARI!B14</f>
        <v>0</v>
      </c>
      <c r="D9" s="80" t="str">
        <f>"Taxe vamale și transport capitalizate " &amp; Declarații_IMOBILIZARI!B43</f>
        <v>Taxe vamale și transport capitalizate — Echipament tehnologic 2026-07</v>
      </c>
      <c r="E9" s="80" t="str">
        <f>Declarații_IMOBILIZARI!B38</f>
        <v>446.VAMA</v>
      </c>
      <c r="F9" s="80">
        <f>Declarații_IMOBILIZARI!B13+Declarații_IMOBILIZARI!B14</f>
        <v>0</v>
      </c>
      <c r="G9" s="80" t="str">
        <f>"Taxe vamale / transport de plată " &amp; Declarații_IMOBILIZARI!B43</f>
        <v>Taxe vamale / transport de plată — Echipament tehnologic 2026-07</v>
      </c>
    </row>
    <row r="11">
      <c r="A11" s="79" t="inlineStr">
        <is>
          <t>Bloc 2 — TVA, pe regimul declarat</t>
        </is>
      </c>
    </row>
    <row r="12">
      <c r="A12" s="82" t="inlineStr">
        <is>
          <t>Nr</t>
        </is>
      </c>
      <c r="B12" s="82" t="inlineStr">
        <is>
          <t>Cont Dr</t>
        </is>
      </c>
      <c r="C12" s="82" t="inlineStr">
        <is>
          <t>Sumă Dr</t>
        </is>
      </c>
      <c r="D12" s="82" t="inlineStr">
        <is>
          <t>Descriere Dr</t>
        </is>
      </c>
      <c r="E12" s="82" t="inlineStr">
        <is>
          <t>Cont Cr</t>
        </is>
      </c>
      <c r="F12" s="82" t="inlineStr">
        <is>
          <t>Sumă Cr</t>
        </is>
      </c>
      <c r="G12" s="82" t="inlineStr">
        <is>
          <t>Descriere Cr</t>
        </is>
      </c>
    </row>
    <row r="13">
      <c r="A13" s="80" t="n">
        <v>1</v>
      </c>
      <c r="B13" s="80">
        <f>Declarații_IMOBILIZARI!B36</f>
        <v>4426</v>
      </c>
      <c r="C13" s="80">
        <f>IF(Declarații_IMOBILIZARI!B18="INTERN",Declarații_IMOBILIZARI!B25,0)</f>
        <v>21000</v>
      </c>
      <c r="D13" s="80" t="str">
        <f>"TVA deductibilă — achiziție internă " &amp; Declarații_IMOBILIZARI!B43</f>
        <v>TVA deductibilă — achiziție internă — Echipament tehnologic 2026-07</v>
      </c>
      <c r="E13" s="80" t="str">
        <f>Declarații_IMOBILIZARI!B35</f>
        <v>404</v>
      </c>
      <c r="F13" s="80">
        <f>IF(Declarații_IMOBILIZARI!B18="INTERN",Declarații_IMOBILIZARI!B25,0)</f>
        <v>21000</v>
      </c>
      <c r="G13" s="80" t="str">
        <f>"TVA pe factura furnizorului " &amp; Declarații_IMOBILIZARI!B43</f>
        <v>TVA pe factura furnizorului — Echipament tehnologic 2026-07</v>
      </c>
    </row>
    <row r="14">
      <c r="A14" s="80" t="n">
        <v>2</v>
      </c>
      <c r="B14" s="80">
        <f>Declarații_IMOBILIZARI!B36</f>
        <v>4426</v>
      </c>
      <c r="C14" s="80">
        <f>IF(Declarații_IMOBILIZARI!B18="TAXARE_INVERSA",Declarații_IMOBILIZARI!B25,0)</f>
        <v>0</v>
      </c>
      <c r="D14" s="80" t="str">
        <f>"TVA deductibilă — taxare inversă " &amp; Declarații_IMOBILIZARI!B43</f>
        <v>TVA deductibilă — taxare inversă — Echipament tehnologic 2026-07</v>
      </c>
      <c r="E14" s="80">
        <f>Declarații_IMOBILIZARI!B37</f>
        <v>4427</v>
      </c>
      <c r="F14" s="80">
        <f>IF(Declarații_IMOBILIZARI!B18="TAXARE_INVERSA",Declarații_IMOBILIZARI!B25,0)</f>
        <v>0</v>
      </c>
      <c r="G14" s="80" t="str">
        <f>"TVA colectată — autolichidare " &amp; Declarații_IMOBILIZARI!B43</f>
        <v>TVA colectată — autolichidare — Echipament tehnologic 2026-07</v>
      </c>
    </row>
    <row r="15">
      <c r="A15" s="80" t="n">
        <v>3</v>
      </c>
      <c r="B15" s="80">
        <f>Declarații_IMOBILIZARI!B36</f>
        <v>4426</v>
      </c>
      <c r="C15" s="80">
        <f>IF(Declarații_IMOBILIZARI!B18="IMPORT",Declarații_IMOBILIZARI!B25,0)</f>
        <v>0</v>
      </c>
      <c r="D15" s="80" t="str">
        <f>"TVA deductibilă plătită în vamă " &amp; Declarații_IMOBILIZARI!B43</f>
        <v>TVA deductibilă plătită în vamă — Echipament tehnologic 2026-07</v>
      </c>
      <c r="E15" s="80" t="str">
        <f>Declarații_IMOBILIZARI!B39</f>
        <v>5121</v>
      </c>
      <c r="F15" s="80">
        <f>IF(Declarații_IMOBILIZARI!B18="IMPORT",Declarații_IMOBILIZARI!B25,0)</f>
        <v>0</v>
      </c>
      <c r="G15" s="80" t="str">
        <f>"Plată TVA în vamă " &amp; Declarații_IMOBILIZARI!B43</f>
        <v>Plată TVA în vamă — Echipament tehnologic 2026-07</v>
      </c>
    </row>
    <row r="17">
      <c r="A17" s="79" t="inlineStr">
        <is>
          <t>Bloc 3 — Recepția, dacă intrarea a fost pe tranzit (F-57)</t>
        </is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 t="str">
        <f>Declarații_IMOBILIZARI!B32</f>
        <v>2131</v>
      </c>
      <c r="C19" s="80">
        <f>IF(Declarații_IMOBILIZARI!B19="NU",Declarații_IMOBILIZARI!B24,0)</f>
        <v>0</v>
      </c>
      <c r="D19" s="80" t="str">
        <f>"Recepție — stingere tranzit " &amp; Declarații_IMOBILIZARI!B43</f>
        <v>Recepție — stingere tranzit — Echipament tehnologic 2026-07</v>
      </c>
      <c r="E19" s="80" t="str">
        <f>Declarații_IMOBILIZARI!B34</f>
        <v>223</v>
      </c>
      <c r="F19" s="80">
        <f>IF(Declarații_IMOBILIZARI!B19="NU",Declarații_IMOBILIZARI!B24,0)</f>
        <v>0</v>
      </c>
      <c r="G19" s="80" t="str">
        <f>"Stingere 223/224 la recepție " &amp; Declarații_IMOBILIZARI!B43</f>
        <v>Stingere 223/224 la recepție — Echipament tehnologic 2026-07</v>
      </c>
    </row>
    <row r="21">
      <c r="A21" s="79" t="inlineStr">
        <is>
          <t>Bloc 4 — Amortizarea lunară (din luna următoare punerii în funcțiune)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>
        <f>Declarații_IMOBILIZARI!B40</f>
        <v>6811</v>
      </c>
      <c r="C23" s="80">
        <f>Declarații_IMOBILIZARI!B26</f>
        <v>833.33</v>
      </c>
      <c r="D23" s="80" t="str">
        <f>"Amortizare lunară " &amp; Declarații_IMOBILIZARI!B43</f>
        <v>Amortizare lunară — Echipament tehnologic 2026-07</v>
      </c>
      <c r="E23" s="80" t="str">
        <f>Declarații_IMOBILIZARI!B33</f>
        <v>2813</v>
      </c>
      <c r="F23" s="80">
        <f>Declarații_IMOBILIZARI!B26</f>
        <v>833.33</v>
      </c>
      <c r="G23" s="80" t="str">
        <f>"Amortizare cumulată " &amp; Declarații_IMOBILIZARI!B43</f>
        <v>Amortizare cumulată — Echipament tehnologic 2026-07</v>
      </c>
    </row>
    <row r="25">
      <c r="A25" s="79" t="inlineStr">
        <is>
          <t>Sumar și controale</t>
        </is>
      </c>
    </row>
    <row r="26">
      <c r="A26" s="80" t="inlineStr">
        <is>
          <t>Total Dr</t>
        </is>
      </c>
      <c r="B26" s="80">
        <f>C8+C9+C13+C14+C15+C19+C23</f>
        <v>121833.33</v>
      </c>
    </row>
    <row r="27">
      <c r="A27" s="80" t="inlineStr">
        <is>
          <t>Total Cr</t>
        </is>
      </c>
      <c r="B27" s="80">
        <f>F8+F9+F13+F14+F15+F19+F23</f>
        <v>121833.33</v>
      </c>
    </row>
    <row r="28">
      <c r="A28" s="80" t="inlineStr">
        <is>
          <t>Check Σ (structural)</t>
        </is>
      </c>
      <c r="B28" s="80">
        <f>B26-B27</f>
        <v>0</v>
      </c>
      <c r="C28" s="80" t="str">
        <f>IF(ABS(B26-B27)&lt;0.01,"OK — notele se închid","EROARE")</f>
        <v>OK — notele se închid</v>
      </c>
    </row>
    <row r="29">
      <c r="A29" s="80" t="inlineStr">
        <is>
          <t>Check exclusivitate regim TVA</t>
        </is>
      </c>
      <c r="B29" s="80">
        <f>COUNTIF(C13:C15,"&gt;0.001")</f>
        <v>1</v>
      </c>
      <c r="C29" s="80" t="str">
        <f>IF(COUNTIF(C13:C15,"&gt;0.001")&lt;=1,"OK — un singur regim activ","EROARE — mai multe regimuri simultan")</f>
        <v>OK — un singur regim activ</v>
      </c>
    </row>
    <row r="30">
      <c r="A30" s="80" t="inlineStr">
        <is>
          <t>Check valoare de intrare</t>
        </is>
      </c>
      <c r="B30" s="80">
        <f>C8+C9-Declarații_IMOBILIZARI!B24</f>
        <v>0</v>
      </c>
      <c r="C30" s="80" t="str">
        <f>IF(ABS(C8+C9-Declarații_IMOBILIZARI!B24)&lt;0.01,"OK — cost complet capitalizat","EROARE — taxe sau transport pierdute")</f>
        <v>OK — cost complet capitalizat</v>
      </c>
    </row>
    <row r="31">
      <c r="A31" s="80" t="inlineStr">
        <is>
          <t>Check amortizare vs. durată</t>
        </is>
      </c>
      <c r="B31" s="80">
        <f>Declarații_IMOBILIZARI!B26*Declarații_IMOBILIZARI!B21-Declarații_IMOBILIZARI!B24</f>
        <v>-0.39999999999417923</v>
      </c>
      <c r="C31" s="80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8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MOD_IMOBILIZARI — Notă pentru import (1 rând = 1 înregistrare)</t>
        </is>
      </c>
    </row>
    <row r="2">
      <c r="A2" s="78" t="inlineStr">
        <is>
          <t>Filtrează pe Include = DA. Rândurile cu sumă zero sunt blocuri inactive pe regimul ales.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Intrare</t>
        </is>
      </c>
      <c r="C5" s="80" t="str">
        <f>Declarații_IMOBILIZARI!B8</f>
        <v>2026-07-05</v>
      </c>
      <c r="D5" s="80" t="str">
        <f>Jurnale_IMOBILIZARI!B8</f>
        <v>2131</v>
      </c>
      <c r="E5" s="80" t="str">
        <f>Jurnale_IMOBILIZARI!E8</f>
        <v>404</v>
      </c>
      <c r="F5" s="80">
        <f>Jurnale_IMOBILIZARI!C8</f>
        <v>100000</v>
      </c>
      <c r="G5" s="80" t="str">
        <f>Jurnale_IMOBILIZARI!D8</f>
        <v>Intrare imobilizare — Echipament tehnologic 2026-07</v>
      </c>
      <c r="H5" s="80" t="inlineStr">
        <is>
          <t>Factură / DVI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1 — Costuri capitalizate</t>
        </is>
      </c>
      <c r="C6" s="80" t="str">
        <f>Declarații_IMOBILIZARI!B8</f>
        <v>2026-07-05</v>
      </c>
      <c r="D6" s="80" t="str">
        <f>Jurnale_IMOBILIZARI!B9</f>
        <v>2131</v>
      </c>
      <c r="E6" s="80" t="str">
        <f>Jurnale_IMOBILIZARI!E9</f>
        <v>446.VAMA</v>
      </c>
      <c r="F6" s="80">
        <f>Jurnale_IMOBILIZARI!C9</f>
        <v>0</v>
      </c>
      <c r="G6" s="80" t="str">
        <f>Jurnale_IMOBILIZARI!D9</f>
        <v>Taxe vamale și transport capitalizate — Echipament tehnologic 2026-07</v>
      </c>
      <c r="H6" s="80" t="inlineStr">
        <is>
          <t>DVI + factură transport</t>
        </is>
      </c>
      <c r="I6" s="39" t="str">
        <f>IF(F6&gt;0.001,"DA","NU")</f>
        <v>NU</v>
      </c>
    </row>
    <row r="7">
      <c r="A7" s="80" t="n">
        <v>3</v>
      </c>
      <c r="B7" s="80" t="inlineStr">
        <is>
          <t>Bloc 2 — TVA intern</t>
        </is>
      </c>
      <c r="C7" s="80" t="str">
        <f>Declarații_IMOBILIZARI!B8</f>
        <v>2026-07-05</v>
      </c>
      <c r="D7" s="80">
        <f>Jurnale_IMOBILIZARI!B13</f>
        <v>4426</v>
      </c>
      <c r="E7" s="80" t="str">
        <f>Jurnale_IMOBILIZARI!E13</f>
        <v>404</v>
      </c>
      <c r="F7" s="80">
        <f>Jurnale_IMOBILIZARI!C13</f>
        <v>21000</v>
      </c>
      <c r="G7" s="80" t="str">
        <f>Jurnale_IMOBILIZARI!D13</f>
        <v>TVA deductibilă — achiziție internă — Echipament tehnologic 2026-07</v>
      </c>
      <c r="H7" s="80" t="inlineStr">
        <is>
          <t>Factură furnizor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2 — TVA taxare inversă</t>
        </is>
      </c>
      <c r="C8" s="80" t="str">
        <f>Declarații_IMOBILIZARI!B8</f>
        <v>2026-07-05</v>
      </c>
      <c r="D8" s="80">
        <f>Jurnale_IMOBILIZARI!B14</f>
        <v>4426</v>
      </c>
      <c r="E8" s="80">
        <f>Jurnale_IMOBILIZARI!E14</f>
        <v>4427</v>
      </c>
      <c r="F8" s="80">
        <f>Jurnale_IMOBILIZARI!C14</f>
        <v>0</v>
      </c>
      <c r="G8" s="80" t="str">
        <f>Jurnale_IMOBILIZARI!D14</f>
        <v>TVA deductibilă — taxare inversă — Echipament tehnologic 2026-07</v>
      </c>
      <c r="H8" s="80" t="inlineStr">
        <is>
          <t>Autofactură / factură IC</t>
        </is>
      </c>
      <c r="I8" s="39" t="str">
        <f>IF(F8&gt;0.001,"DA","NU")</f>
        <v>NU</v>
      </c>
    </row>
    <row r="9">
      <c r="A9" s="80" t="n">
        <v>5</v>
      </c>
      <c r="B9" s="80" t="inlineStr">
        <is>
          <t>Bloc 2 — TVA în vamă</t>
        </is>
      </c>
      <c r="C9" s="80" t="str">
        <f>Declarații_IMOBILIZARI!B8</f>
        <v>2026-07-05</v>
      </c>
      <c r="D9" s="80">
        <f>Jurnale_IMOBILIZARI!B15</f>
        <v>4426</v>
      </c>
      <c r="E9" s="80" t="str">
        <f>Jurnale_IMOBILIZARI!E15</f>
        <v>5121</v>
      </c>
      <c r="F9" s="80">
        <f>Jurnale_IMOBILIZARI!C15</f>
        <v>0</v>
      </c>
      <c r="G9" s="80" t="str">
        <f>Jurnale_IMOBILIZARI!D15</f>
        <v>TVA deductibilă plătită în vamă — Echipament tehnologic 2026-07</v>
      </c>
      <c r="H9" s="80" t="inlineStr">
        <is>
          <t>DVI + extras</t>
        </is>
      </c>
      <c r="I9" s="39" t="str">
        <f>IF(F9&gt;0.001,"DA","NU")</f>
        <v>NU</v>
      </c>
    </row>
    <row r="10">
      <c r="A10" s="80" t="n">
        <v>6</v>
      </c>
      <c r="B10" s="80" t="inlineStr">
        <is>
          <t>Bloc 3 — Recepție</t>
        </is>
      </c>
      <c r="C10" s="80" t="str">
        <f>Declarații_IMOBILIZARI!B8</f>
        <v>2026-07-05</v>
      </c>
      <c r="D10" s="80" t="str">
        <f>Jurnale_IMOBILIZARI!B19</f>
        <v>2131</v>
      </c>
      <c r="E10" s="80" t="str">
        <f>Jurnale_IMOBILIZARI!E19</f>
        <v>223</v>
      </c>
      <c r="F10" s="80">
        <f>Jurnale_IMOBILIZARI!C19</f>
        <v>0</v>
      </c>
      <c r="G10" s="80" t="str">
        <f>Jurnale_IMOBILIZARI!D19</f>
        <v>Recepție — stingere tranzit — Echipament tehnologic 2026-07</v>
      </c>
      <c r="H10" s="80" t="inlineStr">
        <is>
          <t>Proces-verbal de recepție</t>
        </is>
      </c>
      <c r="I10" s="39" t="str">
        <f>IF(F10&gt;0.001,"DA","NU")</f>
        <v>NU</v>
      </c>
    </row>
    <row r="11">
      <c r="A11" s="80" t="n">
        <v>7</v>
      </c>
      <c r="B11" s="80" t="inlineStr">
        <is>
          <t>Bloc 4 — Amortizare</t>
        </is>
      </c>
      <c r="C11" s="80" t="str">
        <f>Declarații_IMOBILIZARI!B9</f>
        <v>2026-07-20</v>
      </c>
      <c r="D11" s="80">
        <f>Jurnale_IMOBILIZARI!B23</f>
        <v>6811</v>
      </c>
      <c r="E11" s="80" t="str">
        <f>Jurnale_IMOBILIZARI!E23</f>
        <v>2813</v>
      </c>
      <c r="F11" s="80">
        <f>Jurnale_IMOBILIZARI!C23</f>
        <v>833.33</v>
      </c>
      <c r="G11" s="80" t="str">
        <f>Jurnale_IMOBILIZARI!D23</f>
        <v>Amortizare lunară — Echipament tehnologic 2026-07</v>
      </c>
      <c r="H11" s="80" t="inlineStr">
        <is>
          <t>Notă de amortizare</t>
        </is>
      </c>
      <c r="I11" s="39" t="str">
        <f>IF(F11&gt;0.001,"DA","NU")</f>
        <v>DA</v>
      </c>
    </row>
    <row r="13">
      <c r="A13" s="80" t="inlineStr">
        <is>
          <t>Rânduri de importat (Include=DA)</t>
        </is>
      </c>
      <c r="B13" s="80">
        <f>COUNTIF(I5:I11,"DA")</f>
        <v>3</v>
      </c>
    </row>
    <row r="14">
      <c r="A14" s="80" t="inlineStr">
        <is>
          <t>Check global (trebuie 0)</t>
        </is>
      </c>
      <c r="B14" s="80">
        <f>Jurnale_IMOBILIZARI!B26-Jurnale_IMOBILIZARI!B27</f>
        <v>0</v>
      </c>
      <c r="C14" s="80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7" t="inlineStr">
        <is>
          <t>MOD_IESIRE_MF — Declarații (input)</t>
        </is>
      </c>
    </row>
    <row r="2">
      <c r="A2" s="78" t="inlineStr">
        <is>
          <t>Completează doar celulele galbene. Tipul ieșirii (VANZARE / CASARE) comandă blocurile.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Denumire mijloc fix</t>
        </is>
      </c>
      <c r="B6" s="81" t="inlineStr">
        <is>
          <t>Clădire administrativă</t>
        </is>
      </c>
    </row>
    <row r="7">
      <c r="A7" s="80" t="inlineStr">
        <is>
          <t>Data ieșirii</t>
        </is>
      </c>
      <c r="B7" s="81" t="inlineStr">
        <is>
          <t>2026-07-31</t>
        </is>
      </c>
    </row>
    <row r="8">
      <c r="A8" s="80" t="inlineStr">
        <is>
          <t>Tip ieșire (VANZARE / CASARE)</t>
        </is>
      </c>
      <c r="B8" s="81" t="inlineStr">
        <is>
          <t>VANZARE</t>
        </is>
      </c>
    </row>
    <row r="10">
      <c r="A10" s="79" t="inlineStr">
        <is>
          <t>2. Date din evidență</t>
        </is>
      </c>
    </row>
    <row r="11">
      <c r="A11" s="80" t="inlineStr">
        <is>
          <t>Valoare de intrare (sold 21x)</t>
        </is>
      </c>
      <c r="B11" s="81" t="n">
        <v>100000</v>
      </c>
    </row>
    <row r="12">
      <c r="A12" s="80" t="inlineStr">
        <is>
          <t>Amortizare cumulată (sold 28x)</t>
        </is>
      </c>
      <c r="B12" s="81" t="n">
        <v>30000</v>
      </c>
    </row>
    <row r="13">
      <c r="A13" s="80" t="inlineStr">
        <is>
          <t>Preț de vânzare, fără TVA (0 la casare)</t>
        </is>
      </c>
      <c r="B13" s="81" t="n">
        <v>50000</v>
      </c>
    </row>
    <row r="14">
      <c r="A14" s="80" t="inlineStr">
        <is>
          <t>Cotă TVA</t>
        </is>
      </c>
      <c r="B14" s="80">
        <f>Parametri!B10</f>
        <v>0.21</v>
      </c>
    </row>
    <row r="15">
      <c r="A15" s="80" t="inlineStr">
        <is>
          <t>Valoare piese recuperate din casare</t>
        </is>
      </c>
      <c r="B15" s="81" t="n">
        <v>0</v>
      </c>
      <c r="C15" s="78" t="inlineStr">
        <is>
          <t>Evaluate de comisia tehnică, pe listă</t>
        </is>
      </c>
    </row>
    <row r="16">
      <c r="A16" s="80" t="inlineStr">
        <is>
          <t>Prețul este documentat? (DA / NU)</t>
        </is>
      </c>
      <c r="B16" s="81" t="inlineStr">
        <is>
          <t>NU</t>
        </is>
      </c>
      <c r="C16" s="78" t="inlineStr">
        <is>
          <t>Raport de evaluare / referință de piață / deviz de service</t>
        </is>
      </c>
    </row>
    <row r="18">
      <c r="A18" s="79" t="inlineStr">
        <is>
          <t>3. Calcul automat (nu edita)</t>
        </is>
      </c>
    </row>
    <row r="19">
      <c r="A19" s="80" t="inlineStr">
        <is>
          <t>Valoare rămasă neamortizată</t>
        </is>
      </c>
      <c r="B19" s="80">
        <f>B11-B12</f>
        <v>70000</v>
      </c>
    </row>
    <row r="20">
      <c r="A20" s="80" t="inlineStr">
        <is>
          <t>TVA colectată</t>
        </is>
      </c>
      <c r="B20" s="80">
        <f>B13*B14</f>
        <v>10500</v>
      </c>
    </row>
    <row r="21">
      <c r="A21" s="80" t="inlineStr">
        <is>
          <t>Total de încasat</t>
        </is>
      </c>
      <c r="B21" s="80">
        <f>B13+B20</f>
        <v>60500</v>
      </c>
    </row>
    <row r="22">
      <c r="A22" s="80" t="inlineStr">
        <is>
          <t>Cheltuială deductibilă (în limita venitului)</t>
        </is>
      </c>
      <c r="B22" s="80">
        <f>MIN(B19,B13)</f>
        <v>50000</v>
      </c>
    </row>
    <row r="23">
      <c r="A23" s="80" t="inlineStr">
        <is>
          <t>Cheltuială NEdeductibilă</t>
        </is>
      </c>
      <c r="B23" s="80">
        <f>MAX(0,B19-B13)</f>
        <v>20000</v>
      </c>
    </row>
    <row r="24">
      <c r="A24" s="80" t="inlineStr">
        <is>
          <t>Rezultat din cedare (venit − valoare rămasă)</t>
        </is>
      </c>
      <c r="B24" s="80">
        <f>B13-B19</f>
        <v>-20000</v>
      </c>
    </row>
    <row r="26">
      <c r="A26" s="79" t="inlineStr">
        <is>
          <t>4. Controale</t>
        </is>
      </c>
    </row>
    <row r="27">
      <c r="A27" s="80" t="inlineStr">
        <is>
          <t>Check C-13: amortizarea nu poate depăși valoarea de intrare</t>
        </is>
      </c>
      <c r="B27" s="80">
        <f>B11-B12</f>
        <v>70000</v>
      </c>
      <c r="C27" s="80" t="str">
        <f>IF(B12&lt;=B11+0.001,"OK — 28x ≤ 21x","EROARE — amortizare mai mare decât valoarea de intrare")</f>
        <v>OK — 28x ≤ 21x</v>
      </c>
    </row>
    <row r="28">
      <c r="A28" s="80" t="inlineStr">
        <is>
          <t>Test deductibilitate</t>
        </is>
      </c>
      <c r="B28" s="80">
        <f>B23</f>
        <v>20000</v>
      </c>
      <c r="C28" s="80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0" t="inlineStr">
        <is>
          <t>Test preț minim</t>
        </is>
      </c>
      <c r="B29" s="80">
        <f>B13</f>
        <v>50000</v>
      </c>
      <c r="C29" s="80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0" t="inlineStr">
        <is>
          <t>Reminder modul de imobilizări</t>
        </is>
      </c>
      <c r="B30" s="80" t="str">
        <f>B8</f>
        <v>VANZARE</v>
      </c>
      <c r="C30" s="80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79" t="inlineStr">
        <is>
          <t>5. Conturi</t>
        </is>
      </c>
    </row>
    <row r="33">
      <c r="A33" s="80" t="inlineStr">
        <is>
          <t>Cont imobilizare (21x)</t>
        </is>
      </c>
      <c r="B33" s="81" t="inlineStr">
        <is>
          <t>212</t>
        </is>
      </c>
    </row>
    <row r="34">
      <c r="A34" s="80" t="inlineStr">
        <is>
          <t>Cont amortizare (28x)</t>
        </is>
      </c>
      <c r="B34" s="81" t="inlineStr">
        <is>
          <t>2812</t>
        </is>
      </c>
    </row>
    <row r="35">
      <c r="A35" s="80" t="inlineStr">
        <is>
          <t>Cont cheltuială din cedare</t>
        </is>
      </c>
      <c r="B35" s="81" t="n">
        <v>6583</v>
      </c>
    </row>
    <row r="36">
      <c r="A36" s="80" t="inlineStr">
        <is>
          <t>Cont venit din cedare</t>
        </is>
      </c>
      <c r="B36" s="81" t="n">
        <v>7583</v>
      </c>
    </row>
    <row r="37">
      <c r="A37" s="80" t="inlineStr">
        <is>
          <t>Cont creanță</t>
        </is>
      </c>
      <c r="B37" s="81" t="inlineStr">
        <is>
          <t>461</t>
        </is>
      </c>
    </row>
    <row r="38">
      <c r="A38" s="80" t="inlineStr">
        <is>
          <t>Cont TVA colectată</t>
        </is>
      </c>
      <c r="B38" s="81" t="n">
        <v>4427</v>
      </c>
    </row>
    <row r="39">
      <c r="A39" s="80" t="inlineStr">
        <is>
          <t>Cont stoc piese recuperate</t>
        </is>
      </c>
      <c r="B39" s="81" t="n">
        <v>3024</v>
      </c>
    </row>
    <row r="40">
      <c r="A40" s="80" t="inlineStr">
        <is>
          <t>Cont venit din piese recuperate</t>
        </is>
      </c>
      <c r="B40" s="81" t="n">
        <v>7588</v>
      </c>
    </row>
    <row r="42">
      <c r="A42" s="79" t="inlineStr">
        <is>
          <t>6. Sufix generat</t>
        </is>
      </c>
    </row>
    <row r="43">
      <c r="A43" s="80" t="inlineStr">
        <is>
          <t>Sufix</t>
        </is>
      </c>
      <c r="B43" s="80" t="str">
        <f>"— " &amp; B6 &amp; " " &amp; B7</f>
        <v>— Clădire administrativă 2026-07-31</v>
      </c>
    </row>
    <row r="45">
      <c r="A45" s="80" t="inlineStr">
        <is>
          <t>Modul activ în CatalogModule?</t>
        </is>
      </c>
      <c r="B45" s="80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7" t="inlineStr">
        <is>
          <t>MOD_IESIRE_MF — Reguli (tabele fixe)</t>
        </is>
      </c>
    </row>
    <row r="2">
      <c r="A2" s="78" t="inlineStr">
        <is>
          <t>Se editează doar când se schimbă legea sau practica documentată a cabinetului.</t>
        </is>
      </c>
    </row>
    <row r="4">
      <c r="A4" s="79" t="inlineStr">
        <is>
          <t>Tabel A — Secvența de ieșire</t>
        </is>
      </c>
    </row>
    <row r="5">
      <c r="A5" s="82" t="inlineStr">
        <is>
          <t>Pas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 (sursă)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1</t>
        </is>
      </c>
      <c r="B6" s="80" t="inlineStr">
        <is>
          <t>28x</t>
        </is>
      </c>
      <c r="C6" s="80" t="inlineStr">
        <is>
          <t>21x</t>
        </is>
      </c>
      <c r="D6" s="80" t="inlineStr">
        <is>
          <t>amortizarea cumulată</t>
        </is>
      </c>
      <c r="E6" s="80" t="inlineStr">
        <is>
          <t>Întotdeauna</t>
        </is>
      </c>
      <c r="F6" s="80" t="inlineStr">
        <is>
          <t>28x e pur rectificativ — nu ține nimic real</t>
        </is>
      </c>
    </row>
    <row r="7">
      <c r="A7" s="80" t="inlineStr">
        <is>
          <t>2</t>
        </is>
      </c>
      <c r="B7" s="80" t="inlineStr">
        <is>
          <t>6583</t>
        </is>
      </c>
      <c r="C7" s="80" t="inlineStr">
        <is>
          <t>21x</t>
        </is>
      </c>
      <c r="D7" s="80" t="inlineStr">
        <is>
          <t>valoarea rămasă neamortizată</t>
        </is>
      </c>
      <c r="E7" s="80" t="inlineStr">
        <is>
          <t>Dacă valoarea rămasă &gt; 0</t>
        </is>
      </c>
      <c r="F7" s="80" t="inlineStr">
        <is>
          <t>La bun integral amortizat, pasul lipsește</t>
        </is>
      </c>
    </row>
    <row r="8">
      <c r="A8" s="80" t="inlineStr">
        <is>
          <t>3</t>
        </is>
      </c>
      <c r="B8" s="80" t="inlineStr">
        <is>
          <t>461/411</t>
        </is>
      </c>
      <c r="C8" s="80" t="inlineStr">
        <is>
          <t>7583 + 4427</t>
        </is>
      </c>
      <c r="D8" s="80" t="inlineStr">
        <is>
          <t>preț + TVA</t>
        </is>
      </c>
      <c r="E8" s="80" t="inlineStr">
        <is>
          <t>Doar la VANZARE</t>
        </is>
      </c>
      <c r="F8" s="80" t="inlineStr">
        <is>
          <t>La casare nu există venit din cedare</t>
        </is>
      </c>
    </row>
    <row r="9">
      <c r="A9" s="80" t="inlineStr">
        <is>
          <t>4</t>
        </is>
      </c>
      <c r="B9" s="80" t="inlineStr">
        <is>
          <t>3024</t>
        </is>
      </c>
      <c r="C9" s="80" t="inlineStr">
        <is>
          <t>7588</t>
        </is>
      </c>
      <c r="D9" s="80" t="inlineStr">
        <is>
          <t>valoarea pieselor recuperate</t>
        </is>
      </c>
      <c r="E9" s="80" t="inlineStr">
        <is>
          <t>Doar la CASARE cu recuperări</t>
        </is>
      </c>
      <c r="F9" s="80" t="inlineStr">
        <is>
          <t>Lista vine de la comisia tehnică; dacă se revând, transfer în 371 (F-10)</t>
        </is>
      </c>
    </row>
    <row r="11">
      <c r="A11" s="79" t="inlineStr">
        <is>
          <t>Tabel B — Testul de deductibilitate</t>
        </is>
      </c>
    </row>
    <row r="12">
      <c r="A12" s="82" t="inlineStr">
        <is>
          <t>Situație</t>
        </is>
      </c>
      <c r="B12" s="82" t="inlineStr">
        <is>
          <t>Tratament</t>
        </is>
      </c>
      <c r="C12" s="82" t="inlineStr"/>
      <c r="D12" s="82" t="inlineStr"/>
      <c r="E12" s="82" t="inlineStr"/>
      <c r="F12" s="82" t="inlineStr">
        <is>
          <t>Observație</t>
        </is>
      </c>
    </row>
    <row r="13">
      <c r="A13" s="80" t="inlineStr">
        <is>
          <t>Preț ≥ valoarea rămasă</t>
        </is>
      </c>
      <c r="B13" s="80" t="inlineStr">
        <is>
          <t>6583 integral deductibil</t>
        </is>
      </c>
      <c r="C13" s="80" t="inlineStr"/>
      <c r="D13" s="80" t="inlineStr"/>
      <c r="E13" s="80" t="inlineStr"/>
      <c r="F13" s="80" t="inlineStr">
        <is>
          <t>Rezultatul din cedare e câștig</t>
        </is>
      </c>
    </row>
    <row r="14">
      <c r="A14" s="80" t="inlineStr">
        <is>
          <t>Preț &lt; valoarea rămasă, preț DOCUMENTAT</t>
        </is>
      </c>
      <c r="B14" s="80" t="inlineStr">
        <is>
          <t>deductibil în limita venitului; diferența e discutabilă</t>
        </is>
      </c>
      <c r="C14" s="80" t="inlineStr"/>
      <c r="D14" s="80" t="inlineStr"/>
      <c r="E14" s="80" t="inlineStr"/>
      <c r="F14" s="80" t="inlineStr">
        <is>
          <t>❓ De cerut formatorului baza legală exactă. Art. 28 alin. (17) CF, citit strict, include pierderea în rezultatul fiscal</t>
        </is>
      </c>
    </row>
    <row r="15">
      <c r="A15" s="80" t="inlineStr">
        <is>
          <t>Preț &lt; valoarea rămasă, preț NEdocumentat</t>
        </is>
      </c>
      <c r="B15" s="80" t="inlineStr">
        <is>
          <t>diferența — nedeductibilă; risc de reîncadrare</t>
        </is>
      </c>
      <c r="C15" s="80" t="inlineStr"/>
      <c r="D15" s="80" t="inlineStr"/>
      <c r="E15" s="80" t="inlineStr"/>
      <c r="F15" s="80" t="inlineStr">
        <is>
          <t>art. 11 CF (reîncadrare) + art. 25 alin. (1) CF (scopul activității economice)</t>
        </is>
      </c>
    </row>
    <row r="16">
      <c r="A16" s="80" t="inlineStr">
        <is>
          <t>Bun integral amortizat, vândut sub piață</t>
        </is>
      </c>
      <c r="B16" s="80" t="inlineStr">
        <is>
          <t>risc de reîncadrare</t>
        </is>
      </c>
      <c r="C16" s="80" t="inlineStr"/>
      <c r="D16" s="80" t="inlineStr"/>
      <c r="E16" s="80" t="inlineStr"/>
      <c r="F16" s="80" t="inlineStr">
        <is>
          <t>Reper minim: valoare de piață sau valoare de fier vechi, documentat</t>
        </is>
      </c>
    </row>
    <row r="18">
      <c r="A18" s="79" t="inlineStr">
        <is>
          <t>Tabel C — Porți de calitate</t>
        </is>
      </c>
    </row>
    <row r="19">
      <c r="A19" s="80" t="inlineStr">
        <is>
          <t>• ΣDr = ΣCr pe fiecare bloc</t>
        </is>
      </c>
    </row>
    <row r="20">
      <c r="A20" s="80" t="inlineStr">
        <is>
          <t>• Sold 21x = 0 și sold 28x = 0 pentru bunul ieșit</t>
        </is>
      </c>
    </row>
    <row r="21">
      <c r="A21" s="80" t="inlineStr">
        <is>
          <t>• Amortizarea descărcată = soldul 28x din evidență, nu o estimare (C-13)</t>
        </is>
      </c>
    </row>
    <row r="22">
      <c r="A22" s="80" t="inlineStr">
        <is>
          <t>• Starea mijlocului fix schimbată în modul: vândut / casat</t>
        </is>
      </c>
    </row>
    <row r="23">
      <c r="A23" s="80" t="inlineStr">
        <is>
          <t>• Ieșirea din nota contabilă corelată cu modulul de imobilizări (C-15)</t>
        </is>
      </c>
    </row>
    <row r="24">
      <c r="A24" s="80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MOD_IESIRE_MF — Jurnale (generate automat)</t>
        </is>
      </c>
    </row>
    <row r="2">
      <c r="A2" s="78" t="inlineStr">
        <is>
          <t>Blocul de vânzare rămâne pe zero la casare, și invers pentru piesele recuperate.</t>
        </is>
      </c>
    </row>
    <row r="4">
      <c r="A4" s="79" t="inlineStr">
        <is>
          <t>Bloc 1 — Descărcarea amortizării cumulate</t>
        </is>
      </c>
    </row>
    <row r="5">
      <c r="A5" s="80" t="inlineStr">
        <is>
          <t>Data jurnal:</t>
        </is>
      </c>
      <c r="B5" s="80" t="str">
        <f>Declarații_IESIRE_MF!B7</f>
        <v>2026-07-31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Declarații_IESIRE_MF!B34</f>
        <v>2812</v>
      </c>
      <c r="C8" s="80">
        <f>Declarații_IESIRE_MF!B12</f>
        <v>30000</v>
      </c>
      <c r="D8" s="80" t="str">
        <f>"Descărcare amortizare cumulată " &amp; Declarații_IESIRE_MF!B43</f>
        <v>Descărcare amortizare cumulată — Clădire administrativă 2026-07-31</v>
      </c>
      <c r="E8" s="80" t="str">
        <f>Declarații_IESIRE_MF!B33</f>
        <v>212</v>
      </c>
      <c r="F8" s="80">
        <f>Declarații_IESIRE_MF!B12</f>
        <v>30000</v>
      </c>
      <c r="G8" s="80" t="str">
        <f>"Scoatere din evidență — partea amortizată " &amp; Declarații_IESIRE_MF!B43</f>
        <v>Scoatere din evidență — partea amortizată — Clădire administrativă 2026-07-31</v>
      </c>
    </row>
    <row r="10">
      <c r="A10" s="79" t="inlineStr">
        <is>
          <t>Bloc 2 — Valoarea rămasă pe cheltuială</t>
        </is>
      </c>
    </row>
    <row r="11">
      <c r="A11" s="82" t="inlineStr">
        <is>
          <t>Nr</t>
        </is>
      </c>
      <c r="B11" s="82" t="inlineStr">
        <is>
          <t>Cont Dr</t>
        </is>
      </c>
      <c r="C11" s="82" t="inlineStr">
        <is>
          <t>Sumă Dr</t>
        </is>
      </c>
      <c r="D11" s="82" t="inlineStr">
        <is>
          <t>Descriere Dr</t>
        </is>
      </c>
      <c r="E11" s="82" t="inlineStr">
        <is>
          <t>Cont Cr</t>
        </is>
      </c>
      <c r="F11" s="82" t="inlineStr">
        <is>
          <t>Sumă Cr</t>
        </is>
      </c>
      <c r="G11" s="82" t="inlineStr">
        <is>
          <t>Descriere Cr</t>
        </is>
      </c>
    </row>
    <row r="12">
      <c r="A12" s="80" t="n">
        <v>1</v>
      </c>
      <c r="B12" s="80">
        <f>Declarații_IESIRE_MF!B35</f>
        <v>6583</v>
      </c>
      <c r="C12" s="80">
        <f>Declarații_IESIRE_MF!B19</f>
        <v>70000</v>
      </c>
      <c r="D12" s="80" t="str">
        <f>"Valoare rămasă neamortizată " &amp; Declarații_IESIRE_MF!B43</f>
        <v>Valoare rămasă neamortizată — Clădire administrativă 2026-07-31</v>
      </c>
      <c r="E12" s="80" t="str">
        <f>Declarații_IESIRE_MF!B33</f>
        <v>212</v>
      </c>
      <c r="F12" s="80">
        <f>Declarații_IESIRE_MF!B19</f>
        <v>70000</v>
      </c>
      <c r="G12" s="80" t="str">
        <f>"Scoatere din evidență — partea neamortizată " &amp; Declarații_IESIRE_MF!B43</f>
        <v>Scoatere din evidență — partea neamortizată — Clădire administrativă 2026-07-31</v>
      </c>
    </row>
    <row r="14">
      <c r="A14" s="79" t="inlineStr">
        <is>
          <t>Bloc 3 — Vânzarea (doar la tip = VANZARE)</t>
        </is>
      </c>
    </row>
    <row r="15">
      <c r="A15" s="82" t="inlineStr">
        <is>
          <t>Nr</t>
        </is>
      </c>
      <c r="B15" s="82" t="inlineStr">
        <is>
          <t>Cont Dr</t>
        </is>
      </c>
      <c r="C15" s="82" t="inlineStr">
        <is>
          <t>Sumă Dr</t>
        </is>
      </c>
      <c r="D15" s="82" t="inlineStr">
        <is>
          <t>Descriere Dr</t>
        </is>
      </c>
      <c r="E15" s="82" t="inlineStr">
        <is>
          <t>Cont Cr</t>
        </is>
      </c>
      <c r="F15" s="82" t="inlineStr">
        <is>
          <t>Sumă Cr</t>
        </is>
      </c>
      <c r="G15" s="82" t="inlineStr">
        <is>
          <t>Descriere Cr</t>
        </is>
      </c>
    </row>
    <row r="16">
      <c r="A16" s="80" t="n">
        <v>1</v>
      </c>
      <c r="B16" s="80" t="str">
        <f>Declarații_IESIRE_MF!B37</f>
        <v>461</v>
      </c>
      <c r="C16" s="80">
        <f>IF(Declarații_IESIRE_MF!B8="VANZARE",Declarații_IESIRE_MF!B13,0)</f>
        <v>50000</v>
      </c>
      <c r="D16" s="80" t="str">
        <f>"Creanță din vânzare mijloc fix " &amp; Declarații_IESIRE_MF!B43</f>
        <v>Creanță din vânzare mijloc fix — Clădire administrativă 2026-07-31</v>
      </c>
      <c r="E16" s="80">
        <f>Declarații_IESIRE_MF!B36</f>
        <v>7583</v>
      </c>
      <c r="F16" s="80">
        <f>IF(Declarații_IESIRE_MF!B8="VANZARE",Declarații_IESIRE_MF!B13,0)</f>
        <v>50000</v>
      </c>
      <c r="G16" s="80" t="str">
        <f>"Venit din cedarea activelor " &amp; Declarații_IESIRE_MF!B43</f>
        <v>Venit din cedarea activelor — Clădire administrativă 2026-07-31</v>
      </c>
    </row>
    <row r="17">
      <c r="A17" s="80" t="n">
        <v>2</v>
      </c>
      <c r="B17" s="80" t="str">
        <f>Declarații_IESIRE_MF!B37</f>
        <v>461</v>
      </c>
      <c r="C17" s="80">
        <f>IF(Declarații_IESIRE_MF!B8="VANZARE",Declarații_IESIRE_MF!B20,0)</f>
        <v>10500</v>
      </c>
      <c r="D17" s="80" t="str">
        <f>"Creanță — TVA " &amp; Declarații_IESIRE_MF!B43</f>
        <v>Creanță — TVA — Clădire administrativă 2026-07-31</v>
      </c>
      <c r="E17" s="80">
        <f>Declarații_IESIRE_MF!B38</f>
        <v>4427</v>
      </c>
      <c r="F17" s="80">
        <f>IF(Declarații_IESIRE_MF!B8="VANZARE",Declarații_IESIRE_MF!B20,0)</f>
        <v>10500</v>
      </c>
      <c r="G17" s="80" t="str">
        <f>"TVA colectată " &amp; Declarații_IESIRE_MF!B43</f>
        <v>TVA colectată — Clădire administrativă 2026-07-31</v>
      </c>
    </row>
    <row r="19">
      <c r="A19" s="79" t="inlineStr">
        <is>
          <t>Bloc 4 — Piese recuperate din casare</t>
        </is>
      </c>
    </row>
    <row r="20">
      <c r="A20" s="82" t="inlineStr">
        <is>
          <t>Nr</t>
        </is>
      </c>
      <c r="B20" s="82" t="inlineStr">
        <is>
          <t>Cont Dr</t>
        </is>
      </c>
      <c r="C20" s="82" t="inlineStr">
        <is>
          <t>Sumă Dr</t>
        </is>
      </c>
      <c r="D20" s="82" t="inlineStr">
        <is>
          <t>Descriere Dr</t>
        </is>
      </c>
      <c r="E20" s="82" t="inlineStr">
        <is>
          <t>Cont Cr</t>
        </is>
      </c>
      <c r="F20" s="82" t="inlineStr">
        <is>
          <t>Sumă Cr</t>
        </is>
      </c>
      <c r="G20" s="82" t="inlineStr">
        <is>
          <t>Descriere Cr</t>
        </is>
      </c>
    </row>
    <row r="21">
      <c r="A21" s="80" t="n">
        <v>1</v>
      </c>
      <c r="B21" s="80">
        <f>Declarații_IESIRE_MF!B39</f>
        <v>3024</v>
      </c>
      <c r="C21" s="80">
        <f>Declarații_IESIRE_MF!B15</f>
        <v>0</v>
      </c>
      <c r="D21" s="80" t="str">
        <f>"Piese recuperate, evaluate de comisia tehnică " &amp; Declarații_IESIRE_MF!B43</f>
        <v>Piese recuperate, evaluate de comisia tehnică — Clădire administrativă 2026-07-31</v>
      </c>
      <c r="E21" s="80">
        <f>Declarații_IESIRE_MF!B40</f>
        <v>7588</v>
      </c>
      <c r="F21" s="80">
        <f>Declarații_IESIRE_MF!B15</f>
        <v>0</v>
      </c>
      <c r="G21" s="80" t="str">
        <f>"Venit din piese recuperate " &amp; Declarații_IESIRE_MF!B43</f>
        <v>Venit din piese recuperate — Clădire administrativă 2026-07-31</v>
      </c>
    </row>
    <row r="23">
      <c r="A23" s="79" t="inlineStr">
        <is>
          <t>Sumar și controale</t>
        </is>
      </c>
    </row>
    <row r="24">
      <c r="A24" s="80" t="inlineStr">
        <is>
          <t>Total Dr</t>
        </is>
      </c>
      <c r="B24" s="80">
        <f>C8+C12+C16+C17+C21</f>
        <v>160500</v>
      </c>
    </row>
    <row r="25">
      <c r="A25" s="80" t="inlineStr">
        <is>
          <t>Total Cr</t>
        </is>
      </c>
      <c r="B25" s="80">
        <f>F8+F12+F16+F17+F21</f>
        <v>160500</v>
      </c>
    </row>
    <row r="26">
      <c r="A26" s="80" t="inlineStr">
        <is>
          <t>Check Σ (structural)</t>
        </is>
      </c>
      <c r="B26" s="80">
        <f>B24-B25</f>
        <v>0</v>
      </c>
      <c r="C26" s="80" t="str">
        <f>IF(ABS(B24-B25)&lt;0.01,"OK — notele se închid","EROARE")</f>
        <v>OK — notele se închid</v>
      </c>
    </row>
    <row r="27">
      <c r="A27" s="80" t="inlineStr">
        <is>
          <t>Check stingere integrală 21x</t>
        </is>
      </c>
      <c r="B27" s="80">
        <f>F8+F12-Declarații_IESIRE_MF!B11</f>
        <v>0</v>
      </c>
      <c r="C27" s="80" t="str">
        <f>IF(ABS(F8+F12-Declarații_IESIRE_MF!B11)&lt;0.01,"OK — 21x se stinge integral","EROARE — rămâne sold pe mijlocul ieșit")</f>
        <v>OK — 21x se stinge integral</v>
      </c>
    </row>
    <row r="28">
      <c r="A28" s="80" t="inlineStr">
        <is>
          <t>Check deductibilitate (informativ, nu blochează)</t>
        </is>
      </c>
      <c r="B28" s="80">
        <f>Declarații_IESIRE_MF!B23</f>
        <v>20000</v>
      </c>
      <c r="C28" s="80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8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7" t="inlineStr">
        <is>
          <t>MOD_IESIRE_MF — Notă pentru import (1 rând = 1 înregistrare)</t>
        </is>
      </c>
    </row>
    <row r="2">
      <c r="A2" s="78" t="inlineStr">
        <is>
          <t>Filtrează pe Include = DA. Rândurile pe zero corespund blocului inactiv pentru tipul de ieșire ales.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Descărcare amortizare</t>
        </is>
      </c>
      <c r="C5" s="80" t="str">
        <f>Declarații_IESIRE_MF!B7</f>
        <v>2026-07-31</v>
      </c>
      <c r="D5" s="80" t="str">
        <f>Jurnale_IESIRE_MF!B8</f>
        <v>2812</v>
      </c>
      <c r="E5" s="80" t="str">
        <f>Jurnale_IESIRE_MF!E8</f>
        <v>212</v>
      </c>
      <c r="F5" s="80">
        <f>Jurnale_IESIRE_MF!C8</f>
        <v>30000</v>
      </c>
      <c r="G5" s="80" t="str">
        <f>Jurnale_IESIRE_MF!D8</f>
        <v>Descărcare amortizare cumulată — Clădire administrativă 2026-07-31</v>
      </c>
      <c r="H5" s="80" t="inlineStr">
        <is>
          <t>Notă de scoatere din evidență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2 — Valoare rămasă</t>
        </is>
      </c>
      <c r="C6" s="80" t="str">
        <f>Declarații_IESIRE_MF!B7</f>
        <v>2026-07-31</v>
      </c>
      <c r="D6" s="80">
        <f>Jurnale_IESIRE_MF!B12</f>
        <v>6583</v>
      </c>
      <c r="E6" s="80" t="str">
        <f>Jurnale_IESIRE_MF!E12</f>
        <v>212</v>
      </c>
      <c r="F6" s="80">
        <f>Jurnale_IESIRE_MF!C12</f>
        <v>70000</v>
      </c>
      <c r="G6" s="80" t="str">
        <f>Jurnale_IESIRE_MF!D12</f>
        <v>Valoare rămasă neamortizată — Clădire administrativă 2026-07-31</v>
      </c>
      <c r="H6" s="80" t="inlineStr">
        <is>
          <t>Notă de scoatere din evidență</t>
        </is>
      </c>
      <c r="I6" s="39" t="str">
        <f>IF(F6&gt;0.001,"DA","NU")</f>
        <v>DA</v>
      </c>
    </row>
    <row r="7">
      <c r="A7" s="80" t="n">
        <v>3</v>
      </c>
      <c r="B7" s="80" t="inlineStr">
        <is>
          <t>Bloc 3 — Vânzare</t>
        </is>
      </c>
      <c r="C7" s="80" t="str">
        <f>Declarații_IESIRE_MF!B7</f>
        <v>2026-07-31</v>
      </c>
      <c r="D7" s="80" t="str">
        <f>Jurnale_IESIRE_MF!B16</f>
        <v>461</v>
      </c>
      <c r="E7" s="80">
        <f>Jurnale_IESIRE_MF!E16</f>
        <v>7583</v>
      </c>
      <c r="F7" s="80">
        <f>Jurnale_IESIRE_MF!C16</f>
        <v>50000</v>
      </c>
      <c r="G7" s="80" t="str">
        <f>Jurnale_IESIRE_MF!D16</f>
        <v>Creanță din vânzare mijloc fix — Clădire administrativă 2026-07-31</v>
      </c>
      <c r="H7" s="80" t="inlineStr">
        <is>
          <t>Factură de vânzare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3 — TVA</t>
        </is>
      </c>
      <c r="C8" s="80" t="str">
        <f>Declarații_IESIRE_MF!B7</f>
        <v>2026-07-31</v>
      </c>
      <c r="D8" s="80" t="str">
        <f>Jurnale_IESIRE_MF!B17</f>
        <v>461</v>
      </c>
      <c r="E8" s="80">
        <f>Jurnale_IESIRE_MF!E17</f>
        <v>4427</v>
      </c>
      <c r="F8" s="80">
        <f>Jurnale_IESIRE_MF!C17</f>
        <v>10500</v>
      </c>
      <c r="G8" s="80" t="str">
        <f>Jurnale_IESIRE_MF!D17</f>
        <v>Creanță — TVA — Clădire administrativă 2026-07-31</v>
      </c>
      <c r="H8" s="80" t="inlineStr">
        <is>
          <t>Factură de vânzare</t>
        </is>
      </c>
      <c r="I8" s="39" t="str">
        <f>IF(F8&gt;0.001,"DA","NU")</f>
        <v>DA</v>
      </c>
    </row>
    <row r="9">
      <c r="A9" s="80" t="n">
        <v>5</v>
      </c>
      <c r="B9" s="80" t="inlineStr">
        <is>
          <t>Bloc 4 — Piese recuperate</t>
        </is>
      </c>
      <c r="C9" s="80" t="str">
        <f>Declarații_IESIRE_MF!B7</f>
        <v>2026-07-31</v>
      </c>
      <c r="D9" s="80">
        <f>Jurnale_IESIRE_MF!B21</f>
        <v>3024</v>
      </c>
      <c r="E9" s="80">
        <f>Jurnale_IESIRE_MF!E21</f>
        <v>7588</v>
      </c>
      <c r="F9" s="80">
        <f>Jurnale_IESIRE_MF!C21</f>
        <v>0</v>
      </c>
      <c r="G9" s="80" t="str">
        <f>Jurnale_IESIRE_MF!D21</f>
        <v>Piese recuperate, evaluate de comisia tehnică — Clădire administrativă 2026-07-31</v>
      </c>
      <c r="H9" s="80" t="inlineStr">
        <is>
          <t>PV scoatere din funcțiune + listă comisie</t>
        </is>
      </c>
      <c r="I9" s="39" t="str">
        <f>IF(F9&gt;0.001,"DA","NU")</f>
        <v>NU</v>
      </c>
    </row>
    <row r="11">
      <c r="A11" s="80" t="inlineStr">
        <is>
          <t>Rânduri de importat (Include=DA)</t>
        </is>
      </c>
      <c r="B11" s="80">
        <f>COUNTIF(I5:I9,"DA")</f>
        <v>4</v>
      </c>
    </row>
    <row r="12">
      <c r="A12" s="80" t="inlineStr">
        <is>
          <t>Check global (trebuie 0)</t>
        </is>
      </c>
      <c r="B12" s="80">
        <f>Jurnale_IESIRE_MF!B24-Jurnale_IESIRE_MF!B25</f>
        <v>0</v>
      </c>
      <c r="C12" s="80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7" t="inlineStr">
        <is>
          <t>MOD_CAPITALURI — Declarații (input)</t>
        </is>
      </c>
    </row>
    <row r="2">
      <c r="A2" s="78" t="inlineStr">
        <is>
          <t>Completează doar celulele galbene cu scris albastru. Restul sunt formule sau text fix.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Exercițiu financiar (anul N)</t>
        </is>
      </c>
      <c r="B6" s="81" t="n">
        <v>2026</v>
      </c>
    </row>
    <row r="7">
      <c r="A7" s="80" t="inlineStr">
        <is>
          <t>Data notei de repartizare (31.12.N)</t>
        </is>
      </c>
      <c r="B7" s="81" t="inlineStr">
        <is>
          <t>2026-12-31</t>
        </is>
      </c>
    </row>
    <row r="8">
      <c r="A8" s="80" t="inlineStr">
        <is>
          <t>Data notei de închidere (ianuarie N+1)</t>
        </is>
      </c>
      <c r="B8" s="81" t="inlineStr">
        <is>
          <t>2027-01-05</t>
        </is>
      </c>
    </row>
    <row r="10">
      <c r="A10" s="79" t="inlineStr">
        <is>
          <t>2. Date din balanță</t>
        </is>
      </c>
    </row>
    <row r="11">
      <c r="A11" s="80" t="inlineStr">
        <is>
          <t>Sold creditor 121 (după închiderea cls. 6 și 7)</t>
        </is>
      </c>
      <c r="B11" s="81" t="n">
        <v>2500</v>
      </c>
    </row>
    <row r="12">
      <c r="A12" s="80" t="inlineStr">
        <is>
          <t>Rulaj 691 (cheltuiala cu impozitul pe profit)</t>
        </is>
      </c>
      <c r="B12" s="81" t="n">
        <v>0</v>
      </c>
    </row>
    <row r="13">
      <c r="A13" s="80" t="inlineStr">
        <is>
          <t>Capital social subscris ȘI VĂRSAT (1012)</t>
        </is>
      </c>
      <c r="B13" s="81" t="n">
        <v>5000</v>
      </c>
      <c r="C13" s="78" t="inlineStr">
        <is>
          <t>Partea nevărsată din 1011 NU intră în plafon</t>
        </is>
      </c>
    </row>
    <row r="14">
      <c r="A14" s="80" t="inlineStr">
        <is>
          <t>Sold 1061 deja constituit</t>
        </is>
      </c>
      <c r="B14" s="81" t="n">
        <v>0</v>
      </c>
    </row>
    <row r="15">
      <c r="A15" s="80" t="inlineStr">
        <is>
          <t>Pierdere contabilă reportată de acoperit (1171 sold D)</t>
        </is>
      </c>
      <c r="B15" s="81" t="n">
        <v>0</v>
      </c>
    </row>
    <row r="16">
      <c r="A16" s="80" t="inlineStr">
        <is>
          <t>Capitaluri proprii (activ net) din bilanț</t>
        </is>
      </c>
      <c r="B16" s="81" t="n">
        <v>5000</v>
      </c>
      <c r="C16" s="78" t="inlineStr">
        <is>
          <t>Se ia din bilanț, nu din balanță — vezi C-20</t>
        </is>
      </c>
    </row>
    <row r="18">
      <c r="A18" s="79" t="inlineStr">
        <is>
          <t>3. Rezerva legală — dublul plafon (nu edita)</t>
        </is>
      </c>
    </row>
    <row r="19">
      <c r="A19" s="80" t="inlineStr">
        <is>
          <t>Profit contabil brut (121 + 691)</t>
        </is>
      </c>
      <c r="B19" s="80">
        <f>B11+B12</f>
        <v>2500</v>
      </c>
    </row>
    <row r="20">
      <c r="A20" s="80" t="inlineStr">
        <is>
          <t>Limita fiscală: 5% din profitul brut</t>
        </is>
      </c>
      <c r="B20" s="80">
        <f>B19*Parametri!B16</f>
        <v>125</v>
      </c>
      <c r="C20" s="78" t="inlineStr">
        <is>
          <t>art. 26 alin. (1) lit. a) Cod fiscal</t>
        </is>
      </c>
    </row>
    <row r="21">
      <c r="A21" s="80" t="inlineStr">
        <is>
          <t>Limita juridică: 20% din capitalul vărsat</t>
        </is>
      </c>
      <c r="B21" s="80">
        <f>B13*Parametri!B17</f>
        <v>1000</v>
      </c>
      <c r="C21" s="78" t="inlineStr">
        <is>
          <t>art. 183 Legea 31/1990</t>
        </is>
      </c>
    </row>
    <row r="22">
      <c r="A22" s="80" t="inlineStr">
        <is>
          <t>Spațiu rămas până la plafon</t>
        </is>
      </c>
      <c r="B22" s="80">
        <f>MAX(0,B21-B14)</f>
        <v>1000</v>
      </c>
    </row>
    <row r="23">
      <c r="A23" s="80" t="inlineStr">
        <is>
          <t>Rezervă legală de constituit</t>
        </is>
      </c>
      <c r="B23" s="80">
        <f>MIN(B20,B22)</f>
        <v>125</v>
      </c>
    </row>
    <row r="24">
      <c r="A24" s="80" t="inlineStr">
        <is>
          <t>Check plafon rezervă</t>
        </is>
      </c>
      <c r="B24" s="80">
        <f>B14+B23</f>
        <v>125</v>
      </c>
      <c r="C24" s="80" t="str">
        <f>IF(B14+B23&lt;=B21+0.001,"OK — sub plafonul de 20%","EROARE — depășire plafon")</f>
        <v>OK — sub plafonul de 20%</v>
      </c>
    </row>
    <row r="26">
      <c r="A26" s="79" t="inlineStr">
        <is>
          <t>4. Repartizare</t>
        </is>
      </c>
    </row>
    <row r="27">
      <c r="A27" s="80" t="inlineStr">
        <is>
          <t>Profit rămas după rezerva legală</t>
        </is>
      </c>
      <c r="B27" s="80">
        <f>B11-B23</f>
        <v>2375</v>
      </c>
    </row>
    <row r="28">
      <c r="A28" s="80" t="inlineStr">
        <is>
          <t>Disponibil de distribuit ca dividende</t>
        </is>
      </c>
      <c r="B28" s="80">
        <f>MAX(0,B27-B15)</f>
        <v>2375</v>
      </c>
    </row>
    <row r="29">
      <c r="A29" s="80" t="inlineStr">
        <is>
          <t>Check pierdere reportată</t>
        </is>
      </c>
      <c r="B29" s="80">
        <f>B15</f>
        <v>0</v>
      </c>
      <c r="C29" s="80" t="str">
        <f>IF(B15&gt;0,"ATENȚIE — acoperă întâi pierderea reportată (L. 239/2025)","OK — fără pierdere reportată")</f>
        <v>OK — fără pierdere reportată</v>
      </c>
    </row>
    <row r="30">
      <c r="A30" s="80" t="inlineStr">
        <is>
          <t>Check activ net ≥ ½ capital social (C-20)</t>
        </is>
      </c>
      <c r="B30" s="80">
        <f>B16</f>
        <v>5000</v>
      </c>
      <c r="C30" s="80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79" t="inlineStr">
        <is>
          <t>5. Corecție erori exerciții anterioare (1174)</t>
        </is>
      </c>
    </row>
    <row r="33">
      <c r="A33" s="80" t="inlineStr">
        <is>
          <t>Bază corecție, fără TVA (0 dacă nu e cazul)</t>
        </is>
      </c>
      <c r="B33" s="81" t="n">
        <v>0</v>
      </c>
    </row>
    <row r="34">
      <c r="A34" s="80" t="inlineStr">
        <is>
          <t>TVA aferentă corecției</t>
        </is>
      </c>
      <c r="B34" s="81" t="n">
        <v>0</v>
      </c>
    </row>
    <row r="35">
      <c r="A35" s="80" t="inlineStr">
        <is>
          <t>Check 1174</t>
        </is>
      </c>
      <c r="B35" s="80">
        <f>B33</f>
        <v>0</v>
      </c>
      <c r="C35" s="80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79" t="inlineStr">
        <is>
          <t>6. Conturi (din planul pe rol)</t>
        </is>
      </c>
    </row>
    <row r="38">
      <c r="A38" s="80" t="inlineStr">
        <is>
          <t>Cont rezultat</t>
        </is>
      </c>
      <c r="B38" s="81" t="n">
        <v>121</v>
      </c>
    </row>
    <row r="39">
      <c r="A39" s="80" t="inlineStr">
        <is>
          <t>Cont repartizarea profitului</t>
        </is>
      </c>
      <c r="B39" s="81" t="n">
        <v>129</v>
      </c>
    </row>
    <row r="40">
      <c r="A40" s="80" t="inlineStr">
        <is>
          <t>Cont rezervă legală</t>
        </is>
      </c>
      <c r="B40" s="81" t="n">
        <v>1061</v>
      </c>
    </row>
    <row r="41">
      <c r="A41" s="80" t="inlineStr">
        <is>
          <t>Cont rezultat reportat (analitic pe an)</t>
        </is>
      </c>
      <c r="B41" s="81" t="inlineStr">
        <is>
          <t>1171.2026</t>
        </is>
      </c>
    </row>
    <row r="42">
      <c r="A42" s="80" t="inlineStr">
        <is>
          <t>Cont dividende de plată</t>
        </is>
      </c>
      <c r="B42" s="81" t="n">
        <v>457</v>
      </c>
    </row>
    <row r="43">
      <c r="A43" s="80" t="inlineStr">
        <is>
          <t>Cont corecții exerciții anterioare</t>
        </is>
      </c>
      <c r="B43" s="81" t="n">
        <v>1174</v>
      </c>
    </row>
    <row r="44">
      <c r="A44" s="80" t="inlineStr">
        <is>
          <t>Cont furnizor</t>
        </is>
      </c>
      <c r="B44" s="81" t="inlineStr">
        <is>
          <t>401.RO</t>
        </is>
      </c>
    </row>
    <row r="45">
      <c r="A45" s="80" t="inlineStr">
        <is>
          <t>Cont TVA deductibilă</t>
        </is>
      </c>
      <c r="B45" s="81" t="n">
        <v>4426</v>
      </c>
    </row>
    <row r="47">
      <c r="A47" s="79" t="inlineStr">
        <is>
          <t>7. Sufix generat</t>
        </is>
      </c>
    </row>
    <row r="48">
      <c r="A48" s="80" t="inlineStr">
        <is>
          <t>Sufix</t>
        </is>
      </c>
      <c r="B48" s="80" t="str">
        <f>"— repartizare rezultat " &amp; B6</f>
        <v>— repartizare rezultat 2026</v>
      </c>
    </row>
    <row r="50">
      <c r="A50" s="80" t="inlineStr">
        <is>
          <t>Modul activ în CatalogModule?</t>
        </is>
      </c>
      <c r="B50" s="80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7" t="inlineStr">
        <is>
          <t>MOD_CAPITALURI — Reguli (tabele fixe)</t>
        </is>
      </c>
    </row>
    <row r="2">
      <c r="A2" s="78" t="inlineStr">
        <is>
          <t>Regula juridică/fiscală e dată, nu formulă. Se editează doar când se schimbă legea.</t>
        </is>
      </c>
    </row>
    <row r="4">
      <c r="A4" s="79" t="inlineStr">
        <is>
          <t>Tabel A — Secvența de repartizare</t>
        </is>
      </c>
    </row>
    <row r="5">
      <c r="A5" s="82" t="inlineStr">
        <is>
          <t>Pas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 (sursă)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1</t>
        </is>
      </c>
      <c r="B6" s="80" t="inlineStr">
        <is>
          <t>129</t>
        </is>
      </c>
      <c r="C6" s="80" t="inlineStr">
        <is>
          <t>1061</t>
        </is>
      </c>
      <c r="D6" s="80" t="inlineStr">
        <is>
          <t>MIN(5% × profit brut; 20% × capital vărsat − rezerva existentă)</t>
        </is>
      </c>
      <c r="E6" s="80" t="inlineStr">
        <is>
          <t>La 31.12.N</t>
        </is>
      </c>
      <c r="F6" s="80" t="inlineStr">
        <is>
          <t>art. 183 L. 31/1990 + art. 26 alin. (1) lit. a) CF</t>
        </is>
      </c>
    </row>
    <row r="7">
      <c r="A7" s="80" t="inlineStr">
        <is>
          <t>2</t>
        </is>
      </c>
      <c r="B7" s="80" t="inlineStr">
        <is>
          <t>121</t>
        </is>
      </c>
      <c r="C7" s="80" t="inlineStr">
        <is>
          <t>129</t>
        </is>
      </c>
      <c r="D7" s="80">
        <f> rezerva constituită</f>
        <v/>
      </c>
      <c r="E7" s="80" t="inlineStr">
        <is>
          <t>În ianuarie N+1</t>
        </is>
      </c>
      <c r="F7" s="80" t="inlineStr">
        <is>
          <t>129 are sold DEBITOR → se închide prin creditare. NU `129 = 1171`</t>
        </is>
      </c>
    </row>
    <row r="8">
      <c r="A8" s="80" t="inlineStr">
        <is>
          <t>3</t>
        </is>
      </c>
      <c r="B8" s="80" t="inlineStr">
        <is>
          <t>121</t>
        </is>
      </c>
      <c r="C8" s="80" t="inlineStr">
        <is>
          <t>1171</t>
        </is>
      </c>
      <c r="D8" s="80" t="inlineStr">
        <is>
          <t>profit rămas nerepartizat</t>
        </is>
      </c>
      <c r="E8" s="80" t="inlineStr">
        <is>
          <t>În ianuarie N+1</t>
        </is>
      </c>
      <c r="F8" s="80" t="inlineStr">
        <is>
          <t>1171 cu analitic PE AN (C-21)</t>
        </is>
      </c>
    </row>
    <row r="9">
      <c r="A9" s="80" t="inlineStr">
        <is>
          <t>4</t>
        </is>
      </c>
      <c r="B9" s="80" t="inlineStr">
        <is>
          <t>1171</t>
        </is>
      </c>
      <c r="C9" s="80" t="inlineStr">
        <is>
          <t>457</t>
        </is>
      </c>
      <c r="D9" s="80" t="inlineStr">
        <is>
          <t>dividende aprobate</t>
        </is>
      </c>
      <c r="E9" s="80" t="inlineStr">
        <is>
          <t>După hotărârea AGA</t>
        </is>
      </c>
      <c r="F9" s="80" t="inlineStr">
        <is>
          <t>Impozit 16% pentru distribuiri de la 01.01.2026 (L. 141/2025); cota urmează data DISTRIBUIRII, nu a plății</t>
        </is>
      </c>
    </row>
    <row r="10">
      <c r="A10" s="80" t="inlineStr">
        <is>
          <t>5</t>
        </is>
      </c>
      <c r="B10" s="80" t="inlineStr">
        <is>
          <t>1174</t>
        </is>
      </c>
      <c r="C10" s="80" t="inlineStr">
        <is>
          <t>401</t>
        </is>
      </c>
      <c r="D10" s="80" t="inlineStr">
        <is>
          <t>corecție eroare semnificativă an anterior</t>
        </is>
      </c>
      <c r="E10" s="80" t="inlineStr">
        <is>
          <t>Dacă e cazul</t>
        </is>
      </c>
      <c r="F10" s="80" t="inlineStr">
        <is>
          <t>Nu prin 628. Obligatoriu D101 rectificativ</t>
        </is>
      </c>
    </row>
    <row r="11">
      <c r="A11" s="80" t="inlineStr">
        <is>
          <t>6</t>
        </is>
      </c>
      <c r="B11" s="80" t="inlineStr">
        <is>
          <t>1171</t>
        </is>
      </c>
      <c r="C11" s="80" t="inlineStr">
        <is>
          <t>1174</t>
        </is>
      </c>
      <c r="D11" s="80">
        <f> baza corecției</f>
        <v/>
      </c>
      <c r="E11" s="80" t="inlineStr">
        <is>
          <t>După AGA</t>
        </is>
      </c>
      <c r="F11" s="80" t="inlineStr">
        <is>
          <t>1174 e tranzitoriu — nu poate rămâne cu sold (C-18)</t>
        </is>
      </c>
    </row>
    <row r="13">
      <c r="A13" s="79" t="inlineStr">
        <is>
          <t>Tabel B — Ordinea condițiilor înainte de dividende</t>
        </is>
      </c>
    </row>
    <row r="14">
      <c r="A14" s="82" t="inlineStr">
        <is>
          <t>#</t>
        </is>
      </c>
      <c r="B14" s="82" t="inlineStr">
        <is>
          <t>Condiție</t>
        </is>
      </c>
      <c r="C14" s="82" t="inlineStr">
        <is>
          <t>Efect dacă nu e îndeplinită</t>
        </is>
      </c>
      <c r="D14" s="82" t="inlineStr"/>
      <c r="E14" s="82" t="inlineStr"/>
      <c r="F14" s="82" t="inlineStr">
        <is>
          <t>Temei</t>
        </is>
      </c>
    </row>
    <row r="15">
      <c r="A15" s="80" t="inlineStr">
        <is>
          <t>1</t>
        </is>
      </c>
      <c r="B15" s="80" t="inlineStr">
        <is>
          <t>Rezerva legală constituită</t>
        </is>
      </c>
      <c r="C15" s="80" t="inlineStr">
        <is>
          <t>Nu se pot distribui dividende</t>
        </is>
      </c>
      <c r="D15" s="80" t="inlineStr"/>
      <c r="E15" s="80" t="inlineStr"/>
      <c r="F15" s="80" t="inlineStr">
        <is>
          <t>art. 183 L. 31/1990</t>
        </is>
      </c>
    </row>
    <row r="16">
      <c r="A16" s="80" t="inlineStr">
        <is>
          <t>2</t>
        </is>
      </c>
      <c r="B16" s="80" t="inlineStr">
        <is>
          <t>Pierderea contabilă reportată acoperită integral</t>
        </is>
      </c>
      <c r="C16" s="80" t="inlineStr">
        <is>
          <t>Nu se pot distribui dividende</t>
        </is>
      </c>
      <c r="D16" s="80" t="inlineStr"/>
      <c r="E16" s="80" t="inlineStr"/>
      <c r="F16" s="80" t="inlineStr">
        <is>
          <t>art. 67 L. 31/1990</t>
        </is>
      </c>
    </row>
    <row r="17">
      <c r="A17" s="80" t="inlineStr">
        <is>
          <t>3</t>
        </is>
      </c>
      <c r="B17" s="80" t="inlineStr">
        <is>
          <t>Activ net ≥ ½ din capitalul social subscris</t>
        </is>
      </c>
      <c r="C17" s="80" t="inlineStr">
        <is>
          <t>Blocaj dividende ȘI blocaj restituire împrumuturi de la asociați; amenzi 10.000–300.000 lei; răspundere solidară pentru obligațiile fiscale</t>
        </is>
      </c>
      <c r="D17" s="80" t="inlineStr"/>
      <c r="E17" s="80" t="inlineStr"/>
      <c r="F17" s="80" t="inlineStr">
        <is>
          <t>L. 239/2025 (modifică L. 31/1990)</t>
        </is>
      </c>
    </row>
    <row r="19">
      <c r="A19" s="79" t="inlineStr">
        <is>
          <t>Tabel C — Porți de calitate</t>
        </is>
      </c>
    </row>
    <row r="20">
      <c r="A20" s="80" t="inlineStr">
        <is>
          <t>• ΣDr = ΣCr pe fiecare bloc</t>
        </is>
      </c>
    </row>
    <row r="21">
      <c r="A21" s="80" t="inlineStr">
        <is>
          <t>• După înregistrare: sold 121 = 0 și sold 129 = 0 (C-16)</t>
        </is>
      </c>
    </row>
    <row r="22">
      <c r="A22" s="80" t="inlineStr">
        <is>
          <t>• Sold 1061 ≤ 20% × capital vărsat (C-17)</t>
        </is>
      </c>
    </row>
    <row r="23">
      <c r="A23" s="80" t="inlineStr">
        <is>
          <t>• Sold 1174 = 0 la 31.12 (C-18)</t>
        </is>
      </c>
    </row>
    <row r="24">
      <c r="A24" s="80" t="inlineStr">
        <is>
          <t>• 1171 are analitic pe an, cu sens D/C explicit (C-21)</t>
        </is>
      </c>
    </row>
    <row r="25">
      <c r="A25" s="80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MOD_CAPITALURI — Jurnale (generate automat)</t>
        </is>
      </c>
    </row>
    <row r="2">
      <c r="A2" s="78" t="inlineStr">
        <is>
          <t>Nu se scrie nimic manual. Toate sumele și descrierile derivă din Declarații_CAPITALURI.</t>
        </is>
      </c>
    </row>
    <row r="4">
      <c r="A4" s="79" t="inlineStr">
        <is>
          <t>Bloc 1 — Constituirea rezervei legale (31.12.N)</t>
        </is>
      </c>
    </row>
    <row r="5">
      <c r="A5" s="80" t="inlineStr">
        <is>
          <t>Data jurnal:</t>
        </is>
      </c>
      <c r="B5" s="80" t="str">
        <f>Declarații_CAPITALURI!B7</f>
        <v>2026-12-31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>
        <f>Declarații_CAPITALURI!B39</f>
        <v>129</v>
      </c>
      <c r="C8" s="80">
        <f>Declarații_CAPITALURI!B23</f>
        <v>125</v>
      </c>
      <c r="D8" s="80" t="str">
        <f>"Repartizare profit la rezerva legală " &amp; Declarații_CAPITALURI!B48</f>
        <v>Repartizare profit la rezerva legală — repartizare rezultat 2026</v>
      </c>
      <c r="E8" s="80">
        <f>Declarații_CAPITALURI!B40</f>
        <v>1061</v>
      </c>
      <c r="F8" s="80">
        <f>Declarații_CAPITALURI!B23</f>
        <v>125</v>
      </c>
      <c r="G8" s="80" t="str">
        <f>"Rezervă legală constituită " &amp; Declarații_CAPITALURI!B48</f>
        <v>Rezervă legală constituită — repartizare rezultat 2026</v>
      </c>
    </row>
    <row r="10">
      <c r="A10" s="79" t="inlineStr">
        <is>
          <t>Bloc 2 — Închiderea contului 121 (ianuarie N+1)</t>
        </is>
      </c>
    </row>
    <row r="11">
      <c r="A11" s="80" t="inlineStr">
        <is>
          <t>Data jurnal:</t>
        </is>
      </c>
      <c r="B11" s="80" t="str">
        <f>Declarații_CAPITALURI!B8</f>
        <v>2027-01-05</v>
      </c>
    </row>
    <row r="13">
      <c r="A13" s="82" t="inlineStr">
        <is>
          <t>Nr</t>
        </is>
      </c>
      <c r="B13" s="82" t="inlineStr">
        <is>
          <t>Cont Dr</t>
        </is>
      </c>
      <c r="C13" s="82" t="inlineStr">
        <is>
          <t>Sumă Dr</t>
        </is>
      </c>
      <c r="D13" s="82" t="inlineStr">
        <is>
          <t>Descriere Dr</t>
        </is>
      </c>
      <c r="E13" s="82" t="inlineStr">
        <is>
          <t>Cont Cr</t>
        </is>
      </c>
      <c r="F13" s="82" t="inlineStr">
        <is>
          <t>Sumă Cr</t>
        </is>
      </c>
      <c r="G13" s="82" t="inlineStr">
        <is>
          <t>Descriere Cr</t>
        </is>
      </c>
    </row>
    <row r="14">
      <c r="A14" s="80" t="n">
        <v>1</v>
      </c>
      <c r="B14" s="80">
        <f>Declarații_CAPITALURI!B38</f>
        <v>121</v>
      </c>
      <c r="C14" s="80">
        <f>Declarații_CAPITALURI!B23</f>
        <v>125</v>
      </c>
      <c r="D14" s="80" t="str">
        <f>"Închidere 121 — partea repartizată " &amp; Declarații_CAPITALURI!B48</f>
        <v>Închidere 121 — partea repartizată — repartizare rezultat 2026</v>
      </c>
      <c r="E14" s="80">
        <f>Declarații_CAPITALURI!B39</f>
        <v>129</v>
      </c>
      <c r="F14" s="80">
        <f>Declarații_CAPITALURI!B23</f>
        <v>125</v>
      </c>
      <c r="G14" s="80" t="str">
        <f>"Stingere repartizare " &amp; Declarații_CAPITALURI!B48</f>
        <v>Stingere repartizare — repartizare rezultat 2026</v>
      </c>
    </row>
    <row r="15">
      <c r="A15" s="80" t="n">
        <v>2</v>
      </c>
      <c r="B15" s="80">
        <f>Declarații_CAPITALURI!B38</f>
        <v>121</v>
      </c>
      <c r="C15" s="80">
        <f>Declarații_CAPITALURI!B27</f>
        <v>2375</v>
      </c>
      <c r="D15" s="80" t="str">
        <f>"Închidere 121 — profit reportat " &amp; Declarații_CAPITALURI!B48</f>
        <v>Închidere 121 — profit reportat — repartizare rezultat 2026</v>
      </c>
      <c r="E15" s="80" t="str">
        <f>Declarații_CAPITALURI!B41</f>
        <v>1171.2026</v>
      </c>
      <c r="F15" s="80">
        <f>Declarații_CAPITALURI!B27</f>
        <v>2375</v>
      </c>
      <c r="G15" s="80" t="str">
        <f>"Report rezultat pe an " &amp; Declarații_CAPITALURI!B48</f>
        <v>Report rezultat pe an — repartizare rezultat 2026</v>
      </c>
    </row>
    <row r="17">
      <c r="A17" s="79" t="inlineStr">
        <is>
          <t>Bloc 3 — Dividende (după hotărârea AGA)</t>
        </is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 t="str">
        <f>Declarații_CAPITALURI!B41</f>
        <v>1171.2026</v>
      </c>
      <c r="C19" s="80">
        <f>Declarații_CAPITALURI!B28</f>
        <v>2375</v>
      </c>
      <c r="D19" s="80" t="str">
        <f>"Dividende aprobate AGA " &amp; Declarații_CAPITALURI!B48</f>
        <v>Dividende aprobate AGA — repartizare rezultat 2026</v>
      </c>
      <c r="E19" s="80">
        <f>Declarații_CAPITALURI!B42</f>
        <v>457</v>
      </c>
      <c r="F19" s="80">
        <f>Declarații_CAPITALURI!B28</f>
        <v>2375</v>
      </c>
      <c r="G19" s="80" t="str">
        <f>"Dividende de plată " &amp; Declarații_CAPITALURI!B48</f>
        <v>Dividende de plată — repartizare rezultat 2026</v>
      </c>
    </row>
    <row r="21">
      <c r="A21" s="79" t="inlineStr">
        <is>
          <t>Bloc 4 — Corecție eroare exercițiu anterior (1174)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>
        <f>Declarații_CAPITALURI!B43</f>
        <v>1174</v>
      </c>
      <c r="C23" s="80">
        <f>Declarații_CAPITALURI!B33</f>
        <v>0</v>
      </c>
      <c r="D23" s="80" t="str">
        <f>"Corecție eroare exercițiu anterior " &amp; Declarații_CAPITALURI!B48</f>
        <v>Corecție eroare exercițiu anterior — repartizare rezultat 2026</v>
      </c>
      <c r="E23" s="80" t="str">
        <f>Declarații_CAPITALURI!B44</f>
        <v>401.RO</v>
      </c>
      <c r="F23" s="80">
        <f>Declarații_CAPITALURI!B33</f>
        <v>0</v>
      </c>
      <c r="G23" s="80" t="str">
        <f>"Datorie furnizor din corecție " &amp; Declarații_CAPITALURI!B48</f>
        <v>Datorie furnizor din corecție — repartizare rezultat 2026</v>
      </c>
    </row>
    <row r="24">
      <c r="A24" s="80" t="n">
        <v>2</v>
      </c>
      <c r="B24" s="80">
        <f>Declarații_CAPITALURI!B45</f>
        <v>4426</v>
      </c>
      <c r="C24" s="80">
        <f>Declarații_CAPITALURI!B34</f>
        <v>0</v>
      </c>
      <c r="D24" s="80" t="str">
        <f>"TVA din corecție — se deduce în decontul curent " &amp; Declarații_CAPITALURI!B48</f>
        <v>TVA din corecție — se deduce în decontul curent — repartizare rezultat 2026</v>
      </c>
      <c r="E24" s="80" t="str">
        <f>Declarații_CAPITALURI!B44</f>
        <v>401.RO</v>
      </c>
      <c r="F24" s="80">
        <f>Declarații_CAPITALURI!B34</f>
        <v>0</v>
      </c>
      <c r="G24" s="80" t="str">
        <f>"Datorie furnizor — TVA " &amp; Declarații_CAPITALURI!B48</f>
        <v>Datorie furnizor — TVA — repartizare rezultat 2026</v>
      </c>
    </row>
    <row r="25">
      <c r="A25" s="80" t="n">
        <v>3</v>
      </c>
      <c r="B25" s="80" t="str">
        <f>Declarații_CAPITALURI!B41</f>
        <v>1171.2026</v>
      </c>
      <c r="C25" s="80">
        <f>Declarații_CAPITALURI!B33</f>
        <v>0</v>
      </c>
      <c r="D25" s="80" t="str">
        <f>"Închiderea contului tranzitoriu 1174 " &amp; Declarații_CAPITALURI!B48</f>
        <v>Închiderea contului tranzitoriu 1174 — repartizare rezultat 2026</v>
      </c>
      <c r="E25" s="80">
        <f>Declarații_CAPITALURI!B43</f>
        <v>1174</v>
      </c>
      <c r="F25" s="80">
        <f>Declarații_CAPITALURI!B33</f>
        <v>0</v>
      </c>
      <c r="G25" s="80" t="str">
        <f>"Stingere 1174 " &amp; Declarații_CAPITALURI!B48</f>
        <v>Stingere 1174 — repartizare rezultat 2026</v>
      </c>
    </row>
    <row r="27">
      <c r="A27" s="79" t="inlineStr">
        <is>
          <t>Sumar și controale</t>
        </is>
      </c>
    </row>
    <row r="28">
      <c r="A28" s="80" t="inlineStr">
        <is>
          <t>Total Dr</t>
        </is>
      </c>
      <c r="B28" s="80">
        <f>C8+C14+C15+C19+C23+C24+C25</f>
        <v>5000</v>
      </c>
    </row>
    <row r="29">
      <c r="A29" s="80" t="inlineStr">
        <is>
          <t>Total Cr</t>
        </is>
      </c>
      <c r="B29" s="80">
        <f>F8+F14+F15+F19+F23+F24+F25</f>
        <v>5000</v>
      </c>
    </row>
    <row r="30">
      <c r="A30" s="80" t="inlineStr">
        <is>
          <t>Check Σ (structural)</t>
        </is>
      </c>
      <c r="B30" s="80">
        <f>B28-B29</f>
        <v>0</v>
      </c>
      <c r="C30" s="80" t="str">
        <f>IF(ABS(B28-B29)&lt;0.01,"OK — notele se închid","EROARE")</f>
        <v>OK — notele se închid</v>
      </c>
    </row>
    <row r="31">
      <c r="A31" s="80" t="inlineStr">
        <is>
          <t>Check închidere 121 (C-16)</t>
        </is>
      </c>
      <c r="B31" s="80">
        <f>Declarații_CAPITALURI!B11-(C14+C15)</f>
        <v>0</v>
      </c>
      <c r="C31" s="80" t="str">
        <f>IF(ABS(Declarații_CAPITALURI!B11-(C14+C15))&lt;0.01,"OK — 121 se închide integral","EROARE — 121 rămâne cu sold")</f>
        <v>OK — 121 se închide integral</v>
      </c>
    </row>
    <row r="32">
      <c r="A32" s="80" t="inlineStr">
        <is>
          <t>Check plafon rezervă (C-17)</t>
        </is>
      </c>
      <c r="B32" s="80">
        <f>Declarații_CAPITALURI!B14+C8</f>
        <v>125</v>
      </c>
      <c r="C32" s="80" t="str">
        <f>IF(Declarații_CAPITALURI!B14+C8&lt;=Declarații_CAPITALURI!B21+0.001,"OK — sub 20% din capitalul vărsat","EROARE — depășire plafon")</f>
        <v>OK — sub 20% din capitalul vărsat</v>
      </c>
    </row>
    <row r="33">
      <c r="A33" s="80" t="inlineStr">
        <is>
          <t>Check 1174 (C-18)</t>
        </is>
      </c>
      <c r="B33" s="80">
        <f>C23-C25</f>
        <v>0</v>
      </c>
      <c r="C33" s="80" t="str">
        <f>IF(ABS(C23-C25)&lt;0.01,"OK — 1174 se închide în 1171","EROARE — 1174 rămâne cu sold")</f>
        <v>OK — 1174 se închide în 1171</v>
      </c>
    </row>
    <row r="34">
      <c r="A34" s="78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MOD_CAPITALURI — Notă pentru import (1 rând = 1 înregistrare)</t>
        </is>
      </c>
    </row>
    <row r="2">
      <c r="A2" s="78" t="inlineStr">
        <is>
          <t>Filtrează pe coloana Include = DA înainte de import. Echilibrul se verifică pe bloc în Jurnale, nu pe totalul listei.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Rezervă legală</t>
        </is>
      </c>
      <c r="C5" s="80" t="str">
        <f>Declarații_CAPITALURI!B7</f>
        <v>2026-12-31</v>
      </c>
      <c r="D5" s="80">
        <f>Jurnale_CAPITALURI!B8</f>
        <v>129</v>
      </c>
      <c r="E5" s="80">
        <f>Jurnale_CAPITALURI!E8</f>
        <v>1061</v>
      </c>
      <c r="F5" s="80">
        <f>Jurnale_CAPITALURI!C8</f>
        <v>125</v>
      </c>
      <c r="G5" s="80" t="str">
        <f>Jurnale_CAPITALURI!D8</f>
        <v>Repartizare profit la rezerva legală — repartizare rezultat 2026</v>
      </c>
      <c r="H5" s="80" t="inlineStr">
        <is>
          <t>Notă contabilă 31.12</t>
        </is>
      </c>
      <c r="I5" s="39" t="str">
        <f>IF(F5&gt;0,"DA","NU")</f>
        <v>DA</v>
      </c>
    </row>
    <row r="6">
      <c r="A6" s="80" t="n">
        <v>2</v>
      </c>
      <c r="B6" s="80" t="inlineStr">
        <is>
          <t>Bloc 2 — Închidere 121</t>
        </is>
      </c>
      <c r="C6" s="80" t="str">
        <f>Declarații_CAPITALURI!B8</f>
        <v>2027-01-05</v>
      </c>
      <c r="D6" s="80">
        <f>Jurnale_CAPITALURI!B14</f>
        <v>121</v>
      </c>
      <c r="E6" s="80">
        <f>Jurnale_CAPITALURI!E14</f>
        <v>129</v>
      </c>
      <c r="F6" s="80">
        <f>Jurnale_CAPITALURI!C14</f>
        <v>125</v>
      </c>
      <c r="G6" s="80" t="str">
        <f>Jurnale_CAPITALURI!D14</f>
        <v>Închidere 121 — partea repartizată — repartizare rezultat 2026</v>
      </c>
      <c r="H6" s="80" t="inlineStr">
        <is>
          <t>Notă de închidere</t>
        </is>
      </c>
      <c r="I6" s="39" t="str">
        <f>IF(F6&gt;0,"DA","NU")</f>
        <v>DA</v>
      </c>
    </row>
    <row r="7">
      <c r="A7" s="80" t="n">
        <v>3</v>
      </c>
      <c r="B7" s="80" t="inlineStr">
        <is>
          <t>Bloc 2 — Închidere 121</t>
        </is>
      </c>
      <c r="C7" s="80" t="str">
        <f>Declarații_CAPITALURI!B8</f>
        <v>2027-01-05</v>
      </c>
      <c r="D7" s="80">
        <f>Jurnale_CAPITALURI!B15</f>
        <v>121</v>
      </c>
      <c r="E7" s="80" t="str">
        <f>Jurnale_CAPITALURI!E15</f>
        <v>1171.2026</v>
      </c>
      <c r="F7" s="80">
        <f>Jurnale_CAPITALURI!C15</f>
        <v>2375</v>
      </c>
      <c r="G7" s="80" t="str">
        <f>Jurnale_CAPITALURI!D15</f>
        <v>Închidere 121 — profit reportat — repartizare rezultat 2026</v>
      </c>
      <c r="H7" s="80" t="inlineStr">
        <is>
          <t>Notă de închidere</t>
        </is>
      </c>
      <c r="I7" s="39" t="str">
        <f>IF(F7&gt;0,"DA","NU")</f>
        <v>DA</v>
      </c>
    </row>
    <row r="8">
      <c r="A8" s="80" t="n">
        <v>4</v>
      </c>
      <c r="B8" s="80" t="inlineStr">
        <is>
          <t>Bloc 3 — Dividende</t>
        </is>
      </c>
      <c r="C8" s="80" t="str">
        <f>Declarații_CAPITALURI!B8</f>
        <v>2027-01-05</v>
      </c>
      <c r="D8" s="80" t="str">
        <f>Jurnale_CAPITALURI!B19</f>
        <v>1171.2026</v>
      </c>
      <c r="E8" s="80">
        <f>Jurnale_CAPITALURI!E19</f>
        <v>457</v>
      </c>
      <c r="F8" s="80">
        <f>Jurnale_CAPITALURI!C19</f>
        <v>2375</v>
      </c>
      <c r="G8" s="80" t="str">
        <f>Jurnale_CAPITALURI!D19</f>
        <v>Dividende aprobate AGA — repartizare rezultat 2026</v>
      </c>
      <c r="H8" s="80" t="inlineStr">
        <is>
          <t>Hotărâre AGA</t>
        </is>
      </c>
      <c r="I8" s="39" t="str">
        <f>IF(F8&gt;0,"DA","NU")</f>
        <v>DA</v>
      </c>
    </row>
    <row r="9">
      <c r="A9" s="80" t="n">
        <v>5</v>
      </c>
      <c r="B9" s="80" t="inlineStr">
        <is>
          <t>Bloc 4 — Corecție 1174</t>
        </is>
      </c>
      <c r="C9" s="80" t="str">
        <f>Declarații_CAPITALURI!B8</f>
        <v>2027-01-05</v>
      </c>
      <c r="D9" s="80">
        <f>Jurnale_CAPITALURI!B23</f>
        <v>1174</v>
      </c>
      <c r="E9" s="80" t="str">
        <f>Jurnale_CAPITALURI!E23</f>
        <v>401.RO</v>
      </c>
      <c r="F9" s="80">
        <f>Jurnale_CAPITALURI!C23</f>
        <v>0</v>
      </c>
      <c r="G9" s="80" t="str">
        <f>Jurnale_CAPITALURI!D23</f>
        <v>Corecție eroare exercițiu anterior — repartizare rezultat 2026</v>
      </c>
      <c r="H9" s="80" t="inlineStr">
        <is>
          <t>Factură an anterior</t>
        </is>
      </c>
      <c r="I9" s="39" t="str">
        <f>IF(F9&gt;0,"DA","NU")</f>
        <v>NU</v>
      </c>
    </row>
    <row r="10">
      <c r="A10" s="80" t="n">
        <v>6</v>
      </c>
      <c r="B10" s="80" t="inlineStr">
        <is>
          <t>Bloc 4 — Corecție 1174</t>
        </is>
      </c>
      <c r="C10" s="80" t="str">
        <f>Declarații_CAPITALURI!B8</f>
        <v>2027-01-05</v>
      </c>
      <c r="D10" s="80">
        <f>Jurnale_CAPITALURI!B24</f>
        <v>4426</v>
      </c>
      <c r="E10" s="80" t="str">
        <f>Jurnale_CAPITALURI!E24</f>
        <v>401.RO</v>
      </c>
      <c r="F10" s="80">
        <f>Jurnale_CAPITALURI!C24</f>
        <v>0</v>
      </c>
      <c r="G10" s="80" t="str">
        <f>Jurnale_CAPITALURI!D24</f>
        <v>TVA din corecție — se deduce în decontul curent — repartizare rezultat 2026</v>
      </c>
      <c r="H10" s="80" t="inlineStr">
        <is>
          <t>Factură an anterior</t>
        </is>
      </c>
      <c r="I10" s="39" t="str">
        <f>IF(F10&gt;0,"DA","NU")</f>
        <v>NU</v>
      </c>
    </row>
    <row r="11">
      <c r="A11" s="80" t="n">
        <v>7</v>
      </c>
      <c r="B11" s="80" t="inlineStr">
        <is>
          <t>Bloc 4 — Corecție 1174</t>
        </is>
      </c>
      <c r="C11" s="80" t="str">
        <f>Declarații_CAPITALURI!B8</f>
        <v>2027-01-05</v>
      </c>
      <c r="D11" s="80" t="str">
        <f>Jurnale_CAPITALURI!B25</f>
        <v>1171.2026</v>
      </c>
      <c r="E11" s="80">
        <f>Jurnale_CAPITALURI!E25</f>
        <v>1174</v>
      </c>
      <c r="F11" s="80">
        <f>Jurnale_CAPITALURI!C25</f>
        <v>0</v>
      </c>
      <c r="G11" s="80" t="str">
        <f>Jurnale_CAPITALURI!D25</f>
        <v>Închiderea contului tranzitoriu 1174 — repartizare rezultat 2026</v>
      </c>
      <c r="H11" s="80" t="inlineStr">
        <is>
          <t>Notă contabilă</t>
        </is>
      </c>
      <c r="I11" s="39" t="str">
        <f>IF(F11&gt;0,"DA","NU")</f>
        <v>NU</v>
      </c>
    </row>
    <row r="13">
      <c r="A13" s="80" t="inlineStr">
        <is>
          <t>Rânduri de importat (Include=DA)</t>
        </is>
      </c>
      <c r="B13" s="80">
        <f>COUNTIF(I5:I11,"DA")</f>
        <v>4</v>
      </c>
    </row>
    <row r="14">
      <c r="A14" s="80" t="inlineStr">
        <is>
          <t>Check global (trebuie 0)</t>
        </is>
      </c>
      <c r="B14" s="80">
        <f>Jurnale_CAPITALURI!B28-Jurnale_CAPITALURI!B29</f>
        <v>0</v>
      </c>
      <c r="C14" s="80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7" t="inlineStr">
        <is>
          <t>MOD_LEASING_FIN — Declarații (input)</t>
        </is>
      </c>
    </row>
    <row r="2">
      <c r="A2" s="78" t="inlineStr">
        <is>
          <t>Valorile implicite reproduc monografia din trainingul 07.08.2026 (contract 150.000, avans 50.000, rată 2.000, dobândă 500, comision 100, CASCO 20).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Număr contract de leasing</t>
        </is>
      </c>
      <c r="B6" s="81" t="inlineStr">
        <is>
          <t>LF-2026-001</t>
        </is>
      </c>
      <c r="C6" s="78" t="inlineStr">
        <is>
          <t>167 este 1-la-1 cu contractul (C-19)</t>
        </is>
      </c>
    </row>
    <row r="7">
      <c r="A7" s="80" t="inlineStr">
        <is>
          <t>Luna</t>
        </is>
      </c>
      <c r="B7" s="81" t="inlineStr">
        <is>
          <t>2026-07</t>
        </is>
      </c>
    </row>
    <row r="8">
      <c r="A8" s="80" t="inlineStr">
        <is>
          <t>Data facturii de avans</t>
        </is>
      </c>
      <c r="B8" s="81" t="inlineStr">
        <is>
          <t>2026-07-01</t>
        </is>
      </c>
    </row>
    <row r="9">
      <c r="A9" s="80" t="inlineStr">
        <is>
          <t>Data recepției bunului</t>
        </is>
      </c>
      <c r="B9" s="81" t="inlineStr">
        <is>
          <t>2026-07-10</t>
        </is>
      </c>
    </row>
    <row r="10">
      <c r="A10" s="80" t="inlineStr">
        <is>
          <t>Data facturii lunare</t>
        </is>
      </c>
      <c r="B10" s="81" t="inlineStr">
        <is>
          <t>2026-07-31</t>
        </is>
      </c>
    </row>
    <row r="12">
      <c r="A12" s="79" t="inlineStr">
        <is>
          <t>2. Contract</t>
        </is>
      </c>
    </row>
    <row r="13">
      <c r="A13" s="80" t="inlineStr">
        <is>
          <t>Valoare de intrare din contract (fără TVA)</t>
        </is>
      </c>
      <c r="B13" s="81" t="n">
        <v>150000</v>
      </c>
    </row>
    <row r="14">
      <c r="A14" s="80" t="inlineStr">
        <is>
          <t>Avans (fără TVA)</t>
        </is>
      </c>
      <c r="B14" s="81" t="n">
        <v>50000</v>
      </c>
    </row>
    <row r="15">
      <c r="A15" s="80" t="inlineStr">
        <is>
          <t>Durata de amortizare (luni)</t>
        </is>
      </c>
      <c r="B15" s="81" t="n">
        <v>60</v>
      </c>
    </row>
    <row r="16">
      <c r="A16" s="80" t="inlineStr">
        <is>
          <t>Cotă TVA</t>
        </is>
      </c>
      <c r="B16" s="80">
        <f>Parametri!B10</f>
        <v>0.21</v>
      </c>
    </row>
    <row r="18">
      <c r="A18" s="79" t="inlineStr">
        <is>
          <t>3. Regim fiscal al vehiculului</t>
        </is>
      </c>
    </row>
    <row r="19">
      <c r="A19" s="80" t="inlineStr">
        <is>
          <t>Regim (MIXT / EXCLUSIV / EXCEPTAT)</t>
        </is>
      </c>
      <c r="B19" s="81" t="inlineStr">
        <is>
          <t>MIXT</t>
        </is>
      </c>
      <c r="C19" s="78" t="inlineStr">
        <is>
          <t>MIXT = 50%. EXCLUSIV/EXCEPTAT = 100%, dar cere documentație (foi de parcurs, decizie internă)</t>
        </is>
      </c>
    </row>
    <row r="20">
      <c r="A20" s="80" t="inlineStr">
        <is>
          <t>Procent de deducere aplicat</t>
        </is>
      </c>
      <c r="B20" s="80">
        <f>IF(B19="MIXT",Parametri!B19,1)</f>
        <v>0.5</v>
      </c>
    </row>
    <row r="21">
      <c r="A21" s="80" t="inlineStr">
        <is>
          <t>TVA nededusă pe rata de capital: CAPITALIZEAZA / CHELTUIALA</t>
        </is>
      </c>
      <c r="B21" s="81" t="inlineStr">
        <is>
          <t>CAPITALIZEAZA</t>
        </is>
      </c>
      <c r="C21" s="78" t="inlineStr">
        <is>
          <t>❓ De clarificat cu formatorul — practica e împărțită. Capitalizarea e coerentă cu tratamentul avansului (pct. 75 OMFP 1802)</t>
        </is>
      </c>
    </row>
    <row r="23">
      <c r="A23" s="79" t="inlineStr">
        <is>
          <t>4. Factura lunară de leasing</t>
        </is>
      </c>
    </row>
    <row r="24">
      <c r="A24" s="80" t="inlineStr">
        <is>
          <t>Rata de capital</t>
        </is>
      </c>
      <c r="B24" s="81" t="n">
        <v>2000</v>
      </c>
    </row>
    <row r="25">
      <c r="A25" s="80" t="inlineStr">
        <is>
          <t>Dobândă</t>
        </is>
      </c>
      <c r="B25" s="81" t="n">
        <v>500</v>
      </c>
    </row>
    <row r="26">
      <c r="A26" s="80" t="inlineStr">
        <is>
          <t>Comision de administrare</t>
        </is>
      </c>
      <c r="B26" s="81" t="n">
        <v>100</v>
      </c>
    </row>
    <row r="27">
      <c r="A27" s="80" t="inlineStr">
        <is>
          <t>CASCO (fără TVA)</t>
        </is>
      </c>
      <c r="B27" s="81" t="n">
        <v>20</v>
      </c>
    </row>
    <row r="29">
      <c r="A29" s="79" t="inlineStr">
        <is>
          <t>5. Calcul — intrarea bunului (nu edita)</t>
        </is>
      </c>
    </row>
    <row r="30">
      <c r="A30" s="80" t="inlineStr">
        <is>
          <t>TVA pe avans</t>
        </is>
      </c>
      <c r="B30" s="80">
        <f>B14*B16</f>
        <v>10500</v>
      </c>
    </row>
    <row r="31">
      <c r="A31" s="80" t="inlineStr">
        <is>
          <t>TVA nedeductibilă pe avans (capitalizată)</t>
        </is>
      </c>
      <c r="B31" s="80">
        <f>ROUND(B30*(1-B20),2)</f>
        <v>5250</v>
      </c>
    </row>
    <row r="32">
      <c r="A32" s="80" t="inlineStr">
        <is>
          <t>Valoare de intrare a mijlocului fix</t>
        </is>
      </c>
      <c r="B32" s="80">
        <f>B13+B31</f>
        <v>155250</v>
      </c>
      <c r="C32" s="78" t="inlineStr">
        <is>
          <t>150.000 + 5.250 = 155.250 în exemplul din training</t>
        </is>
      </c>
    </row>
    <row r="33">
      <c r="A33" s="80" t="inlineStr">
        <is>
          <t>Amortizare contabilă lunară</t>
        </is>
      </c>
      <c r="B33" s="80">
        <f>ROUND(B32/B15,2)</f>
        <v>2587.5</v>
      </c>
    </row>
    <row r="34">
      <c r="A34" s="80" t="inlineStr">
        <is>
          <t>Amortizare deductibilă fiscal</t>
        </is>
      </c>
      <c r="B34" s="80">
        <f>MIN(B33,Parametri!B20)</f>
        <v>1500</v>
      </c>
      <c r="C34" s="78" t="inlineStr">
        <is>
          <t>Plafon 1.500 lei/lună, art. 28 alin. (14) CF</t>
        </is>
      </c>
    </row>
    <row r="35">
      <c r="A35" s="80" t="inlineStr">
        <is>
          <t>Amortizare NEdeductibilă lunară</t>
        </is>
      </c>
      <c r="B35" s="80">
        <f>B33-B34</f>
        <v>1087.5</v>
      </c>
    </row>
    <row r="37">
      <c r="A37" s="79" t="inlineStr">
        <is>
          <t>6. Calcul — factura lunară (nu edita)</t>
        </is>
      </c>
    </row>
    <row r="38">
      <c r="A38" s="80" t="inlineStr">
        <is>
          <t>TVA pe rata de capital</t>
        </is>
      </c>
      <c r="B38" s="80">
        <f>B24*B16</f>
        <v>420</v>
      </c>
    </row>
    <row r="39">
      <c r="A39" s="80" t="inlineStr">
        <is>
          <t>TVA pe dobândă</t>
        </is>
      </c>
      <c r="B39" s="80">
        <f>B25*B16</f>
        <v>105</v>
      </c>
    </row>
    <row r="40">
      <c r="A40" s="80" t="inlineStr">
        <is>
          <t>TVA pe comision</t>
        </is>
      </c>
      <c r="B40" s="80">
        <f>B26*B16</f>
        <v>21</v>
      </c>
    </row>
    <row r="41">
      <c r="A41" s="80" t="inlineStr">
        <is>
          <t>TVA total pe factură</t>
        </is>
      </c>
      <c r="B41" s="80">
        <f>B38+B39+B40</f>
        <v>546</v>
      </c>
      <c r="C41" s="78" t="inlineStr">
        <is>
          <t>CASCO e fără TVA</t>
        </is>
      </c>
    </row>
    <row r="42">
      <c r="A42" s="80" t="inlineStr">
        <is>
          <t>Total factură</t>
        </is>
      </c>
      <c r="B42" s="80">
        <f>B24+B25+B26+B27+B41</f>
        <v>3166</v>
      </c>
    </row>
    <row r="44">
      <c r="A44" s="79" t="inlineStr">
        <is>
          <t>7. Calcul — corecția TVA nedeductibilă (limitarea 1)</t>
        </is>
      </c>
    </row>
    <row r="45">
      <c r="A45" s="80" t="inlineStr">
        <is>
          <t>TVA nededusă — rată</t>
        </is>
      </c>
      <c r="B45" s="80">
        <f>ROUND(B38*(1-B20),2)</f>
        <v>210</v>
      </c>
    </row>
    <row r="46">
      <c r="A46" s="80" t="inlineStr">
        <is>
          <t>TVA nededusă — dobândă</t>
        </is>
      </c>
      <c r="B46" s="80">
        <f>ROUND(B39*(1-B20),2)</f>
        <v>52.5</v>
      </c>
    </row>
    <row r="47">
      <c r="A47" s="80" t="inlineStr">
        <is>
          <t>TVA nededusă — comision</t>
        </is>
      </c>
      <c r="B47" s="80">
        <f>ROUND(B40*(1-B20),2)</f>
        <v>10.5</v>
      </c>
    </row>
    <row r="48">
      <c r="A48" s="80" t="inlineStr">
        <is>
          <t>TVA nededusă total</t>
        </is>
      </c>
      <c r="B48" s="80">
        <f>B45+B46+B47</f>
        <v>273</v>
      </c>
    </row>
    <row r="50">
      <c r="A50" s="79" t="inlineStr">
        <is>
          <t>8. Calcul — limitarea de 50% a cheltuielilor (limitarea 2)</t>
        </is>
      </c>
    </row>
    <row r="51">
      <c r="A51" s="78" t="inlineStr">
        <is>
          <t>Baza include TVA nedeductibilă deja trecută pe cheltuială. Amortizarea NU intră aici — are propria plafonare (limitarea 3).</t>
        </is>
      </c>
    </row>
    <row r="52">
      <c r="A52" s="80" t="inlineStr">
        <is>
          <t>Bază dobândă (dobândă + TVA nededusă)</t>
        </is>
      </c>
      <c r="B52" s="80">
        <f>B25+B46</f>
        <v>552.5</v>
      </c>
    </row>
    <row r="53">
      <c r="A53" s="80" t="inlineStr">
        <is>
          <t>Bază comision (comision + TVA nededusă)</t>
        </is>
      </c>
      <c r="B53" s="80">
        <f>B26+B47</f>
        <v>110.5</v>
      </c>
    </row>
    <row r="54">
      <c r="A54" s="80" t="inlineStr">
        <is>
          <t>Bază CASCO</t>
        </is>
      </c>
      <c r="B54" s="80">
        <f>B27</f>
        <v>20</v>
      </c>
    </row>
    <row r="55">
      <c r="A55" s="80" t="inlineStr">
        <is>
          <t>Dobândă nedeductibilă</t>
        </is>
      </c>
      <c r="B55" s="80">
        <f>ROUND(B52*(1-B20),2)</f>
        <v>276.25</v>
      </c>
    </row>
    <row r="56">
      <c r="A56" s="80" t="inlineStr">
        <is>
          <t>Comision nedeductibil</t>
        </is>
      </c>
      <c r="B56" s="80">
        <f>ROUND(B53*(1-B20),2)</f>
        <v>55.25</v>
      </c>
    </row>
    <row r="57">
      <c r="A57" s="80" t="inlineStr">
        <is>
          <t>CASCO nedeductibil</t>
        </is>
      </c>
      <c r="B57" s="80">
        <f>ROUND(B54*(1-B20),2)</f>
        <v>10</v>
      </c>
    </row>
    <row r="59">
      <c r="A59" s="79" t="inlineStr">
        <is>
          <t>9. Controale</t>
        </is>
      </c>
    </row>
    <row r="60">
      <c r="A60" s="80" t="inlineStr">
        <is>
          <t>Check valoare de intrare</t>
        </is>
      </c>
      <c r="B60" s="80">
        <f>B32</f>
        <v>155250</v>
      </c>
      <c r="C60" s="80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0" t="inlineStr">
        <is>
          <t>Check cele trei limitări</t>
        </is>
      </c>
      <c r="B61" s="80">
        <f>B35+B48+B55+B56+B57</f>
        <v>1702</v>
      </c>
      <c r="C61" s="80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0" t="inlineStr">
        <is>
          <t>Check plafon amortizare</t>
        </is>
      </c>
      <c r="B62" s="80">
        <f>B33</f>
        <v>2587.5</v>
      </c>
      <c r="C62" s="80" t="str">
        <f>IF(B33&gt;Parametri!B20,"ATENȚIE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0" t="inlineStr">
        <is>
          <t>Reminder: amortizarea NU se limitează cu 50%</t>
        </is>
      </c>
      <c r="B63" s="80" t="str">
        <f>"regulă"</f>
        <v>regulă</v>
      </c>
      <c r="C63" s="80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0" t="inlineStr">
        <is>
          <t>Reminder impozit local</t>
        </is>
      </c>
      <c r="B64" s="80" t="str">
        <f>B6</f>
        <v>LF-2026-001</v>
      </c>
      <c r="C64" s="80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79" t="inlineStr">
        <is>
          <t>10. Conturi</t>
        </is>
      </c>
    </row>
    <row r="67">
      <c r="A67" s="80" t="inlineStr">
        <is>
          <t>Cont avans imobilizări</t>
        </is>
      </c>
      <c r="B67" s="81" t="n">
        <v>4093</v>
      </c>
    </row>
    <row r="68">
      <c r="A68" s="80" t="inlineStr">
        <is>
          <t>Cont mijloc fix</t>
        </is>
      </c>
      <c r="B68" s="81" t="n">
        <v>2133</v>
      </c>
    </row>
    <row r="69">
      <c r="A69" s="80" t="inlineStr">
        <is>
          <t>Cont amortizare</t>
        </is>
      </c>
      <c r="B69" s="81" t="n">
        <v>2813</v>
      </c>
    </row>
    <row r="70">
      <c r="A70" s="80" t="inlineStr">
        <is>
          <t>Cont datorie leasing (analitic pe contract)</t>
        </is>
      </c>
      <c r="B70" s="81" t="inlineStr">
        <is>
          <t>167.LF-2026-001</t>
        </is>
      </c>
    </row>
    <row r="71">
      <c r="A71" s="80" t="inlineStr">
        <is>
          <t>Cont furnizor de imobilizări</t>
        </is>
      </c>
      <c r="B71" s="81" t="n">
        <v>404</v>
      </c>
    </row>
    <row r="72">
      <c r="A72" s="80" t="inlineStr">
        <is>
          <t>Cont TVA deductibilă</t>
        </is>
      </c>
      <c r="B72" s="81" t="n">
        <v>4426</v>
      </c>
    </row>
    <row r="73">
      <c r="A73" s="80" t="inlineStr">
        <is>
          <t>Cont dobândă</t>
        </is>
      </c>
      <c r="B73" s="81" t="n">
        <v>666</v>
      </c>
    </row>
    <row r="74">
      <c r="A74" s="80" t="inlineStr">
        <is>
          <t>Cont comision</t>
        </is>
      </c>
      <c r="B74" s="81" t="n">
        <v>628</v>
      </c>
      <c r="C74" s="78" t="inlineStr">
        <is>
          <t>Poate fi și 627 — fii consecvent cu politica firmei</t>
        </is>
      </c>
    </row>
    <row r="75">
      <c r="A75" s="80" t="inlineStr">
        <is>
          <t>Cont primă de asigurare</t>
        </is>
      </c>
      <c r="B75" s="81" t="n">
        <v>613</v>
      </c>
    </row>
    <row r="76">
      <c r="A76" s="80" t="inlineStr">
        <is>
          <t>Cont dobândă nedeductibilă</t>
        </is>
      </c>
      <c r="B76" s="81" t="inlineStr">
        <is>
          <t>666.NED</t>
        </is>
      </c>
    </row>
    <row r="77">
      <c r="A77" s="80" t="inlineStr">
        <is>
          <t>Cont comision nedeductibil</t>
        </is>
      </c>
      <c r="B77" s="81" t="inlineStr">
        <is>
          <t>628.NED</t>
        </is>
      </c>
    </row>
    <row r="78">
      <c r="A78" s="80" t="inlineStr">
        <is>
          <t>Cont CASCO nedeductibil</t>
        </is>
      </c>
      <c r="B78" s="81" t="inlineStr">
        <is>
          <t>613.NED</t>
        </is>
      </c>
      <c r="C78" s="78" t="inlineStr">
        <is>
          <t>⚠ NU 615 — acela e cheltuieli cu pregătirea personalului</t>
        </is>
      </c>
    </row>
    <row r="79">
      <c r="A79" s="80" t="inlineStr">
        <is>
          <t>Cont cheltuială pentru TVA nededusă pe rată</t>
        </is>
      </c>
      <c r="B79" s="81" t="n">
        <v>6588</v>
      </c>
    </row>
    <row r="80">
      <c r="A80" s="80" t="inlineStr">
        <is>
          <t>Cont cheltuială cu amortizarea</t>
        </is>
      </c>
      <c r="B80" s="81" t="n">
        <v>6811</v>
      </c>
    </row>
    <row r="82">
      <c r="A82" s="79" t="inlineStr">
        <is>
          <t>11. Sufix generat</t>
        </is>
      </c>
    </row>
    <row r="83">
      <c r="A83" s="80" t="inlineStr">
        <is>
          <t>Sufix</t>
        </is>
      </c>
      <c r="B83" s="80" t="str">
        <f>"— leasing " &amp; B6 &amp; " " &amp; B7</f>
        <v>— leasing LF-2026-001 2026-07</v>
      </c>
    </row>
    <row r="85">
      <c r="A85" s="80" t="inlineStr">
        <is>
          <t>Modul activ în CatalogModule?</t>
        </is>
      </c>
      <c r="B85" s="80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7" t="inlineStr">
        <is>
          <t>MOD_LEASING_FIN — Reguli (tabele fixe)</t>
        </is>
      </c>
    </row>
    <row r="2">
      <c r="A2" s="78" t="inlineStr">
        <is>
          <t>Se editează doar când se schimbă legea.</t>
        </is>
      </c>
    </row>
    <row r="4">
      <c r="A4" s="79" t="inlineStr">
        <is>
          <t>Tabel A — Cele trei limitări fiscale (se aplică simultan, pe baze diferite)</t>
        </is>
      </c>
    </row>
    <row r="5">
      <c r="A5" s="82" t="inlineStr">
        <is>
          <t>#</t>
        </is>
      </c>
      <c r="B5" s="82" t="inlineStr">
        <is>
          <t>Limitare</t>
        </is>
      </c>
      <c r="C5" s="82" t="inlineStr">
        <is>
          <t>Bază de aplicare</t>
        </is>
      </c>
      <c r="D5" s="82" t="inlineStr">
        <is>
          <t>Procent / plafon</t>
        </is>
      </c>
      <c r="E5" s="82" t="inlineStr">
        <is>
          <t>Temei</t>
        </is>
      </c>
      <c r="F5" s="82" t="inlineStr">
        <is>
          <t>Observație</t>
        </is>
      </c>
    </row>
    <row r="6">
      <c r="A6" s="80" t="inlineStr">
        <is>
          <t>1</t>
        </is>
      </c>
      <c r="B6" s="80" t="inlineStr">
        <is>
          <t>TVA deductibilă</t>
        </is>
      </c>
      <c r="C6" s="80" t="inlineStr">
        <is>
          <t>TVA de pe TOATE facturile aferente vehiculului</t>
        </is>
      </c>
      <c r="D6" s="80" t="inlineStr">
        <is>
          <t>50%</t>
        </is>
      </c>
      <c r="E6" s="80" t="inlineStr">
        <is>
          <t>art. 298 CF</t>
        </is>
      </c>
      <c r="F6" s="80" t="inlineStr">
        <is>
          <t>Inclusiv avansul și factura lunară</t>
        </is>
      </c>
    </row>
    <row r="7">
      <c r="A7" s="80" t="inlineStr">
        <is>
          <t>2</t>
        </is>
      </c>
      <c r="B7" s="80" t="inlineStr">
        <is>
          <t>Cheltuieli deductibile</t>
        </is>
      </c>
      <c r="C7" s="80" t="inlineStr">
        <is>
          <t>combustibil, întreținere, piese, chirii, asigurări, dobânzi, comisioane, diferențe de curs, INCLUSIV TVA nedeductibilă trecută pe cheltuială</t>
        </is>
      </c>
      <c r="D7" s="80" t="inlineStr">
        <is>
          <t>50%</t>
        </is>
      </c>
      <c r="E7" s="80" t="inlineStr">
        <is>
          <t>art. 25 alin. (3) lit. l) CF</t>
        </is>
      </c>
      <c r="F7" s="80" t="inlineStr">
        <is>
          <t>Deductibilitate limitată la UN SINGUR autoturism per persoană cu funcție de conducere (art. 25 alin. 3 lit. m)</t>
        </is>
      </c>
    </row>
    <row r="8">
      <c r="A8" s="80" t="inlineStr">
        <is>
          <t>3</t>
        </is>
      </c>
      <c r="B8" s="80" t="inlineStr">
        <is>
          <t>Amortizare</t>
        </is>
      </c>
      <c r="C8" s="80" t="inlineStr">
        <is>
          <t>amortizarea contabilă a fiecărui autoturism</t>
        </is>
      </c>
      <c r="D8" s="80" t="inlineStr">
        <is>
          <t>max. 1.500 lei/lună</t>
        </is>
      </c>
      <c r="E8" s="80" t="inlineStr">
        <is>
          <t>art. 28 alin. (14) CF</t>
        </is>
      </c>
      <c r="F8" s="80" t="inlineStr">
        <is>
          <t>⚠ NU intră sub limitarea de 50% — cele două nu se cumulează</t>
        </is>
      </c>
    </row>
    <row r="10">
      <c r="A10" s="79" t="inlineStr">
        <is>
          <t>Tabel B — Operațional vs. financiar</t>
        </is>
      </c>
    </row>
    <row r="11">
      <c r="A11" s="82" t="inlineStr">
        <is>
          <t>Criteriu</t>
        </is>
      </c>
      <c r="B11" s="82" t="inlineStr">
        <is>
          <t>Operațional</t>
        </is>
      </c>
      <c r="C11" s="82" t="inlineStr">
        <is>
          <t>Financiar</t>
        </is>
      </c>
      <c r="D11" s="82" t="inlineStr"/>
      <c r="E11" s="82" t="inlineStr"/>
      <c r="F11" s="82" t="inlineStr">
        <is>
          <t>Observație</t>
        </is>
      </c>
    </row>
    <row r="12">
      <c r="A12" s="80" t="inlineStr">
        <is>
          <t>Bunul în bilanț</t>
        </is>
      </c>
      <c r="B12" s="80" t="inlineStr">
        <is>
          <t>NU — rămâne la locator</t>
        </is>
      </c>
      <c r="C12" s="80" t="inlineStr">
        <is>
          <t>DA — 2133</t>
        </is>
      </c>
      <c r="D12" s="80" t="inlineStr"/>
      <c r="E12" s="80" t="inlineStr"/>
      <c r="F12" s="80" t="inlineStr"/>
    </row>
    <row r="13">
      <c r="A13" s="80" t="inlineStr">
        <is>
          <t>Datoria</t>
        </is>
      </c>
      <c r="B13" s="80" t="inlineStr">
        <is>
          <t>nu se înregistrează</t>
        </is>
      </c>
      <c r="C13" s="80" t="inlineStr">
        <is>
          <t>167</t>
        </is>
      </c>
      <c r="D13" s="80" t="inlineStr"/>
      <c r="E13" s="80" t="inlineStr"/>
      <c r="F13" s="80" t="inlineStr">
        <is>
          <t>167 e 1:1 cu contractul (C-19)</t>
        </is>
      </c>
    </row>
    <row r="14">
      <c r="A14" s="80" t="inlineStr">
        <is>
          <t>Cheltuiala lunară</t>
        </is>
      </c>
      <c r="B14" s="80" t="inlineStr">
        <is>
          <t>612 chirie</t>
        </is>
      </c>
      <c r="C14" s="80" t="inlineStr">
        <is>
          <t>666 dobândă + amortizare</t>
        </is>
      </c>
      <c r="D14" s="80" t="inlineStr"/>
      <c r="E14" s="80" t="inlineStr"/>
      <c r="F14" s="80" t="inlineStr"/>
    </row>
    <row r="15">
      <c r="A15" s="80" t="inlineStr">
        <is>
          <t>Evidență extrabilanțieră</t>
        </is>
      </c>
      <c r="B15" s="80" t="inlineStr">
        <is>
          <t>8036</t>
        </is>
      </c>
      <c r="C15" s="80" t="inlineStr">
        <is>
          <t>—</t>
        </is>
      </c>
      <c r="D15" s="80" t="inlineStr"/>
      <c r="E15" s="80" t="inlineStr"/>
      <c r="F15" s="80" t="inlineStr"/>
    </row>
    <row r="16">
      <c r="A16" s="80" t="inlineStr">
        <is>
          <t>Impozit local</t>
        </is>
      </c>
      <c r="B16" s="80" t="inlineStr">
        <is>
          <t>plătit de locator</t>
        </is>
      </c>
      <c r="C16" s="80" t="inlineStr">
        <is>
          <t>plătit de LOCATAR, pe toată durata</t>
        </is>
      </c>
      <c r="D16" s="80" t="inlineStr"/>
      <c r="E16" s="80" t="inlineStr"/>
      <c r="F16" s="80" t="inlineStr">
        <is>
          <t>Declarație la primărie în 30 de zile</t>
        </is>
      </c>
    </row>
    <row r="17">
      <c r="A17" s="80" t="inlineStr">
        <is>
          <t>Valoarea reziduală</t>
        </is>
      </c>
      <c r="B17" s="80" t="inlineStr">
        <is>
          <t>achiziție nouă la final</t>
        </is>
      </c>
      <c r="C17" s="80" t="inlineStr">
        <is>
          <t>deja capitalizată</t>
        </is>
      </c>
      <c r="D17" s="80" t="inlineStr"/>
      <c r="E17" s="80" t="inlineStr"/>
      <c r="F17" s="80" t="inlineStr">
        <is>
          <t>La operațional, mijlocul fix apare abia la final</t>
        </is>
      </c>
    </row>
    <row r="19">
      <c r="A19" s="79" t="inlineStr">
        <is>
          <t>Tabel C — Excepții de la regimul de 50%</t>
        </is>
      </c>
    </row>
    <row r="20">
      <c r="A20" s="80" t="inlineStr">
        <is>
          <t>Urgență / pază / curierat · agenți de vânzări și achiziții · taxi · închiriere · școli de șoferi · transport de persoane cu plată.</t>
        </is>
      </c>
    </row>
    <row r="21">
      <c r="A21" s="80" t="inlineStr">
        <is>
          <t>Fără documentație (foi de parcurs, decizie internă), regimul prudent și conform este MIXT (50%).</t>
        </is>
      </c>
    </row>
    <row r="23">
      <c r="A23" s="79" t="inlineStr">
        <is>
          <t>Tabel D — Porți de calitate</t>
        </is>
      </c>
    </row>
    <row r="24">
      <c r="A24" s="80" t="inlineStr">
        <is>
          <t>• ΣDr = ΣCr pe fiecare bloc</t>
        </is>
      </c>
    </row>
    <row r="25">
      <c r="A25" s="80" t="inlineStr">
        <is>
          <t>• Valoarea de intrare include TVA nedeductibilă pe avans (taxe nerecuperabile în cost)</t>
        </is>
      </c>
    </row>
    <row r="26">
      <c r="A26" s="80" t="inlineStr">
        <is>
          <t>• Sold 167 pe contract = sold din scadențar, în valuta contractului (C-19)</t>
        </is>
      </c>
    </row>
    <row r="27">
      <c r="A27" s="80" t="inlineStr">
        <is>
          <t>• Avansul 4093 se închide integral în 167 la recepție</t>
        </is>
      </c>
    </row>
    <row r="28">
      <c r="A28" s="80" t="inlineStr">
        <is>
          <t>• Amortizarea contabilă se calculează pe valoarea de intrare COMPLETĂ, nu pe cea din contract</t>
        </is>
      </c>
    </row>
    <row r="29">
      <c r="A29" s="80" t="inlineStr">
        <is>
          <t>• Nedeductibilul lunar = amortizare peste plafon + 50% din dobândă/comision/CASCO</t>
        </is>
      </c>
    </row>
    <row r="30">
      <c r="A30" s="80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7" t="inlineStr">
        <is>
          <t>MOD_LEASING_FIN — Jurnale (generate automat)</t>
        </is>
      </c>
    </row>
    <row r="2">
      <c r="A2" s="78" t="inlineStr">
        <is>
          <t>Blocurile 1–4 se rulează o singură dată, la deschiderea contractului. Blocurile 5–8 se rulează lunar.</t>
        </is>
      </c>
    </row>
    <row r="4">
      <c r="A4" s="79" t="inlineStr">
        <is>
          <t>Bloc 1 — Factura de avans</t>
        </is>
      </c>
    </row>
    <row r="5">
      <c r="A5" s="80" t="inlineStr">
        <is>
          <t>Data jurnal:</t>
        </is>
      </c>
      <c r="B5" s="80" t="str">
        <f>Declarații_LEASING_FIN!B8</f>
        <v>2026-07-01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>
        <f>Declarații_LEASING_FIN!B67</f>
        <v>4093</v>
      </c>
      <c r="C8" s="80">
        <f>Declarații_LEASING_FIN!B14</f>
        <v>50000</v>
      </c>
      <c r="D8" s="80" t="str">
        <f>"Avans leasing " &amp; Declarații_LEASING_FIN!B83</f>
        <v>Avans leasing — leasing LF-2026-001 2026-07</v>
      </c>
      <c r="E8" s="80">
        <f>Declarații_LEASING_FIN!B71</f>
        <v>404</v>
      </c>
      <c r="F8" s="80">
        <f>Declarații_LEASING_FIN!B14</f>
        <v>50000</v>
      </c>
      <c r="G8" s="80" t="str">
        <f>"Datorie societate de leasing — avans " &amp; Declarații_LEASING_FIN!B83</f>
        <v>Datorie societate de leasing — avans — leasing LF-2026-001 2026-07</v>
      </c>
    </row>
    <row r="9">
      <c r="A9" s="80" t="n">
        <v>2</v>
      </c>
      <c r="B9" s="80">
        <f>Declarații_LEASING_FIN!B72</f>
        <v>4426</v>
      </c>
      <c r="C9" s="80">
        <f>Declarații_LEASING_FIN!B30</f>
        <v>10500</v>
      </c>
      <c r="D9" s="80" t="str">
        <f>"TVA pe avans " &amp; Declarații_LEASING_FIN!B83</f>
        <v>TVA pe avans — leasing LF-2026-001 2026-07</v>
      </c>
      <c r="E9" s="80">
        <f>Declarații_LEASING_FIN!B71</f>
        <v>404</v>
      </c>
      <c r="F9" s="80">
        <f>Declarații_LEASING_FIN!B30</f>
        <v>10500</v>
      </c>
      <c r="G9" s="80" t="str">
        <f>"Datorie — TVA avans " &amp; Declarații_LEASING_FIN!B83</f>
        <v>Datorie — TVA avans — leasing LF-2026-001 2026-07</v>
      </c>
    </row>
    <row r="11">
      <c r="A11" s="79" t="inlineStr">
        <is>
          <t>Bloc 2 — TVA nedeductibilă pe avans, capitalizată</t>
        </is>
      </c>
    </row>
    <row r="12">
      <c r="A12" s="82" t="inlineStr">
        <is>
          <t>Nr</t>
        </is>
      </c>
      <c r="B12" s="82" t="inlineStr">
        <is>
          <t>Cont Dr</t>
        </is>
      </c>
      <c r="C12" s="82" t="inlineStr">
        <is>
          <t>Sumă Dr</t>
        </is>
      </c>
      <c r="D12" s="82" t="inlineStr">
        <is>
          <t>Descriere Dr</t>
        </is>
      </c>
      <c r="E12" s="82" t="inlineStr">
        <is>
          <t>Cont Cr</t>
        </is>
      </c>
      <c r="F12" s="82" t="inlineStr">
        <is>
          <t>Sumă Cr</t>
        </is>
      </c>
      <c r="G12" s="82" t="inlineStr">
        <is>
          <t>Descriere Cr</t>
        </is>
      </c>
    </row>
    <row r="13">
      <c r="A13" s="80" t="n">
        <v>1</v>
      </c>
      <c r="B13" s="80">
        <f>Declarații_LEASING_FIN!B68</f>
        <v>2133</v>
      </c>
      <c r="C13" s="80">
        <f>Declarații_LEASING_FIN!B31</f>
        <v>5250</v>
      </c>
      <c r="D13" s="80" t="str">
        <f>"TVA nedeductibilă capitalizată în cost " &amp; Declarații_LEASING_FIN!B83</f>
        <v>TVA nedeductibilă capitalizată în cost — leasing LF-2026-001 2026-07</v>
      </c>
      <c r="E13" s="80">
        <f>Declarații_LEASING_FIN!B72</f>
        <v>4426</v>
      </c>
      <c r="F13" s="80">
        <f>Declarații_LEASING_FIN!B31</f>
        <v>5250</v>
      </c>
      <c r="G13" s="80" t="str">
        <f>"Stingere TVA nedeductibilă " &amp; Declarații_LEASING_FIN!B83</f>
        <v>Stingere TVA nedeductibilă — leasing LF-2026-001 2026-07</v>
      </c>
    </row>
    <row r="15">
      <c r="A15" s="79" t="inlineStr">
        <is>
          <t>Bloc 3 — Recepția bunului și nașterea datoriei</t>
        </is>
      </c>
    </row>
    <row r="16">
      <c r="A16" s="80" t="inlineStr">
        <is>
          <t>Data jurnal:</t>
        </is>
      </c>
      <c r="B16" s="80" t="str">
        <f>Declarații_LEASING_FIN!B9</f>
        <v>2026-07-10</v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>
        <f>Declarații_LEASING_FIN!B68</f>
        <v>2133</v>
      </c>
      <c r="C19" s="80">
        <f>Declarații_LEASING_FIN!B13</f>
        <v>150000</v>
      </c>
      <c r="D19" s="80" t="str">
        <f>"Intrare autoturism în patrimoniu " &amp; Declarații_LEASING_FIN!B83</f>
        <v>Intrare autoturism în patrimoniu — leasing LF-2026-001 2026-07</v>
      </c>
      <c r="E19" s="80" t="str">
        <f>Declarații_LEASING_FIN!B70</f>
        <v>167.LF-2026-001</v>
      </c>
      <c r="F19" s="80">
        <f>Declarații_LEASING_FIN!B13</f>
        <v>150000</v>
      </c>
      <c r="G19" s="80" t="str">
        <f>"Datorie leasing financiar " &amp; Declarații_LEASING_FIN!B83</f>
        <v>Datorie leasing financiar — leasing LF-2026-001 2026-07</v>
      </c>
    </row>
    <row r="21">
      <c r="A21" s="79" t="inlineStr">
        <is>
          <t>Bloc 4 — Închiderea avansului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 t="str">
        <f>Declarații_LEASING_FIN!B70</f>
        <v>167.LF-2026-001</v>
      </c>
      <c r="C23" s="80">
        <f>Declarații_LEASING_FIN!B14</f>
        <v>50000</v>
      </c>
      <c r="D23" s="80" t="str">
        <f>"Închidere avans în datoria de leasing " &amp; Declarații_LEASING_FIN!B83</f>
        <v>Închidere avans în datoria de leasing — leasing LF-2026-001 2026-07</v>
      </c>
      <c r="E23" s="80">
        <f>Declarații_LEASING_FIN!B67</f>
        <v>4093</v>
      </c>
      <c r="F23" s="80">
        <f>Declarații_LEASING_FIN!B14</f>
        <v>50000</v>
      </c>
      <c r="G23" s="80" t="str">
        <f>"Stingere avans 4093 " &amp; Declarații_LEASING_FIN!B83</f>
        <v>Stingere avans 4093 — leasing LF-2026-001 2026-07</v>
      </c>
    </row>
    <row r="25">
      <c r="A25" s="79" t="inlineStr">
        <is>
          <t>Bloc 5 — Factura lunară de leasing (la valoarea ei, fără split)</t>
        </is>
      </c>
    </row>
    <row r="26">
      <c r="A26" s="80" t="inlineStr">
        <is>
          <t>Data jurnal:</t>
        </is>
      </c>
      <c r="B26" s="80" t="str">
        <f>Declarații_LEASING_FIN!B10</f>
        <v>2026-07-31</v>
      </c>
    </row>
    <row r="28">
      <c r="A28" s="82" t="inlineStr">
        <is>
          <t>Nr</t>
        </is>
      </c>
      <c r="B28" s="82" t="inlineStr">
        <is>
          <t>Cont Dr</t>
        </is>
      </c>
      <c r="C28" s="82" t="inlineStr">
        <is>
          <t>Sumă Dr</t>
        </is>
      </c>
      <c r="D28" s="82" t="inlineStr">
        <is>
          <t>Descriere Dr</t>
        </is>
      </c>
      <c r="E28" s="82" t="inlineStr">
        <is>
          <t>Cont Cr</t>
        </is>
      </c>
      <c r="F28" s="82" t="inlineStr">
        <is>
          <t>Sumă Cr</t>
        </is>
      </c>
      <c r="G28" s="82" t="inlineStr">
        <is>
          <t>Descriere Cr</t>
        </is>
      </c>
    </row>
    <row r="29">
      <c r="A29" s="80" t="n">
        <v>1</v>
      </c>
      <c r="B29" s="80" t="str">
        <f>Declarații_LEASING_FIN!B70</f>
        <v>167.LF-2026-001</v>
      </c>
      <c r="C29" s="80">
        <f>Declarații_LEASING_FIN!B24</f>
        <v>2000</v>
      </c>
      <c r="D29" s="80" t="str">
        <f>"Rata de capital " &amp; Declarații_LEASING_FIN!B83</f>
        <v>Rata de capital — leasing LF-2026-001 2026-07</v>
      </c>
      <c r="E29" s="80">
        <f>Declarații_LEASING_FIN!B71</f>
        <v>404</v>
      </c>
      <c r="F29" s="80">
        <f>Declarații_LEASING_FIN!B24</f>
        <v>2000</v>
      </c>
      <c r="G29" s="80" t="str">
        <f>"Factura lunară — capital " &amp; Declarații_LEASING_FIN!B83</f>
        <v>Factura lunară — capital — leasing LF-2026-001 2026-07</v>
      </c>
    </row>
    <row r="30">
      <c r="A30" s="80" t="n">
        <v>2</v>
      </c>
      <c r="B30" s="80">
        <f>Declarații_LEASING_FIN!B73</f>
        <v>666</v>
      </c>
      <c r="C30" s="80">
        <f>Declarații_LEASING_FIN!B25</f>
        <v>500</v>
      </c>
      <c r="D30" s="80" t="str">
        <f>"Dobândă de leasing " &amp; Declarații_LEASING_FIN!B83</f>
        <v>Dobândă de leasing — leasing LF-2026-001 2026-07</v>
      </c>
      <c r="E30" s="80">
        <f>Declarații_LEASING_FIN!B71</f>
        <v>404</v>
      </c>
      <c r="F30" s="80">
        <f>Declarații_LEASING_FIN!B25</f>
        <v>500</v>
      </c>
      <c r="G30" s="80" t="str">
        <f>"Factura lunară — dobândă " &amp; Declarații_LEASING_FIN!B83</f>
        <v>Factura lunară — dobândă — leasing LF-2026-001 2026-07</v>
      </c>
    </row>
    <row r="31">
      <c r="A31" s="80" t="n">
        <v>3</v>
      </c>
      <c r="B31" s="80">
        <f>Declarații_LEASING_FIN!B74</f>
        <v>628</v>
      </c>
      <c r="C31" s="80">
        <f>Declarații_LEASING_FIN!B26</f>
        <v>100</v>
      </c>
      <c r="D31" s="80" t="str">
        <f>"Comision de administrare " &amp; Declarații_LEASING_FIN!B83</f>
        <v>Comision de administrare — leasing LF-2026-001 2026-07</v>
      </c>
      <c r="E31" s="80">
        <f>Declarații_LEASING_FIN!B71</f>
        <v>404</v>
      </c>
      <c r="F31" s="80">
        <f>Declarații_LEASING_FIN!B26</f>
        <v>100</v>
      </c>
      <c r="G31" s="80" t="str">
        <f>"Factura lunară — comision " &amp; Declarații_LEASING_FIN!B83</f>
        <v>Factura lunară — comision — leasing LF-2026-001 2026-07</v>
      </c>
    </row>
    <row r="32">
      <c r="A32" s="80" t="n">
        <v>4</v>
      </c>
      <c r="B32" s="80">
        <f>Declarații_LEASING_FIN!B75</f>
        <v>613</v>
      </c>
      <c r="C32" s="80">
        <f>Declarații_LEASING_FIN!B27</f>
        <v>20</v>
      </c>
      <c r="D32" s="80" t="str">
        <f>"Primă CASCO " &amp; Declarații_LEASING_FIN!B83</f>
        <v>Primă CASCO — leasing LF-2026-001 2026-07</v>
      </c>
      <c r="E32" s="80">
        <f>Declarații_LEASING_FIN!B71</f>
        <v>404</v>
      </c>
      <c r="F32" s="80">
        <f>Declarații_LEASING_FIN!B27</f>
        <v>20</v>
      </c>
      <c r="G32" s="80" t="str">
        <f>"Factura lunară — CASCO " &amp; Declarații_LEASING_FIN!B83</f>
        <v>Factura lunară — CASCO — leasing LF-2026-001 2026-07</v>
      </c>
    </row>
    <row r="33">
      <c r="A33" s="80" t="n">
        <v>5</v>
      </c>
      <c r="B33" s="80">
        <f>Declarații_LEASING_FIN!B72</f>
        <v>4426</v>
      </c>
      <c r="C33" s="80">
        <f>Declarații_LEASING_FIN!B41</f>
        <v>546</v>
      </c>
      <c r="D33" s="80" t="str">
        <f>"TVA pe factura de leasing " &amp; Declarații_LEASING_FIN!B83</f>
        <v>TVA pe factura de leasing — leasing LF-2026-001 2026-07</v>
      </c>
      <c r="E33" s="80">
        <f>Declarații_LEASING_FIN!B71</f>
        <v>404</v>
      </c>
      <c r="F33" s="80">
        <f>Declarații_LEASING_FIN!B41</f>
        <v>546</v>
      </c>
      <c r="G33" s="80" t="str">
        <f>"Factura lunară — TVA " &amp; Declarații_LEASING_FIN!B83</f>
        <v>Factura lunară — TVA — leasing LF-2026-001 2026-07</v>
      </c>
    </row>
    <row r="35">
      <c r="A35" s="79" t="inlineStr">
        <is>
          <t>Bloc 6 — Corecția TVA nedeductibilă (limitarea 1: 50%)</t>
        </is>
      </c>
    </row>
    <row r="36">
      <c r="A36" s="82" t="inlineStr">
        <is>
          <t>Nr</t>
        </is>
      </c>
      <c r="B36" s="82" t="inlineStr">
        <is>
          <t>Cont Dr</t>
        </is>
      </c>
      <c r="C36" s="82" t="inlineStr">
        <is>
          <t>Sumă Dr</t>
        </is>
      </c>
      <c r="D36" s="82" t="inlineStr">
        <is>
          <t>Descriere Dr</t>
        </is>
      </c>
      <c r="E36" s="82" t="inlineStr">
        <is>
          <t>Cont Cr</t>
        </is>
      </c>
      <c r="F36" s="82" t="inlineStr">
        <is>
          <t>Sumă Cr</t>
        </is>
      </c>
      <c r="G36" s="82" t="inlineStr">
        <is>
          <t>Descriere Cr</t>
        </is>
      </c>
    </row>
    <row r="37">
      <c r="A37" s="80" t="n">
        <v>1</v>
      </c>
      <c r="B37" s="80">
        <f>IF(Declarații_LEASING_FIN!B21="CAPITALIZEAZA",Declarații_LEASING_FIN!B68,Declarații_LEASING_FIN!B79)</f>
        <v>2133</v>
      </c>
      <c r="C37" s="80">
        <f>Declarații_LEASING_FIN!B45</f>
        <v>210</v>
      </c>
      <c r="D37" s="80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0">
        <f>Declarații_LEASING_FIN!B72</f>
        <v>4426</v>
      </c>
      <c r="F37" s="80">
        <f>Declarații_LEASING_FIN!B45</f>
        <v>210</v>
      </c>
      <c r="G37" s="80" t="str">
        <f>"Stingere TVA nededusă — rată " &amp; Declarații_LEASING_FIN!B83</f>
        <v>Stingere TVA nededusă — rată — leasing LF-2026-001 2026-07</v>
      </c>
    </row>
    <row r="38">
      <c r="A38" s="80" t="n">
        <v>2</v>
      </c>
      <c r="B38" s="80">
        <f>Declarații_LEASING_FIN!B73</f>
        <v>666</v>
      </c>
      <c r="C38" s="80">
        <f>Declarații_LEASING_FIN!B46</f>
        <v>52.5</v>
      </c>
      <c r="D38" s="80" t="str">
        <f>"TVA nededusă pe dobândă " &amp; Declarații_LEASING_FIN!B83</f>
        <v>TVA nededusă pe dobândă — leasing LF-2026-001 2026-07</v>
      </c>
      <c r="E38" s="80">
        <f>Declarații_LEASING_FIN!B72</f>
        <v>4426</v>
      </c>
      <c r="F38" s="80">
        <f>Declarații_LEASING_FIN!B46</f>
        <v>52.5</v>
      </c>
      <c r="G38" s="80" t="str">
        <f>"Stingere TVA nededusă — dobândă " &amp; Declarații_LEASING_FIN!B83</f>
        <v>Stingere TVA nededusă — dobândă — leasing LF-2026-001 2026-07</v>
      </c>
    </row>
    <row r="39">
      <c r="A39" s="80" t="n">
        <v>3</v>
      </c>
      <c r="B39" s="80">
        <f>Declarații_LEASING_FIN!B74</f>
        <v>628</v>
      </c>
      <c r="C39" s="80">
        <f>Declarații_LEASING_FIN!B47</f>
        <v>10.5</v>
      </c>
      <c r="D39" s="80" t="str">
        <f>"TVA nededusă pe comision " &amp; Declarații_LEASING_FIN!B83</f>
        <v>TVA nededusă pe comision — leasing LF-2026-001 2026-07</v>
      </c>
      <c r="E39" s="80">
        <f>Declarații_LEASING_FIN!B72</f>
        <v>4426</v>
      </c>
      <c r="F39" s="80">
        <f>Declarații_LEASING_FIN!B47</f>
        <v>10.5</v>
      </c>
      <c r="G39" s="80" t="str">
        <f>"Stingere TVA nededusă — comision " &amp; Declarații_LEASING_FIN!B83</f>
        <v>Stingere TVA nededusă — comision — leasing LF-2026-001 2026-07</v>
      </c>
    </row>
    <row r="41">
      <c r="A41" s="79" t="inlineStr">
        <is>
          <t>Bloc 7 — Limitarea de 50% a cheltuielilor (limitarea 2)</t>
        </is>
      </c>
    </row>
    <row r="42">
      <c r="A42" s="78" t="inlineStr">
        <is>
          <t>Reclasificare pe analitice nedeductibile. Amortizarea NU apare aici.</t>
        </is>
      </c>
    </row>
    <row r="43">
      <c r="A43" s="82" t="inlineStr">
        <is>
          <t>Nr</t>
        </is>
      </c>
      <c r="B43" s="82" t="inlineStr">
        <is>
          <t>Cont Dr</t>
        </is>
      </c>
      <c r="C43" s="82" t="inlineStr">
        <is>
          <t>Sumă Dr</t>
        </is>
      </c>
      <c r="D43" s="82" t="inlineStr">
        <is>
          <t>Descriere Dr</t>
        </is>
      </c>
      <c r="E43" s="82" t="inlineStr">
        <is>
          <t>Cont Cr</t>
        </is>
      </c>
      <c r="F43" s="82" t="inlineStr">
        <is>
          <t>Sumă Cr</t>
        </is>
      </c>
      <c r="G43" s="82" t="inlineStr">
        <is>
          <t>Descriere Cr</t>
        </is>
      </c>
    </row>
    <row r="44">
      <c r="A44" s="80" t="n">
        <v>1</v>
      </c>
      <c r="B44" s="80" t="str">
        <f>Declarații_LEASING_FIN!B76</f>
        <v>666.NED</v>
      </c>
      <c r="C44" s="80">
        <f>Declarații_LEASING_FIN!B55</f>
        <v>276.25</v>
      </c>
      <c r="D44" s="80" t="str">
        <f>"Dobândă nedeductibilă 50% " &amp; Declarații_LEASING_FIN!B83</f>
        <v>Dobândă nedeductibilă 50% — leasing LF-2026-001 2026-07</v>
      </c>
      <c r="E44" s="80">
        <f>Declarații_LEASING_FIN!B73</f>
        <v>666</v>
      </c>
      <c r="F44" s="80">
        <f>Declarații_LEASING_FIN!B55</f>
        <v>276.25</v>
      </c>
      <c r="G44" s="80" t="str">
        <f>"Reclasificare din 666 " &amp; Declarații_LEASING_FIN!B83</f>
        <v>Reclasificare din 666 — leasing LF-2026-001 2026-07</v>
      </c>
    </row>
    <row r="45">
      <c r="A45" s="80" t="n">
        <v>2</v>
      </c>
      <c r="B45" s="80" t="str">
        <f>Declarații_LEASING_FIN!B77</f>
        <v>628.NED</v>
      </c>
      <c r="C45" s="80">
        <f>Declarații_LEASING_FIN!B56</f>
        <v>55.25</v>
      </c>
      <c r="D45" s="80" t="str">
        <f>"Comision nedeductibil 50% " &amp; Declarații_LEASING_FIN!B83</f>
        <v>Comision nedeductibil 50% — leasing LF-2026-001 2026-07</v>
      </c>
      <c r="E45" s="80">
        <f>Declarații_LEASING_FIN!B74</f>
        <v>628</v>
      </c>
      <c r="F45" s="80">
        <f>Declarații_LEASING_FIN!B56</f>
        <v>55.25</v>
      </c>
      <c r="G45" s="80" t="str">
        <f>"Reclasificare din 628 " &amp; Declarații_LEASING_FIN!B83</f>
        <v>Reclasificare din 628 — leasing LF-2026-001 2026-07</v>
      </c>
    </row>
    <row r="46">
      <c r="A46" s="80" t="n">
        <v>3</v>
      </c>
      <c r="B46" s="80" t="str">
        <f>Declarații_LEASING_FIN!B78</f>
        <v>613.NED</v>
      </c>
      <c r="C46" s="80">
        <f>Declarații_LEASING_FIN!B57</f>
        <v>10</v>
      </c>
      <c r="D46" s="80" t="str">
        <f>"CASCO nedeductibil 50% " &amp; Declarații_LEASING_FIN!B83</f>
        <v>CASCO nedeductibil 50% — leasing LF-2026-001 2026-07</v>
      </c>
      <c r="E46" s="80">
        <f>Declarații_LEASING_FIN!B75</f>
        <v>613</v>
      </c>
      <c r="F46" s="80">
        <f>Declarații_LEASING_FIN!B57</f>
        <v>10</v>
      </c>
      <c r="G46" s="80" t="str">
        <f>"Reclasificare din 613 (NU 615) " &amp; Declarații_LEASING_FIN!B83</f>
        <v>Reclasificare din 613 (NU 615) — leasing LF-2026-001 2026-07</v>
      </c>
    </row>
    <row r="48">
      <c r="A48" s="79" t="inlineStr">
        <is>
          <t>Bloc 8 — Amortizarea lunară (limitarea 3: plafon 1.500 lei/lună)</t>
        </is>
      </c>
    </row>
    <row r="49">
      <c r="A49" s="82" t="inlineStr">
        <is>
          <t>Nr</t>
        </is>
      </c>
      <c r="B49" s="82" t="inlineStr">
        <is>
          <t>Cont Dr</t>
        </is>
      </c>
      <c r="C49" s="82" t="inlineStr">
        <is>
          <t>Sumă Dr</t>
        </is>
      </c>
      <c r="D49" s="82" t="inlineStr">
        <is>
          <t>Descriere Dr</t>
        </is>
      </c>
      <c r="E49" s="82" t="inlineStr">
        <is>
          <t>Cont Cr</t>
        </is>
      </c>
      <c r="F49" s="82" t="inlineStr">
        <is>
          <t>Sumă Cr</t>
        </is>
      </c>
      <c r="G49" s="82" t="inlineStr">
        <is>
          <t>Descriere Cr</t>
        </is>
      </c>
    </row>
    <row r="50">
      <c r="A50" s="80" t="n">
        <v>1</v>
      </c>
      <c r="B50" s="80">
        <f>Declarații_LEASING_FIN!B80</f>
        <v>6811</v>
      </c>
      <c r="C50" s="80">
        <f>Declarații_LEASING_FIN!B33</f>
        <v>2587.5</v>
      </c>
      <c r="D50" s="80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0">
        <f>Declarații_LEASING_FIN!B69</f>
        <v>2813</v>
      </c>
      <c r="F50" s="80">
        <f>Declarații_LEASING_FIN!B33</f>
        <v>2587.5</v>
      </c>
      <c r="G50" s="80" t="str">
        <f>"Amortizare cumulată " &amp; Declarații_LEASING_FIN!B83</f>
        <v>Amortizare cumulată — leasing LF-2026-001 2026-07</v>
      </c>
    </row>
    <row r="52">
      <c r="A52" s="79" t="inlineStr">
        <is>
          <t>Sumar și controale</t>
        </is>
      </c>
    </row>
    <row r="53">
      <c r="A53" s="80" t="inlineStr">
        <is>
          <t>Total Dr</t>
        </is>
      </c>
      <c r="B53" s="80">
        <f>C8+C9+C13+C19+C23+C29+C30+C31+C32+C33+C37+C38+C39+C44+C45+C46+C50</f>
        <v>272118</v>
      </c>
    </row>
    <row r="54">
      <c r="A54" s="80" t="inlineStr">
        <is>
          <t>Total Cr</t>
        </is>
      </c>
      <c r="B54" s="80">
        <f>F8+F9+F13+F19+F23+F29+F30+F31+F32+F33+F37+F38+F39+F44+F45+F46+F50</f>
        <v>272118</v>
      </c>
    </row>
    <row r="55">
      <c r="A55" s="80" t="inlineStr">
        <is>
          <t>Check Σ (structural)</t>
        </is>
      </c>
      <c r="B55" s="80">
        <f>B53-B54</f>
        <v>0</v>
      </c>
      <c r="C55" s="80" t="str">
        <f>IF(ABS(B53-B54)&lt;0.01,"OK — notele se închid","EROARE")</f>
        <v>OK — notele se închid</v>
      </c>
    </row>
    <row r="56">
      <c r="A56" s="80" t="inlineStr">
        <is>
          <t>Check valoare de intrare a mijlocului fix</t>
        </is>
      </c>
      <c r="B56" s="80">
        <f>C13+C19-Declarații_LEASING_FIN!B32</f>
        <v>0</v>
      </c>
      <c r="C56" s="80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0" t="inlineStr">
        <is>
          <t>Check stingere avans (C-19)</t>
        </is>
      </c>
      <c r="B57" s="80">
        <f>C8-C23</f>
        <v>0</v>
      </c>
      <c r="C57" s="80" t="str">
        <f>IF(ABS(C8-C23)&lt;0.01,"OK — 4093 se închide integral în 167","EROARE — avansul rămâne cu sold")</f>
        <v>OK — 4093 se închide integral în 167</v>
      </c>
    </row>
    <row r="58">
      <c r="A58" s="80" t="inlineStr">
        <is>
          <t>Check TVA de pe factura lunară</t>
        </is>
      </c>
      <c r="B58" s="80">
        <f>C37+C38+C39-Declarații_LEASING_FIN!B48</f>
        <v>0</v>
      </c>
      <c r="C58" s="80" t="str">
        <f>IF(ABS(C37+C38+C39-Declarații_LEASING_FIN!B48)&lt;0.01,"OK — corecția acoperă exact TVA nedeductibilă","EROARE")</f>
        <v>OK — corecția acoperă exact TVA nedeductibilă</v>
      </c>
    </row>
    <row r="59">
      <c r="A59" s="80" t="inlineStr">
        <is>
          <t>Check limitarea 2 nu atinge amortizarea</t>
        </is>
      </c>
      <c r="B59" s="80">
        <f>C50</f>
        <v>2587.5</v>
      </c>
      <c r="C59" s="80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0" t="inlineStr">
        <is>
          <t>Nedeductibil lunar total (informativ)</t>
        </is>
      </c>
      <c r="B60" s="80">
        <f>Declarații_LEASING_FIN!B35+C44+C45+C46</f>
        <v>1429</v>
      </c>
      <c r="C60" s="80" t="str">
        <f>"Din care amortizare peste plafon: " &amp; TEXT(Declarații_LEASING_FIN!B35,"0.00") &amp; " lei"</f>
        <v>Din care amortizare peste plafon: 1087.50 lei</v>
      </c>
    </row>
    <row r="61">
      <c r="A61" s="78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MOD_LEASING_FIN — Notă pentru import (1 rând = 1 înregistrare)</t>
        </is>
      </c>
    </row>
    <row r="2">
      <c r="A2" s="78" t="inlineStr">
        <is>
          <t>Blocurile 1–4 se importă o singură dată, la deschiderea contractului. Blocurile 5–8, lunar. Filtrează pe Include = DA.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Avans</t>
        </is>
      </c>
      <c r="C5" s="80" t="str">
        <f>Declarații_LEASING_FIN!B8</f>
        <v>2026-07-01</v>
      </c>
      <c r="D5" s="80">
        <f>Jurnale_LEASING_FIN!B8</f>
        <v>4093</v>
      </c>
      <c r="E5" s="80">
        <f>Jurnale_LEASING_FIN!E8</f>
        <v>404</v>
      </c>
      <c r="F5" s="80">
        <f>Jurnale_LEASING_FIN!C8</f>
        <v>50000</v>
      </c>
      <c r="G5" s="80" t="str">
        <f>Jurnale_LEASING_FIN!D8</f>
        <v>Avans leasing — leasing LF-2026-001 2026-07</v>
      </c>
      <c r="H5" s="80" t="inlineStr">
        <is>
          <t>Factură de avans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1 — TVA avans</t>
        </is>
      </c>
      <c r="C6" s="80" t="str">
        <f>Declarații_LEASING_FIN!B8</f>
        <v>2026-07-01</v>
      </c>
      <c r="D6" s="80">
        <f>Jurnale_LEASING_FIN!B9</f>
        <v>4426</v>
      </c>
      <c r="E6" s="80">
        <f>Jurnale_LEASING_FIN!E9</f>
        <v>404</v>
      </c>
      <c r="F6" s="80">
        <f>Jurnale_LEASING_FIN!C9</f>
        <v>10500</v>
      </c>
      <c r="G6" s="80" t="str">
        <f>Jurnale_LEASING_FIN!D9</f>
        <v>TVA pe avans — leasing LF-2026-001 2026-07</v>
      </c>
      <c r="H6" s="80" t="inlineStr">
        <is>
          <t>Factură de avans</t>
        </is>
      </c>
      <c r="I6" s="39" t="str">
        <f>IF(F6&gt;0.001,"DA","NU")</f>
        <v>DA</v>
      </c>
    </row>
    <row r="7">
      <c r="A7" s="80" t="n">
        <v>3</v>
      </c>
      <c r="B7" s="80" t="inlineStr">
        <is>
          <t>Bloc 2 — TVA nededusă capitalizată</t>
        </is>
      </c>
      <c r="C7" s="80" t="str">
        <f>Declarații_LEASING_FIN!B8</f>
        <v>2026-07-01</v>
      </c>
      <c r="D7" s="80">
        <f>Jurnale_LEASING_FIN!B13</f>
        <v>2133</v>
      </c>
      <c r="E7" s="80">
        <f>Jurnale_LEASING_FIN!E13</f>
        <v>4426</v>
      </c>
      <c r="F7" s="80">
        <f>Jurnale_LEASING_FIN!C13</f>
        <v>5250</v>
      </c>
      <c r="G7" s="80" t="str">
        <f>Jurnale_LEASING_FIN!D13</f>
        <v>TVA nedeductibilă capitalizată în cost — leasing LF-2026-001 2026-07</v>
      </c>
      <c r="H7" s="80" t="inlineStr">
        <is>
          <t>Notă contabilă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3 — Intrare + 167</t>
        </is>
      </c>
      <c r="C8" s="80" t="str">
        <f>Declarații_LEASING_FIN!B9</f>
        <v>2026-07-10</v>
      </c>
      <c r="D8" s="80">
        <f>Jurnale_LEASING_FIN!B19</f>
        <v>2133</v>
      </c>
      <c r="E8" s="80" t="str">
        <f>Jurnale_LEASING_FIN!E19</f>
        <v>167.LF-2026-001</v>
      </c>
      <c r="F8" s="80">
        <f>Jurnale_LEASING_FIN!C19</f>
        <v>150000</v>
      </c>
      <c r="G8" s="80" t="str">
        <f>Jurnale_LEASING_FIN!D19</f>
        <v>Intrare autoturism în patrimoniu — leasing LF-2026-001 2026-07</v>
      </c>
      <c r="H8" s="80" t="inlineStr">
        <is>
          <t>Proces-verbal de recepție</t>
        </is>
      </c>
      <c r="I8" s="39" t="str">
        <f>IF(F8&gt;0.001,"DA","NU")</f>
        <v>DA</v>
      </c>
    </row>
    <row r="9">
      <c r="A9" s="80" t="n">
        <v>5</v>
      </c>
      <c r="B9" s="80" t="inlineStr">
        <is>
          <t>Bloc 4 — Stingere avans</t>
        </is>
      </c>
      <c r="C9" s="80" t="str">
        <f>Declarații_LEASING_FIN!B9</f>
        <v>2026-07-10</v>
      </c>
      <c r="D9" s="80" t="str">
        <f>Jurnale_LEASING_FIN!B23</f>
        <v>167.LF-2026-001</v>
      </c>
      <c r="E9" s="80">
        <f>Jurnale_LEASING_FIN!E23</f>
        <v>4093</v>
      </c>
      <c r="F9" s="80">
        <f>Jurnale_LEASING_FIN!C23</f>
        <v>50000</v>
      </c>
      <c r="G9" s="80" t="str">
        <f>Jurnale_LEASING_FIN!D23</f>
        <v>Închidere avans în datoria de leasing — leasing LF-2026-001 2026-07</v>
      </c>
      <c r="H9" s="80" t="inlineStr">
        <is>
          <t>Notă contabilă</t>
        </is>
      </c>
      <c r="I9" s="39" t="str">
        <f>IF(F9&gt;0.001,"DA","NU")</f>
        <v>DA</v>
      </c>
    </row>
    <row r="10">
      <c r="A10" s="80" t="n">
        <v>6</v>
      </c>
      <c r="B10" s="80" t="inlineStr">
        <is>
          <t>Bloc 5 — Rata de capital</t>
        </is>
      </c>
      <c r="C10" s="80" t="str">
        <f>Declarații_LEASING_FIN!B10</f>
        <v>2026-07-31</v>
      </c>
      <c r="D10" s="80" t="str">
        <f>Jurnale_LEASING_FIN!B29</f>
        <v>167.LF-2026-001</v>
      </c>
      <c r="E10" s="80">
        <f>Jurnale_LEASING_FIN!E29</f>
        <v>404</v>
      </c>
      <c r="F10" s="80">
        <f>Jurnale_LEASING_FIN!C29</f>
        <v>2000</v>
      </c>
      <c r="G10" s="80" t="str">
        <f>Jurnale_LEASING_FIN!D29</f>
        <v>Rata de capital — leasing LF-2026-001 2026-07</v>
      </c>
      <c r="H10" s="80" t="inlineStr">
        <is>
          <t>Factură lunară</t>
        </is>
      </c>
      <c r="I10" s="39" t="str">
        <f>IF(F10&gt;0.001,"DA","NU")</f>
        <v>DA</v>
      </c>
    </row>
    <row r="11">
      <c r="A11" s="80" t="n">
        <v>7</v>
      </c>
      <c r="B11" s="80" t="inlineStr">
        <is>
          <t>Bloc 5 — Dobândă</t>
        </is>
      </c>
      <c r="C11" s="80" t="str">
        <f>Declarații_LEASING_FIN!B10</f>
        <v>2026-07-31</v>
      </c>
      <c r="D11" s="80">
        <f>Jurnale_LEASING_FIN!B30</f>
        <v>666</v>
      </c>
      <c r="E11" s="80">
        <f>Jurnale_LEASING_FIN!E30</f>
        <v>404</v>
      </c>
      <c r="F11" s="80">
        <f>Jurnale_LEASING_FIN!C30</f>
        <v>500</v>
      </c>
      <c r="G11" s="80" t="str">
        <f>Jurnale_LEASING_FIN!D30</f>
        <v>Dobândă de leasing — leasing LF-2026-001 2026-07</v>
      </c>
      <c r="H11" s="80" t="inlineStr">
        <is>
          <t>Factură lunară</t>
        </is>
      </c>
      <c r="I11" s="39" t="str">
        <f>IF(F11&gt;0.001,"DA","NU")</f>
        <v>DA</v>
      </c>
    </row>
    <row r="12">
      <c r="A12" s="80" t="n">
        <v>8</v>
      </c>
      <c r="B12" s="80" t="inlineStr">
        <is>
          <t>Bloc 5 — Comision</t>
        </is>
      </c>
      <c r="C12" s="80" t="str">
        <f>Declarații_LEASING_FIN!B10</f>
        <v>2026-07-31</v>
      </c>
      <c r="D12" s="80">
        <f>Jurnale_LEASING_FIN!B31</f>
        <v>628</v>
      </c>
      <c r="E12" s="80">
        <f>Jurnale_LEASING_FIN!E31</f>
        <v>404</v>
      </c>
      <c r="F12" s="80">
        <f>Jurnale_LEASING_FIN!C31</f>
        <v>100</v>
      </c>
      <c r="G12" s="80" t="str">
        <f>Jurnale_LEASING_FIN!D31</f>
        <v>Comision de administrare — leasing LF-2026-001 2026-07</v>
      </c>
      <c r="H12" s="80" t="inlineStr">
        <is>
          <t>Factură lunară</t>
        </is>
      </c>
      <c r="I12" s="39" t="str">
        <f>IF(F12&gt;0.001,"DA","NU")</f>
        <v>DA</v>
      </c>
    </row>
    <row r="13">
      <c r="A13" s="80" t="n">
        <v>9</v>
      </c>
      <c r="B13" s="80" t="inlineStr">
        <is>
          <t>Bloc 5 — CASCO</t>
        </is>
      </c>
      <c r="C13" s="80" t="str">
        <f>Declarații_LEASING_FIN!B10</f>
        <v>2026-07-31</v>
      </c>
      <c r="D13" s="80">
        <f>Jurnale_LEASING_FIN!B32</f>
        <v>613</v>
      </c>
      <c r="E13" s="80">
        <f>Jurnale_LEASING_FIN!E32</f>
        <v>404</v>
      </c>
      <c r="F13" s="80">
        <f>Jurnale_LEASING_FIN!C32</f>
        <v>20</v>
      </c>
      <c r="G13" s="80" t="str">
        <f>Jurnale_LEASING_FIN!D32</f>
        <v>Primă CASCO — leasing LF-2026-001 2026-07</v>
      </c>
      <c r="H13" s="80" t="inlineStr">
        <is>
          <t>Factură lunară</t>
        </is>
      </c>
      <c r="I13" s="39" t="str">
        <f>IF(F13&gt;0.001,"DA","NU")</f>
        <v>DA</v>
      </c>
    </row>
    <row r="14">
      <c r="A14" s="80" t="n">
        <v>10</v>
      </c>
      <c r="B14" s="80" t="inlineStr">
        <is>
          <t>Bloc 5 — TVA</t>
        </is>
      </c>
      <c r="C14" s="80" t="str">
        <f>Declarații_LEASING_FIN!B10</f>
        <v>2026-07-31</v>
      </c>
      <c r="D14" s="80">
        <f>Jurnale_LEASING_FIN!B33</f>
        <v>4426</v>
      </c>
      <c r="E14" s="80">
        <f>Jurnale_LEASING_FIN!E33</f>
        <v>404</v>
      </c>
      <c r="F14" s="80">
        <f>Jurnale_LEASING_FIN!C33</f>
        <v>546</v>
      </c>
      <c r="G14" s="80" t="str">
        <f>Jurnale_LEASING_FIN!D33</f>
        <v>TVA pe factura de leasing — leasing LF-2026-001 2026-07</v>
      </c>
      <c r="H14" s="80" t="inlineStr">
        <is>
          <t>Factură lunară</t>
        </is>
      </c>
      <c r="I14" s="39" t="str">
        <f>IF(F14&gt;0.001,"DA","NU")</f>
        <v>DA</v>
      </c>
    </row>
    <row r="15">
      <c r="A15" s="80" t="n">
        <v>11</v>
      </c>
      <c r="B15" s="80" t="inlineStr">
        <is>
          <t>Bloc 6 — TVA nededusă rată</t>
        </is>
      </c>
      <c r="C15" s="80" t="str">
        <f>Declarații_LEASING_FIN!B10</f>
        <v>2026-07-31</v>
      </c>
      <c r="D15" s="80">
        <f>Jurnale_LEASING_FIN!B37</f>
        <v>2133</v>
      </c>
      <c r="E15" s="80">
        <f>Jurnale_LEASING_FIN!E37</f>
        <v>4426</v>
      </c>
      <c r="F15" s="80">
        <f>Jurnale_LEASING_FIN!C37</f>
        <v>210</v>
      </c>
      <c r="G15" s="80" t="str">
        <f>Jurnale_LEASING_FIN!D37</f>
        <v>TVA nededusă pe rata de capital — capitalizată — leasing LF-2026-001 2026-07</v>
      </c>
      <c r="H15" s="80" t="inlineStr">
        <is>
          <t>Notă contabilă</t>
        </is>
      </c>
      <c r="I15" s="39" t="str">
        <f>IF(F15&gt;0.001,"DA","NU")</f>
        <v>DA</v>
      </c>
    </row>
    <row r="16">
      <c r="A16" s="80" t="n">
        <v>12</v>
      </c>
      <c r="B16" s="80" t="inlineStr">
        <is>
          <t>Bloc 6 — TVA nededusă dobândă</t>
        </is>
      </c>
      <c r="C16" s="80" t="str">
        <f>Declarații_LEASING_FIN!B10</f>
        <v>2026-07-31</v>
      </c>
      <c r="D16" s="80">
        <f>Jurnale_LEASING_FIN!B38</f>
        <v>666</v>
      </c>
      <c r="E16" s="80">
        <f>Jurnale_LEASING_FIN!E38</f>
        <v>4426</v>
      </c>
      <c r="F16" s="80">
        <f>Jurnale_LEASING_FIN!C38</f>
        <v>52.5</v>
      </c>
      <c r="G16" s="80" t="str">
        <f>Jurnale_LEASING_FIN!D38</f>
        <v>TVA nededusă pe dobândă — leasing LF-2026-001 2026-07</v>
      </c>
      <c r="H16" s="80" t="inlineStr">
        <is>
          <t>Notă contabilă</t>
        </is>
      </c>
      <c r="I16" s="39" t="str">
        <f>IF(F16&gt;0.001,"DA","NU")</f>
        <v>DA</v>
      </c>
    </row>
    <row r="17">
      <c r="A17" s="80" t="n">
        <v>13</v>
      </c>
      <c r="B17" s="80" t="inlineStr">
        <is>
          <t>Bloc 6 — TVA nededusă comision</t>
        </is>
      </c>
      <c r="C17" s="80" t="str">
        <f>Declarații_LEASING_FIN!B10</f>
        <v>2026-07-31</v>
      </c>
      <c r="D17" s="80">
        <f>Jurnale_LEASING_FIN!B39</f>
        <v>628</v>
      </c>
      <c r="E17" s="80">
        <f>Jurnale_LEASING_FIN!E39</f>
        <v>4426</v>
      </c>
      <c r="F17" s="80">
        <f>Jurnale_LEASING_FIN!C39</f>
        <v>10.5</v>
      </c>
      <c r="G17" s="80" t="str">
        <f>Jurnale_LEASING_FIN!D39</f>
        <v>TVA nededusă pe comision — leasing LF-2026-001 2026-07</v>
      </c>
      <c r="H17" s="80" t="inlineStr">
        <is>
          <t>Notă contabilă</t>
        </is>
      </c>
      <c r="I17" s="39" t="str">
        <f>IF(F17&gt;0.001,"DA","NU")</f>
        <v>DA</v>
      </c>
    </row>
    <row r="18">
      <c r="A18" s="80" t="n">
        <v>14</v>
      </c>
      <c r="B18" s="80" t="inlineStr">
        <is>
          <t>Bloc 7 — Dobândă nedeductibilă</t>
        </is>
      </c>
      <c r="C18" s="80" t="str">
        <f>Declarații_LEASING_FIN!B10</f>
        <v>2026-07-31</v>
      </c>
      <c r="D18" s="80" t="str">
        <f>Jurnale_LEASING_FIN!B44</f>
        <v>666.NED</v>
      </c>
      <c r="E18" s="80">
        <f>Jurnale_LEASING_FIN!E44</f>
        <v>666</v>
      </c>
      <c r="F18" s="80">
        <f>Jurnale_LEASING_FIN!C44</f>
        <v>276.25</v>
      </c>
      <c r="G18" s="80" t="str">
        <f>Jurnale_LEASING_FIN!D44</f>
        <v>Dobândă nedeductibilă 50% — leasing LF-2026-001 2026-07</v>
      </c>
      <c r="H18" s="80" t="inlineStr">
        <is>
          <t>Notă contabilă</t>
        </is>
      </c>
      <c r="I18" s="39" t="str">
        <f>IF(F18&gt;0.001,"DA","NU")</f>
        <v>DA</v>
      </c>
    </row>
    <row r="19">
      <c r="A19" s="80" t="n">
        <v>15</v>
      </c>
      <c r="B19" s="80" t="inlineStr">
        <is>
          <t>Bloc 7 — Comision nedeductibil</t>
        </is>
      </c>
      <c r="C19" s="80" t="str">
        <f>Declarații_LEASING_FIN!B10</f>
        <v>2026-07-31</v>
      </c>
      <c r="D19" s="80" t="str">
        <f>Jurnale_LEASING_FIN!B45</f>
        <v>628.NED</v>
      </c>
      <c r="E19" s="80">
        <f>Jurnale_LEASING_FIN!E45</f>
        <v>628</v>
      </c>
      <c r="F19" s="80">
        <f>Jurnale_LEASING_FIN!C45</f>
        <v>55.25</v>
      </c>
      <c r="G19" s="80" t="str">
        <f>Jurnale_LEASING_FIN!D45</f>
        <v>Comision nedeductibil 50% — leasing LF-2026-001 2026-07</v>
      </c>
      <c r="H19" s="80" t="inlineStr">
        <is>
          <t>Notă contabilă</t>
        </is>
      </c>
      <c r="I19" s="39" t="str">
        <f>IF(F19&gt;0.001,"DA","NU")</f>
        <v>DA</v>
      </c>
    </row>
    <row r="20">
      <c r="A20" s="80" t="n">
        <v>16</v>
      </c>
      <c r="B20" s="80" t="inlineStr">
        <is>
          <t>Bloc 7 — CASCO nedeductibil</t>
        </is>
      </c>
      <c r="C20" s="80" t="str">
        <f>Declarații_LEASING_FIN!B10</f>
        <v>2026-07-31</v>
      </c>
      <c r="D20" s="80" t="str">
        <f>Jurnale_LEASING_FIN!B46</f>
        <v>613.NED</v>
      </c>
      <c r="E20" s="80">
        <f>Jurnale_LEASING_FIN!E46</f>
        <v>613</v>
      </c>
      <c r="F20" s="80">
        <f>Jurnale_LEASING_FIN!C46</f>
        <v>10</v>
      </c>
      <c r="G20" s="80" t="str">
        <f>Jurnale_LEASING_FIN!D46</f>
        <v>CASCO nedeductibil 50% — leasing LF-2026-001 2026-07</v>
      </c>
      <c r="H20" s="80" t="inlineStr">
        <is>
          <t>Notă contabilă</t>
        </is>
      </c>
      <c r="I20" s="39" t="str">
        <f>IF(F20&gt;0.001,"DA","NU")</f>
        <v>DA</v>
      </c>
    </row>
    <row r="21">
      <c r="A21" s="80" t="n">
        <v>17</v>
      </c>
      <c r="B21" s="80" t="inlineStr">
        <is>
          <t>Bloc 8 — Amortizare</t>
        </is>
      </c>
      <c r="C21" s="80" t="str">
        <f>Declarații_LEASING_FIN!B10</f>
        <v>2026-07-31</v>
      </c>
      <c r="D21" s="80">
        <f>Jurnale_LEASING_FIN!B50</f>
        <v>6811</v>
      </c>
      <c r="E21" s="80">
        <f>Jurnale_LEASING_FIN!E50</f>
        <v>2813</v>
      </c>
      <c r="F21" s="80">
        <f>Jurnale_LEASING_FIN!C50</f>
        <v>2587.5</v>
      </c>
      <c r="G21" s="80" t="str">
        <f>Jurnale_LEASING_FIN!D50</f>
        <v>Amortizare contabilă (din care nedeductibil 1087.50 lei) — leasing LF-2026-001 2026-07</v>
      </c>
      <c r="H21" s="80" t="inlineStr">
        <is>
          <t>Notă de amortizare</t>
        </is>
      </c>
      <c r="I21" s="39" t="str">
        <f>IF(F21&gt;0.001,"DA","NU")</f>
        <v>DA</v>
      </c>
    </row>
    <row r="23">
      <c r="A23" s="80" t="inlineStr">
        <is>
          <t>Rânduri de importat (Include=DA)</t>
        </is>
      </c>
      <c r="B23" s="80">
        <f>COUNTIF(I5:I21,"DA")</f>
        <v>17</v>
      </c>
    </row>
    <row r="24">
      <c r="A24" s="80" t="inlineStr">
        <is>
          <t>Check global (trebuie 0)</t>
        </is>
      </c>
      <c r="B24" s="80">
        <f>Jurnale_LEASING_FIN!B53-Jurnale_LEASING_FIN!B54</f>
        <v>0</v>
      </c>
      <c r="C24" s="80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2026-08-14T13:51:44Z</dcterms:created>
  <dcterms:modified xsi:type="dcterms:W3CDTF">2026-08-17T07:55:47Z</dcterms:modified>
  <cp:revision>0</cp:revision>
</cp:coreProperties>
</file>