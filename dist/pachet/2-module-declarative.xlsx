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7">
      <c r="A37" s="43" t="inlineStr">
        <is>
          <t>1621</t>
        </is>
      </c>
      <c r="B37" s="43" t="n">
        <v>-85000</v>
      </c>
      <c r="C37" s="43" t="inlineStr"/>
      <c r="D37" s="43" t="inlineStr"/>
    </row>
    <row r="39">
      <c r="A39" s="42" t="inlineStr">
        <is>
          <t>5. Continuitatea total-sumelor (doar la preluare)</t>
        </is>
      </c>
    </row>
    <row r="40">
      <c r="A40" s="43" t="inlineStr">
        <is>
          <t>Total sume DEBITOARE, balanța lunii anterioare</t>
        </is>
      </c>
      <c r="B40" s="64" t="n">
        <v>2450000</v>
      </c>
    </row>
    <row r="41">
      <c r="A41" s="43" t="inlineStr">
        <is>
          <t>Total sume CREDITOARE, balanța lunii anterioare</t>
        </is>
      </c>
      <c r="B41" s="64" t="n">
        <v>2450000</v>
      </c>
    </row>
    <row r="42">
      <c r="A42" s="43" t="inlineStr">
        <is>
          <t>Total sume DEBITOARE, luna curentă</t>
        </is>
      </c>
      <c r="B42" s="64" t="n">
        <v>2780000</v>
      </c>
    </row>
    <row r="43">
      <c r="A43" s="43" t="inlineStr">
        <is>
          <t>Total sume CREDITOARE, luna curentă</t>
        </is>
      </c>
      <c r="B43" s="64" t="n">
        <v>2780000</v>
      </c>
    </row>
    <row r="45">
      <c r="A45" s="42" t="inlineStr">
        <is>
          <t>6. Control</t>
        </is>
      </c>
    </row>
    <row r="46">
      <c r="A46" s="43" t="inlineStr">
        <is>
          <t>Modul activ?</t>
        </is>
      </c>
      <c r="B46" s="43" t="str">
        <f>IF(INDEX(CatalogModule!$A$1:$A$200,MATCH("MOD_CONTROL_BALANTA",CatalogModule!$B$1:$B$200,0))="DA","ACTIV","INACTIV")</f>
        <v>ACTIV</v>
      </c>
    </row>
    <row r="47">
      <c r="A47" s="43" t="inlineStr">
        <is>
          <t>Cauza cea mai frecventă a diferenței analitic ↔ sintetic</t>
        </is>
      </c>
      <c r="B47" s="43" t="inlineStr">
        <is>
          <t>O operațiune făcută DUPĂ închiderea de lună, fără refacerea închiderii. Programul te lasă, iar diferența nu se anunță singură.</t>
        </is>
      </c>
    </row>
    <row r="48">
      <c r="A48" s="43" t="inlineStr">
        <is>
          <t>Ordinea de verificare</t>
        </is>
      </c>
      <c r="B48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7">
      <c r="A27" s="43" t="inlineStr">
        <is>
          <t>1621</t>
        </is>
      </c>
      <c r="B27" s="43" t="inlineStr">
        <is>
          <t>Pasiv</t>
        </is>
      </c>
      <c r="C27" s="43" t="inlineStr">
        <is>
          <t>Creditor</t>
        </is>
      </c>
      <c r="D27" s="43" t="inlineStr"/>
    </row>
    <row r="29">
      <c r="A29" s="42" t="inlineStr">
        <is>
          <t>Tabelul C — LIMITĂRI DECLARATE</t>
        </is>
      </c>
    </row>
    <row r="30">
      <c r="A30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1">
      <c r="A31" s="44" t="inlineStr">
        <is>
          <t>• Lista conturilor cu analitic obligatoriu e o convenție de cabinet, nu o regulă legală. Se completează pe măsură ce apar conturi noi cu analitic.</t>
        </is>
      </c>
    </row>
    <row r="32">
      <c r="A32" s="44" t="inlineStr">
        <is>
          <t>• Cifrele se introduc; modulul nu citește balanța din fișier. Citirea automată e sarcina următoare — vezi tabelul D.</t>
        </is>
      </c>
    </row>
    <row r="33">
      <c r="A33" s="44" t="inlineStr">
        <is>
          <t>• Decontul de TVA (a treia căsuță a formatorului) NU e aici: e deja implementat în MOD_INCHIDERE_LUNARA, blocul V4, corelația C-29.</t>
        </is>
      </c>
    </row>
    <row r="34">
      <c r="A34" s="44" t="inlineStr">
        <is>
          <t>• V4 se rulează doar la preluare. În restul lunilor continuitatea e dată de faptul că lucrezi în același fișier.</t>
        </is>
      </c>
    </row>
    <row r="36">
      <c r="A36" s="42" t="inlineStr">
        <is>
          <t>Tabelul D — Ce rămâne de automatizat</t>
        </is>
      </c>
    </row>
    <row r="37">
      <c r="A37" s="65" t="inlineStr">
        <is>
          <t>Pasul</t>
        </is>
      </c>
      <c r="B37" s="65" t="inlineStr">
        <is>
          <t>Ce ar face</t>
        </is>
      </c>
      <c r="C37" s="65" t="inlineStr">
        <is>
          <t>De ce nu e făcut încă</t>
        </is>
      </c>
      <c r="D37" s="65" t="inlineStr"/>
    </row>
    <row r="38">
      <c r="A38" s="43" t="inlineStr">
        <is>
          <t>Citirea balanței</t>
        </is>
      </c>
      <c r="B38" s="43" t="inlineStr">
        <is>
          <t>Preluarea cifrelor direct din fișierul de balanță</t>
        </is>
      </c>
      <c r="C38" s="43" t="inlineStr">
        <is>
          <t>Formatul diferă de la un program la altul; cere o hartă pe fiecare</t>
        </is>
      </c>
      <c r="D38" s="43" t="inlineStr"/>
    </row>
    <row r="39">
      <c r="A39" s="43" t="inlineStr">
        <is>
          <t>Detectarea analiticelor</t>
        </is>
      </c>
      <c r="B39" s="43" t="inlineStr">
        <is>
          <t>Recunoașterea automată a conturilor cu analitic</t>
        </is>
      </c>
      <c r="C39" s="43" t="inlineStr">
        <is>
          <t>Cere convenția de denumire a analiticelor, care nu e uniformă</t>
        </is>
      </c>
      <c r="D39" s="43" t="inlineStr"/>
    </row>
    <row r="40">
      <c r="A40" s="43" t="inlineStr">
        <is>
          <t>Localizarea diferenței</t>
        </is>
      </c>
      <c r="B40" s="43" t="inlineStr">
        <is>
          <t>Nu doar CĂ diferă, ci pe ce analitic</t>
        </is>
      </c>
      <c r="C40" s="43" t="inlineStr">
        <is>
          <t>Cere balanța analitică rând cu rând, nu doar totalul</t>
        </is>
      </c>
      <c r="D40" s="43" t="inlineStr"/>
    </row>
    <row r="42">
      <c r="A42" s="42" t="inlineStr">
        <is>
          <t>Temei legal</t>
        </is>
      </c>
    </row>
    <row r="43">
      <c r="A43" s="65" t="inlineStr">
        <is>
          <t>Ce se sprijină pe el</t>
        </is>
      </c>
      <c r="B43" s="65" t="inlineStr">
        <is>
          <t>Temei</t>
        </is>
      </c>
    </row>
    <row r="44">
      <c r="A44" s="43" t="inlineStr">
        <is>
          <t>Contabilitatea analitică se ține obligatoriu, în dezvoltarea celei sintetice</t>
        </is>
      </c>
      <c r="B44" s="43" t="inlineStr">
        <is>
          <t>Legea contabilității 82/1991, art. 2 alin. (1)</t>
        </is>
      </c>
    </row>
    <row r="45">
      <c r="A45" s="43" t="inlineStr">
        <is>
          <t>Balanța de verificare are rolul de a controla exactitatea înregistrărilor și concordanța dintre contabilitatea sintetică și cea analitică</t>
        </is>
      </c>
      <c r="B45" s="43" t="inlineStr">
        <is>
          <t>Legea 82/1991, art. 22 — chiar rostul declarat al balanței</t>
        </is>
      </c>
    </row>
    <row r="46">
      <c r="A46" s="43" t="inlineStr">
        <is>
          <t>Registrele obligatorii: registrul-jurnal, registrul-inventar și Cartea mare</t>
        </is>
      </c>
      <c r="B46" s="43" t="inlineStr">
        <is>
          <t>Legea 82/1991, art. 20</t>
        </is>
      </c>
    </row>
    <row r="47">
      <c r="A47" s="43" t="inlineStr">
        <is>
          <t>Situațiile financiare se întocmesc pe baza balanței de verificare</t>
        </is>
      </c>
      <c r="B47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29">
      <c r="A29" s="43" t="inlineStr">
        <is>
          <t>C-23</t>
        </is>
      </c>
      <c r="B29" s="43" t="inlineStr">
        <is>
          <t>1621 — Pasiv, sold normal creditor</t>
        </is>
      </c>
      <c r="C29" s="43">
        <f>Declarații_CONTROL_BALANTA!B37</f>
        <v>-85000</v>
      </c>
      <c r="D29" s="43" t="inlineStr">
        <is>
          <t>Creditor</t>
        </is>
      </c>
      <c r="E29" s="43">
        <f>IF(Declarații_CONTROL_BALANTA!B37&gt;0,ABS(Declarații_CONTROL_BALANTA!B37),0)</f>
        <v>0</v>
      </c>
      <c r="F29" s="43" t="str">
        <f>IF(E29&lt;0.01,"OK","ATENȚIE — 1621 are sold contrar naturii: "&amp;TEXT(E29,"#,##0.00")&amp;" lei pe sensul greșit")</f>
        <v>OK</v>
      </c>
    </row>
    <row r="31">
      <c r="A31" s="42" t="inlineStr">
        <is>
          <t>V4 — continuitatea total-sumelor (la preluare)</t>
        </is>
      </c>
    </row>
    <row r="32">
      <c r="A32" s="65" t="inlineStr">
        <is>
          <t>Cod</t>
        </is>
      </c>
      <c r="B32" s="65" t="inlineStr">
        <is>
          <t>Ce verifică</t>
        </is>
      </c>
      <c r="C32" s="65" t="inlineStr">
        <is>
          <t>Luna anterioară</t>
        </is>
      </c>
      <c r="D32" s="65" t="inlineStr">
        <is>
          <t>Luna curentă</t>
        </is>
      </c>
      <c r="E32" s="65" t="inlineStr">
        <is>
          <t>Creștere</t>
        </is>
      </c>
      <c r="F32" s="65" t="inlineStr">
        <is>
          <t>Verdict</t>
        </is>
      </c>
    </row>
    <row r="33">
      <c r="A33" s="43" t="inlineStr">
        <is>
          <t>C-39</t>
        </is>
      </c>
      <c r="B33" s="43" t="inlineStr">
        <is>
          <t>total sume debitoare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4">
      <c r="A34" s="43" t="inlineStr">
        <is>
          <t>C-39</t>
        </is>
      </c>
      <c r="B34" s="43" t="inlineStr">
        <is>
          <t>total sume creditoare cresc monoton</t>
        </is>
      </c>
      <c r="C34" s="43">
        <f>Declarații_CONTROL_BALANTA!B41</f>
        <v>2450000</v>
      </c>
      <c r="D34" s="43">
        <f>Declarații_CONTROL_BALANTA!B43</f>
        <v>2780000</v>
      </c>
      <c r="E34" s="43">
        <f>IF(Declarații_CONTROL_BALANTA!B8&lt;&gt;"DA",0,MIN(0,Declarații_CONTROL_BALANTA!B43-Declarații_CONTROL_BALANTA!B41))</f>
        <v>0</v>
      </c>
      <c r="F34" s="43" t="str">
        <f>IF(Declarații_CONTROL_BALANTA!B8&lt;&gt;"DA","— (nu e lună de preluare)",IF(E34&gt;=0,"OK — total sumele au continuitate","ATENȚIE — total sumele au SCĂZUT: s-au preluat soldurile ca sold inițial, nu total sumele. Orice verificare pe rulaj devine falsă"))</f>
        <v>— (nu e lună de preluare)</v>
      </c>
    </row>
    <row r="36">
      <c r="A36" s="42" t="inlineStr">
        <is>
          <t>Control final</t>
        </is>
      </c>
    </row>
    <row r="37">
      <c r="A37" s="43" t="inlineStr">
        <is>
          <t>Check — toate verificările balanței</t>
        </is>
      </c>
      <c r="B37" s="43">
        <f>ABS(E6)+ABS(E7)+ABS(E8)+ABS(E9)+ABS(E10)+ABS(E11)+ABS(E12)+ABS(E13)+ABS(E17)+ABS(E21)+ABS(E22)+ABS(E23)+ABS(E24)+ABS(E25)+ABS(E26)+ABS(E27)+ABS(E28)+ABS(E29)+ABS(E33)+ABS(E34)</f>
        <v>0</v>
      </c>
      <c r="C37" s="43" t="str">
        <f>IF(ABS(B37)&lt;0.01,"OK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IF(ABS(Verificări_CONTROL_BALANTA!E29)&lt;0.01,"NU","DA")</f>
        <v>NU</v>
      </c>
      <c r="B22" s="43" t="inlineStr">
        <is>
          <t>C-23</t>
        </is>
      </c>
      <c r="C22" s="43" t="inlineStr">
        <is>
          <t>1621 sens sold</t>
        </is>
      </c>
      <c r="D22" s="43">
        <f>Verificări_CONTROL_BALANTA!E29</f>
        <v>0</v>
      </c>
      <c r="E22" s="43" t="inlineStr">
        <is>
          <t>Se caută operațiunea care a răsturnat soldul. Un cont de activ cu sold creditor e cel mai des un avans neînregistrat ca avans (vezi F-415).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debitoare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4">
      <c r="A24" s="43" t="str">
        <f>IF(ABS(Verificări_CONTROL_BALANTA!E34)&lt;0.01,"NU","DA")</f>
        <v>NU</v>
      </c>
      <c r="B24" s="43" t="inlineStr">
        <is>
          <t>C-39</t>
        </is>
      </c>
      <c r="C24" s="43" t="inlineStr">
        <is>
          <t>total sume creditoare</t>
        </is>
      </c>
      <c r="D24" s="43">
        <f>Verificări_CONTROL_BALANTA!E34</f>
        <v>0</v>
      </c>
      <c r="E24" s="43" t="inlineStr">
        <is>
          <t>Se reface preluarea: se introduc TOTAL SUMELE debitoare și creditoare din balanța de preluare, nu soldurile. Altfel rulajele anului pornesc de la zero din luna preluării.</t>
        </is>
      </c>
    </row>
    <row r="26">
      <c r="A26" s="43" t="inlineStr">
        <is>
          <t>Check — număr de abateri</t>
        </is>
      </c>
      <c r="B26" s="43">
        <f>COUNTIF(A5:A24,"DA")</f>
        <v>0</v>
      </c>
      <c r="C26" s="43" t="str">
        <f>IF(B26=0,"OK — nicio abatere","ATENȚIE — "&amp;B26&amp;"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2026-08-29T08:19:40Z</dcterms:modified>
  <cp:revision>0</cp:revision>
</cp:coreProperties>
</file>