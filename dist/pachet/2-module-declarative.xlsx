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uni" sheetId="1" state="visible" r:id="rId1"/>
    <sheet xmlns:r="http://schemas.openxmlformats.org/officeDocument/2006/relationships" name="Parametri" sheetId="2" state="visible" r:id="rId2"/>
    <sheet xmlns:r="http://schemas.openxmlformats.org/officeDocument/2006/relationships" name="CatalogModule" sheetId="3" state="visible" r:id="rId3"/>
    <sheet xmlns:r="http://schemas.openxmlformats.org/officeDocument/2006/relationships" name="Declarații_CAPITALURI" sheetId="4" state="visible" r:id="rId4"/>
    <sheet xmlns:r="http://schemas.openxmlformats.org/officeDocument/2006/relationships" name="Reguli_CAPITALURI" sheetId="5" state="visible" r:id="rId5"/>
    <sheet xmlns:r="http://schemas.openxmlformats.org/officeDocument/2006/relationships" name="Jurnale_CAPITALURI" sheetId="6" state="visible" r:id="rId6"/>
    <sheet xmlns:r="http://schemas.openxmlformats.org/officeDocument/2006/relationships" name="NotaExport_CAPITALURI" sheetId="7" state="visible" r:id="rId7"/>
    <sheet xmlns:r="http://schemas.openxmlformats.org/officeDocument/2006/relationships" name="Declarații_INCHIDERE_EX" sheetId="8" state="visible" r:id="rId8"/>
    <sheet xmlns:r="http://schemas.openxmlformats.org/officeDocument/2006/relationships" name="Reguli_INCHIDERE_EX" sheetId="9" state="visible" r:id="rId9"/>
    <sheet xmlns:r="http://schemas.openxmlformats.org/officeDocument/2006/relationships" name="Jurnale_INCHIDERE_EX" sheetId="10" state="visible" r:id="rId10"/>
    <sheet xmlns:r="http://schemas.openxmlformats.org/officeDocument/2006/relationships" name="NotaExport_INCHIDERE_EX" sheetId="11" state="visible" r:id="rId11"/>
    <sheet xmlns:r="http://schemas.openxmlformats.org/officeDocument/2006/relationships" name="Declarații_PROVIZION" sheetId="12" state="visible" r:id="rId12"/>
    <sheet xmlns:r="http://schemas.openxmlformats.org/officeDocument/2006/relationships" name="Reguli_PROVIZION" sheetId="13" state="visible" r:id="rId13"/>
    <sheet xmlns:r="http://schemas.openxmlformats.org/officeDocument/2006/relationships" name="Jurnale_PROVIZION" sheetId="14" state="visible" r:id="rId14"/>
    <sheet xmlns:r="http://schemas.openxmlformats.org/officeDocument/2006/relationships" name="NotaExport_PROVIZION" sheetId="15" state="visible" r:id="rId15"/>
    <sheet xmlns:r="http://schemas.openxmlformats.org/officeDocument/2006/relationships" name="Declarații_CREDIT_VALUTA" sheetId="16" state="visible" r:id="rId16"/>
    <sheet xmlns:r="http://schemas.openxmlformats.org/officeDocument/2006/relationships" name="Reguli_CREDIT_VALUTA" sheetId="17" state="visible" r:id="rId17"/>
    <sheet xmlns:r="http://schemas.openxmlformats.org/officeDocument/2006/relationships" name="Jurnale_CREDIT_VALUTA" sheetId="18" state="visible" r:id="rId18"/>
    <sheet xmlns:r="http://schemas.openxmlformats.org/officeDocument/2006/relationships" name="NotaExport_CREDIT_VALUTA" sheetId="19" state="visible" r:id="rId19"/>
    <sheet xmlns:r="http://schemas.openxmlformats.org/officeDocument/2006/relationships" name="Declarații_LEASING_FIN" sheetId="20" state="visible" r:id="rId20"/>
    <sheet xmlns:r="http://schemas.openxmlformats.org/officeDocument/2006/relationships" name="Reguli_LEASING_FIN" sheetId="21" state="visible" r:id="rId21"/>
    <sheet xmlns:r="http://schemas.openxmlformats.org/officeDocument/2006/relationships" name="Jurnale_LEASING_FIN" sheetId="22" state="visible" r:id="rId22"/>
    <sheet xmlns:r="http://schemas.openxmlformats.org/officeDocument/2006/relationships" name="NotaExport_LEASING_FIN" sheetId="23" state="visible" r:id="rId23"/>
    <sheet xmlns:r="http://schemas.openxmlformats.org/officeDocument/2006/relationships" name="Declarații_DIVIDENDE" sheetId="24" state="visible" r:id="rId24"/>
    <sheet xmlns:r="http://schemas.openxmlformats.org/officeDocument/2006/relationships" name="Reguli_DIVIDENDE" sheetId="25" state="visible" r:id="rId25"/>
    <sheet xmlns:r="http://schemas.openxmlformats.org/officeDocument/2006/relationships" name="Jurnale_DIVIDENDE" sheetId="26" state="visible" r:id="rId26"/>
    <sheet xmlns:r="http://schemas.openxmlformats.org/officeDocument/2006/relationships" name="NotaExport_DIVIDENDE" sheetId="27" state="visible" r:id="rId27"/>
    <sheet xmlns:r="http://schemas.openxmlformats.org/officeDocument/2006/relationships" name="Declarații_IMOBILIZARI" sheetId="28" state="visible" r:id="rId28"/>
    <sheet xmlns:r="http://schemas.openxmlformats.org/officeDocument/2006/relationships" name="Reguli_IMOBILIZARI" sheetId="29" state="visible" r:id="rId29"/>
    <sheet xmlns:r="http://schemas.openxmlformats.org/officeDocument/2006/relationships" name="Jurnale_IMOBILIZARI" sheetId="30" state="visible" r:id="rId30"/>
    <sheet xmlns:r="http://schemas.openxmlformats.org/officeDocument/2006/relationships" name="NotaExport_IMOBILIZARI" sheetId="31" state="visible" r:id="rId31"/>
    <sheet xmlns:r="http://schemas.openxmlformats.org/officeDocument/2006/relationships" name="Declarații_NEUTRALIZARE" sheetId="32" state="visible" r:id="rId32"/>
    <sheet xmlns:r="http://schemas.openxmlformats.org/officeDocument/2006/relationships" name="Reguli_NEUTRALIZARE" sheetId="33" state="visible" r:id="rId33"/>
    <sheet xmlns:r="http://schemas.openxmlformats.org/officeDocument/2006/relationships" name="Jurnale_NEUTRALIZARE" sheetId="34" state="visible" r:id="rId34"/>
    <sheet xmlns:r="http://schemas.openxmlformats.org/officeDocument/2006/relationships" name="NotaExport_NEUTRALIZARE" sheetId="35" state="visible" r:id="rId35"/>
    <sheet xmlns:r="http://schemas.openxmlformats.org/officeDocument/2006/relationships" name="Declarații_SUBVENTIE" sheetId="36" state="visible" r:id="rId36"/>
    <sheet xmlns:r="http://schemas.openxmlformats.org/officeDocument/2006/relationships" name="Reguli_SUBVENTIE" sheetId="37" state="visible" r:id="rId37"/>
    <sheet xmlns:r="http://schemas.openxmlformats.org/officeDocument/2006/relationships" name="Jurnale_SUBVENTIE" sheetId="38" state="visible" r:id="rId38"/>
    <sheet xmlns:r="http://schemas.openxmlformats.org/officeDocument/2006/relationships" name="NotaExport_SUBVENTIE" sheetId="39" state="visible" r:id="rId39"/>
    <sheet xmlns:r="http://schemas.openxmlformats.org/officeDocument/2006/relationships" name="Declarații_IESIRE_MF" sheetId="40" state="visible" r:id="rId40"/>
    <sheet xmlns:r="http://schemas.openxmlformats.org/officeDocument/2006/relationships" name="Reguli_IESIRE_MF" sheetId="41" state="visible" r:id="rId41"/>
    <sheet xmlns:r="http://schemas.openxmlformats.org/officeDocument/2006/relationships" name="Jurnale_IESIRE_MF" sheetId="42" state="visible" r:id="rId42"/>
    <sheet xmlns:r="http://schemas.openxmlformats.org/officeDocument/2006/relationships" name="NotaExport_IESIRE_MF" sheetId="43" state="visible" r:id="rId43"/>
    <sheet xmlns:r="http://schemas.openxmlformats.org/officeDocument/2006/relationships" name="Declarații_APROV_TRANZIT" sheetId="44" state="visible" r:id="rId44"/>
    <sheet xmlns:r="http://schemas.openxmlformats.org/officeDocument/2006/relationships" name="Reguli_APROV_TRANZIT" sheetId="45" state="visible" r:id="rId45"/>
    <sheet xmlns:r="http://schemas.openxmlformats.org/officeDocument/2006/relationships" name="Jurnale_APROV_TRANZIT" sheetId="46" state="visible" r:id="rId46"/>
    <sheet xmlns:r="http://schemas.openxmlformats.org/officeDocument/2006/relationships" name="NotaExport_APROV_TRANZIT" sheetId="47" state="visible" r:id="rId47"/>
    <sheet xmlns:r="http://schemas.openxmlformats.org/officeDocument/2006/relationships" name="Declarații_TAXARE_INVERSA" sheetId="48" state="visible" r:id="rId48"/>
    <sheet xmlns:r="http://schemas.openxmlformats.org/officeDocument/2006/relationships" name="Reguli_TAXARE_INVERSA" sheetId="49" state="visible" r:id="rId49"/>
    <sheet xmlns:r="http://schemas.openxmlformats.org/officeDocument/2006/relationships" name="Jurnale_TAXARE_INVERSA" sheetId="50" state="visible" r:id="rId50"/>
    <sheet xmlns:r="http://schemas.openxmlformats.org/officeDocument/2006/relationships" name="NotaExport_TAXARE_INVERSA" sheetId="51" state="visible" r:id="rId51"/>
    <sheet xmlns:r="http://schemas.openxmlformats.org/officeDocument/2006/relationships" name="Declarații_AMANUNT" sheetId="52" state="visible" r:id="rId52"/>
    <sheet xmlns:r="http://schemas.openxmlformats.org/officeDocument/2006/relationships" name="Reguli_AMANUNT" sheetId="53" state="visible" r:id="rId53"/>
    <sheet xmlns:r="http://schemas.openxmlformats.org/officeDocument/2006/relationships" name="Jurnale_AMANUNT" sheetId="54" state="visible" r:id="rId54"/>
    <sheet xmlns:r="http://schemas.openxmlformats.org/officeDocument/2006/relationships" name="NotaExport_AMANUNT" sheetId="55" state="visible" r:id="rId55"/>
    <sheet xmlns:r="http://schemas.openxmlformats.org/officeDocument/2006/relationships" name="Declarații_IMPORT" sheetId="56" state="visible" r:id="rId56"/>
    <sheet xmlns:r="http://schemas.openxmlformats.org/officeDocument/2006/relationships" name="Reguli_IMPORT" sheetId="57" state="visible" r:id="rId57"/>
    <sheet xmlns:r="http://schemas.openxmlformats.org/officeDocument/2006/relationships" name="Jurnale_IMPORT" sheetId="58" state="visible" r:id="rId58"/>
    <sheet xmlns:r="http://schemas.openxmlformats.org/officeDocument/2006/relationships" name="NotaExport_IMPORT" sheetId="59" state="visible" r:id="rId59"/>
    <sheet xmlns:r="http://schemas.openxmlformats.org/officeDocument/2006/relationships" name="Declarații_TVA_INC" sheetId="60" state="visible" r:id="rId60"/>
    <sheet xmlns:r="http://schemas.openxmlformats.org/officeDocument/2006/relationships" name="Reguli_TVA_INC" sheetId="61" state="visible" r:id="rId61"/>
    <sheet xmlns:r="http://schemas.openxmlformats.org/officeDocument/2006/relationships" name="Jurnale_TVA_INC" sheetId="62" state="visible" r:id="rId62"/>
    <sheet xmlns:r="http://schemas.openxmlformats.org/officeDocument/2006/relationships" name="NotaExport_TVA_INC" sheetId="63" state="visible" r:id="rId63"/>
    <sheet xmlns:r="http://schemas.openxmlformats.org/officeDocument/2006/relationships" name="Declarații_INCHIDERE_TVA" sheetId="64" state="visible" r:id="rId64"/>
    <sheet xmlns:r="http://schemas.openxmlformats.org/officeDocument/2006/relationships" name="Reguli_INCHIDERE_TVA" sheetId="65" state="visible" r:id="rId65"/>
    <sheet xmlns:r="http://schemas.openxmlformats.org/officeDocument/2006/relationships" name="Jurnale_INCHIDERE_TVA" sheetId="66" state="visible" r:id="rId66"/>
    <sheet xmlns:r="http://schemas.openxmlformats.org/officeDocument/2006/relationships" name="NotaExport_INCHIDERE_TVA" sheetId="67" state="visible" r:id="rId67"/>
    <sheet xmlns:r="http://schemas.openxmlformats.org/officeDocument/2006/relationships" name="Declarații_FARA_DOCUMENT" sheetId="68" state="visible" r:id="rId68"/>
    <sheet xmlns:r="http://schemas.openxmlformats.org/officeDocument/2006/relationships" name="Reguli_FARA_DOCUMENT" sheetId="69" state="visible" r:id="rId69"/>
    <sheet xmlns:r="http://schemas.openxmlformats.org/officeDocument/2006/relationships" name="Jurnale_FARA_DOCUMENT" sheetId="70" state="visible" r:id="rId70"/>
    <sheet xmlns:r="http://schemas.openxmlformats.org/officeDocument/2006/relationships" name="NotaExport_FARA_DOCUMENT" sheetId="71" state="visible" r:id="rId71"/>
    <sheet xmlns:r="http://schemas.openxmlformats.org/officeDocument/2006/relationships" name="Declarații_INTERMEDIAR" sheetId="72" state="visible" r:id="rId72"/>
    <sheet xmlns:r="http://schemas.openxmlformats.org/officeDocument/2006/relationships" name="Reguli_INTERMEDIAR" sheetId="73" state="visible" r:id="rId73"/>
    <sheet xmlns:r="http://schemas.openxmlformats.org/officeDocument/2006/relationships" name="Jurnale_INTERMEDIAR" sheetId="74" state="visible" r:id="rId74"/>
    <sheet xmlns:r="http://schemas.openxmlformats.org/officeDocument/2006/relationships" name="NotaExport_INTERMEDIAR" sheetId="75" state="visible" r:id="rId75"/>
    <sheet xmlns:r="http://schemas.openxmlformats.org/officeDocument/2006/relationships" name="Declarații_AVANSURI" sheetId="76" state="visible" r:id="rId76"/>
    <sheet xmlns:r="http://schemas.openxmlformats.org/officeDocument/2006/relationships" name="Reguli_AVANSURI" sheetId="77" state="visible" r:id="rId77"/>
    <sheet xmlns:r="http://schemas.openxmlformats.org/officeDocument/2006/relationships" name="Jurnale_AVANSURI" sheetId="78" state="visible" r:id="rId78"/>
    <sheet xmlns:r="http://schemas.openxmlformats.org/officeDocument/2006/relationships" name="NotaExport_AVANSURI" sheetId="79" state="visible" r:id="rId79"/>
    <sheet xmlns:r="http://schemas.openxmlformats.org/officeDocument/2006/relationships" name="Declarații_SALARII" sheetId="80" state="visible" r:id="rId80"/>
    <sheet xmlns:r="http://schemas.openxmlformats.org/officeDocument/2006/relationships" name="Reguli_SALARII" sheetId="81" state="visible" r:id="rId81"/>
    <sheet xmlns:r="http://schemas.openxmlformats.org/officeDocument/2006/relationships" name="Jurnale_SALARII" sheetId="82" state="visible" r:id="rId82"/>
    <sheet xmlns:r="http://schemas.openxmlformats.org/officeDocument/2006/relationships" name="NotaExport_SALARII" sheetId="83" state="visible" r:id="rId83"/>
    <sheet xmlns:r="http://schemas.openxmlformats.org/officeDocument/2006/relationships" name="Declarații_SALARII_EVENIMENTE" sheetId="84" state="visible" r:id="rId84"/>
    <sheet xmlns:r="http://schemas.openxmlformats.org/officeDocument/2006/relationships" name="Reguli_SALARII_EVENIMENTE" sheetId="85" state="visible" r:id="rId85"/>
    <sheet xmlns:r="http://schemas.openxmlformats.org/officeDocument/2006/relationships" name="Jurnale_SALARII_EVENIMENTE" sheetId="86" state="visible" r:id="rId86"/>
    <sheet xmlns:r="http://schemas.openxmlformats.org/officeDocument/2006/relationships" name="NotaExport_SALARII_EVENIMENTE" sheetId="87" state="visible" r:id="rId87"/>
    <sheet xmlns:r="http://schemas.openxmlformats.org/officeDocument/2006/relationships" name="Declarații_DECONT" sheetId="88" state="visible" r:id="rId88"/>
    <sheet xmlns:r="http://schemas.openxmlformats.org/officeDocument/2006/relationships" name="Reguli_DECONT" sheetId="89" state="visible" r:id="rId89"/>
    <sheet xmlns:r="http://schemas.openxmlformats.org/officeDocument/2006/relationships" name="Registru_DECONT" sheetId="90" state="visible" r:id="rId90"/>
    <sheet xmlns:r="http://schemas.openxmlformats.org/officeDocument/2006/relationships" name="Jurnale_DECONT" sheetId="91" state="visible" r:id="rId91"/>
    <sheet xmlns:r="http://schemas.openxmlformats.org/officeDocument/2006/relationships" name="NotaExport_DECONT" sheetId="92" state="visible" r:id="rId92"/>
    <sheet xmlns:r="http://schemas.openxmlformats.org/officeDocument/2006/relationships" name="Declarații_INCHIDERE_LUNARA" sheetId="93" state="visible" r:id="rId93"/>
    <sheet xmlns:r="http://schemas.openxmlformats.org/officeDocument/2006/relationships" name="Reguli_INCHIDERE_LUNARA" sheetId="94" state="visible" r:id="rId94"/>
    <sheet xmlns:r="http://schemas.openxmlformats.org/officeDocument/2006/relationships" name="Verificări_INCHIDERE_LUNARA" sheetId="95" state="visible" r:id="rId95"/>
    <sheet xmlns:r="http://schemas.openxmlformats.org/officeDocument/2006/relationships" name="Abateri_INCHIDERE_LUNARA" sheetId="96" state="visible" r:id="rId96"/>
  </sheets>
  <definedNames>
    <definedName name="param_proc_rezerva">Parametri!$B$18</definedName>
    <definedName name="param_plafon_rezerva">Parametri!$B$19</definedName>
    <definedName name="param_prag_mf">Parametri!$B$20</definedName>
    <definedName name="param_proc_vehicul">Parametri!$B$21</definedName>
    <definedName name="param_plafon_amo_auto">Parametri!$B$22</definedName>
    <definedName name="param_cota_cas">Parametri!$B$23</definedName>
    <definedName name="param_cota_cass">Parametri!$B$24</definedName>
    <definedName name="param_cota_impozit">Parametri!$B$25</definedName>
    <definedName name="param_cota_cam">Parametri!$B$26</definedName>
    <definedName name="param_cota_impozit_profit">Parametri!$B$27</definedName>
    <definedName name="param_cota_impozit_dividend">Parametri!$B$28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4"/>
    </font>
    <font>
      <name val="Arial"/>
      <charset val="1"/>
      <family val="0"/>
      <b val="1"/>
      <color rgb="FF1F4E79"/>
      <sz val="12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1F4E79"/>
      <sz val="13"/>
    </font>
    <font>
      <name val="Arial"/>
      <charset val="1"/>
      <family val="0"/>
      <b val="1"/>
      <color rgb="FF1F4E79"/>
      <sz val="11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006600"/>
      <sz val="11"/>
    </font>
    <font>
      <name val="Arial"/>
      <charset val="1"/>
      <family val="0"/>
      <sz val="8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0"/>
    </font>
    <font>
      <name val="Arial"/>
      <b val="1"/>
      <color rgb="001F4E79"/>
      <sz val="11"/>
    </font>
    <font>
      <name val="Arial"/>
      <i val="1"/>
      <color rgb="00666666"/>
      <sz val="9"/>
    </font>
    <font>
      <name val="Arial"/>
      <b val="1"/>
      <sz val="10"/>
    </font>
    <font>
      <name val="Arial"/>
      <sz val="9"/>
    </font>
    <font>
      <name val="Arial"/>
      <color rgb="000000FF"/>
      <sz val="10"/>
    </font>
    <font>
      <name val="Arial"/>
      <b val="1"/>
      <color rgb="001F4E79"/>
      <sz val="14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CCFFFF"/>
      </patternFill>
    </fill>
    <fill>
      <patternFill patternType="solid">
        <fgColor rgb="00FFF2CC"/>
        <bgColor rgb="00FFF2CC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9" fontId="9" fillId="2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general" vertical="center" wrapText="1"/>
    </xf>
    <xf numFmtId="0" fontId="9" fillId="2" borderId="1" applyAlignment="1" pivotButton="0" quotePrefix="0" xfId="0">
      <alignment horizontal="general" vertical="center" wrapText="1"/>
    </xf>
    <xf numFmtId="0" fontId="11" fillId="5" borderId="1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general" vertical="center" wrapText="1"/>
    </xf>
    <xf numFmtId="4" fontId="9" fillId="2" borderId="1" applyAlignment="1" pivotButton="0" quotePrefix="0" xfId="0">
      <alignment horizontal="general" vertical="center" wrapText="1"/>
    </xf>
    <xf numFmtId="4" fontId="12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center" wrapText="1"/>
    </xf>
    <xf numFmtId="0" fontId="13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center" wrapText="1"/>
    </xf>
    <xf numFmtId="4" fontId="12" fillId="0" borderId="1" applyAlignment="1" pivotButton="0" quotePrefix="0" xfId="0">
      <alignment horizontal="general" vertical="center" wrapText="1"/>
    </xf>
    <xf numFmtId="4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9" fontId="9" fillId="2" borderId="1" applyAlignment="1" pivotButton="0" quotePrefix="0" xfId="0">
      <alignment horizontal="general" vertical="center" wrapText="1"/>
    </xf>
    <xf numFmtId="0" fontId="15" fillId="0" borderId="0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center" wrapText="1"/>
    </xf>
    <xf numFmtId="0" fontId="17" fillId="0" borderId="0" applyAlignment="1" pivotButton="0" quotePrefix="0" xfId="0">
      <alignment horizontal="general" vertical="bottom"/>
    </xf>
    <xf numFmtId="10" fontId="9" fillId="2" borderId="1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8" fillId="3" borderId="1" applyAlignment="1" pivotButton="0" quotePrefix="0" xfId="0">
      <alignment horizontal="center" vertical="bottom" wrapText="1"/>
    </xf>
    <xf numFmtId="0" fontId="6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4" fontId="12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24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9" fontId="9" fillId="2" borderId="1" applyAlignment="1" pivotButton="0" quotePrefix="0" xfId="0">
      <alignment horizontal="general" vertical="bottom"/>
    </xf>
    <xf numFmtId="0" fontId="19" fillId="0" borderId="0" pivotButton="0" quotePrefix="0" xfId="0"/>
    <xf numFmtId="0" fontId="20" fillId="0" borderId="0" applyAlignment="1" pivotButton="0" quotePrefix="0" xfId="0">
      <alignment vertical="center" wrapText="1"/>
    </xf>
    <xf numFmtId="0" fontId="21" fillId="0" borderId="0" pivotButton="0" quotePrefix="0" xfId="0"/>
    <xf numFmtId="0" fontId="22" fillId="0" borderId="0" applyAlignment="1" pivotButton="0" quotePrefix="0" xfId="0">
      <alignment vertical="center" wrapText="1"/>
    </xf>
    <xf numFmtId="0" fontId="23" fillId="6" borderId="0" pivotButton="0" quotePrefix="0" xfId="0"/>
    <xf numFmtId="0" fontId="4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vertical="center" wrapText="1"/>
    </xf>
    <xf numFmtId="0" fontId="23" fillId="6" borderId="1" applyAlignment="1" pivotButton="0" quotePrefix="0" xfId="0">
      <alignment horizontal="center" vertical="center" wrapText="1"/>
    </xf>
    <xf numFmtId="0" fontId="23" fillId="6" borderId="0" applyAlignment="1" pivotButton="0" quotePrefix="0" xfId="0">
      <alignment horizontal="center" vertical="center" wrapText="1"/>
    </xf>
    <xf numFmtId="0" fontId="22" fillId="8" borderId="0" applyAlignment="1" pivotButton="0" quotePrefix="0" xfId="0">
      <alignment vertical="center" wrapText="1"/>
    </xf>
    <xf numFmtId="0" fontId="23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23" fillId="6" borderId="0" applyAlignment="1" pivotButton="0" quotePrefix="0" xfId="0">
      <alignment vertical="top" wrapText="1"/>
    </xf>
    <xf numFmtId="0" fontId="25" fillId="7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styles" Target="styles.xml" Id="rId97"/><Relationship Type="http://schemas.openxmlformats.org/officeDocument/2006/relationships/theme" Target="theme/theme1.xml" Id="rId9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39" min="1" max="1"/>
  </cols>
  <sheetData>
    <row r="1" ht="17.25" customHeight="1" s="40">
      <c r="A1" s="41" t="inlineStr">
        <is>
          <t>MODULE DECLARATIVE — instrucțiuni de utilizare</t>
        </is>
      </c>
    </row>
    <row r="3" ht="15" customHeight="1" s="40">
      <c r="A3" s="42" t="inlineStr">
        <is>
          <t>Ce este acest fișier</t>
        </is>
      </c>
    </row>
    <row r="4" ht="15" customHeight="1" s="40">
      <c r="A4" s="43" t="inlineStr">
        <is>
          <t>Cele 23 module declarative care execută fluxurile din „Plan de conturi”. Fluxul explică de ce; modulul face înregistrarea. Completezi câteva variabile într-o foaie de input și ies jurnalele și nota de export.</t>
        </is>
      </c>
    </row>
    <row r="5" ht="15" customHeight="1" s="40">
      <c r="A5" s="44" t="inlineStr">
        <is>
          <t>Toate foile se generează din depozit, la fiecare build. Nu se editează structura aici: o modificare făcută în fișier se pierde la următorul `make`.</t>
        </is>
      </c>
    </row>
    <row r="6" ht="15" customHeight="1" s="40"/>
    <row r="7" ht="15" customHeight="1" s="40">
      <c r="A7" s="42" t="inlineStr">
        <is>
          <t>Cum se folosește ORICE modul</t>
        </is>
      </c>
    </row>
    <row r="8" ht="15" customHeight="1" s="40">
      <c r="A8" s="43" t="inlineStr">
        <is>
          <t>1. CatalogModule — pune Activ=DA pe modulele de care ai nevoie luna asta.</t>
        </is>
      </c>
    </row>
    <row r="9" ht="15" customHeight="1" s="40">
      <c r="A9" s="43" t="inlineStr">
        <is>
          <t>2. Declarații_&lt;MODUL&gt; — completează doar celulele galbene cu scris albastru. Restul sunt formule.</t>
        </is>
      </c>
    </row>
    <row r="10" ht="15" customHeight="1" s="40">
      <c r="A10" s="43" t="inlineStr">
        <is>
          <t>3. Reguli_&lt;MODUL&gt; — nu se completează. E regula contabilă sau fiscală, cu temeiul ei, plus ce anume rupe corelațiile. Se citește când rezultatul te surprinde.</t>
        </is>
      </c>
    </row>
    <row r="11" ht="15" customHeight="1" s="40">
      <c r="A11" s="43" t="inlineStr">
        <is>
          <t>4. Jurnale_&lt;MODUL&gt; — verifică fiecare celulă Check. Trebuie OK înainte de a lua rezultatul de bun.</t>
        </is>
      </c>
    </row>
    <row r="12" ht="15" customHeight="1" s="40">
      <c r="A12" s="43" t="inlineStr">
        <is>
          <t>5. NotaExport_&lt;MODUL&gt; — filtrează Include=DA și înregistrează în program.</t>
        </is>
      </c>
    </row>
    <row r="13" ht="15" customHeight="1" s="40"/>
    <row r="14" ht="15" customHeight="1" s="40">
      <c r="A14" s="42" t="inlineStr">
        <is>
          <t>Două tipare de foi</t>
        </is>
      </c>
    </row>
    <row r="15" ht="15" customHeight="1" s="40">
      <c r="A15" s="43" t="inlineStr">
        <is>
          <t>Declarații → Reguli → Jurnale → NotaExport — tiparul obișnuit, pentru modulele care produc înregistrări.</t>
        </is>
      </c>
    </row>
    <row r="16" ht="15" customHeight="1" s="40">
      <c r="A16" s="43" t="inlineStr">
        <is>
          <t>Declarații → Reguli → Verificări → Abateri — pentru modulul care produce un VERDICT, nu o înregistrare (MOD_INCHIDERE_LUNARA): confruntă balanța cu corelațiile lunii și listează doar ce nu se potrivește.</t>
        </is>
      </c>
    </row>
    <row r="17" ht="15" customHeight="1" s="40">
      <c r="A17" s="44" t="inlineStr">
        <is>
          <t>MOD_DECONT are în plus un Registru_, pentru liniile decontului.</t>
        </is>
      </c>
    </row>
    <row r="18" ht="15" customHeight="1" s="40"/>
    <row r="19" ht="15" customHeight="1" s="40">
      <c r="A19" s="42" t="inlineStr">
        <is>
          <t>Ce înseamnă Activ=DA</t>
        </is>
      </c>
    </row>
    <row r="20" ht="15" customHeight="1" s="40">
      <c r="A20" s="43" t="inlineStr">
        <is>
          <t>Cadență lunară NECONDIȚIONATĂ: modulul se rulează în fiecare lună la o firmă obișnuită, fără să fie nevoie de un contract, un activ sau un eveniment declanșator. Restul se activează când ai cazul pe masă.</t>
        </is>
      </c>
    </row>
    <row r="21" ht="15" customHeight="1" s="40">
      <c r="A21" s="43" t="inlineStr">
        <is>
          <t>Implicit DA: MOD_INCHIDERE_TVA, MOD_SALARII, MOD_INCHIDERE_LUNARA.</t>
        </is>
      </c>
    </row>
    <row r="23">
      <c r="A23" s="42" t="inlineStr">
        <is>
          <t>Principiu de design</t>
        </is>
      </c>
    </row>
    <row r="24">
      <c r="A24" s="43" t="inlineStr">
        <is>
          <t>Modulul nu inventează conturi. Folosește doar conturile din politica declarată + rolurile din Plan de conturi. Porțile de calitate (ΣDr=ΣCr, stare terminală, pas revelator) rămân aceleași ca în foaia Fluxuri.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39" min="1" max="1"/>
    <col width="28" customWidth="1" style="39" min="2" max="2"/>
    <col width="56" customWidth="1" style="40" min="3" max="3"/>
  </cols>
  <sheetData>
    <row r="1" ht="16.15" customHeight="1" s="40">
      <c r="A1" s="45" t="inlineStr">
        <is>
          <t>PARAMETRI GLOBALI — un singur loc pentru identitate și setări comune</t>
        </is>
      </c>
    </row>
    <row r="2" ht="15" customHeight="1" s="40">
      <c r="A2" s="46" t="inlineStr">
        <is>
          <t>Completezi o dată. Toate foile Declarații_* citesc de aici. La client nou: schimbi doar aici.</t>
        </is>
      </c>
    </row>
    <row r="4" ht="15" customHeight="1" s="40">
      <c r="A4" s="47" t="inlineStr">
        <is>
          <t>Identitate (date demonstrative — înlocuiește la utilizare reală)</t>
        </is>
      </c>
    </row>
    <row r="5" ht="15" customHeight="1" s="40">
      <c r="A5" s="39" t="inlineStr">
        <is>
          <t>Denumire societate</t>
        </is>
      </c>
      <c r="B5" s="48" t="inlineStr">
        <is>
          <t>SC EXEMPLU SRL</t>
        </is>
      </c>
    </row>
    <row r="6" ht="15" customHeight="1" s="40">
      <c r="A6" s="39" t="inlineStr">
        <is>
          <t>CUI</t>
        </is>
      </c>
      <c r="B6" s="48" t="inlineStr">
        <is>
          <t>RO00000000</t>
        </is>
      </c>
    </row>
    <row r="7" ht="15" customHeight="1" s="40">
      <c r="A7" s="39" t="inlineStr">
        <is>
          <t>Luna curentă (YYYY-MM)</t>
        </is>
      </c>
      <c r="B7" s="48" t="inlineStr">
        <is>
          <t>2026-07</t>
        </is>
      </c>
    </row>
    <row r="9" ht="15" customHeight="1" s="40">
      <c r="A9" s="47" t="inlineStr">
        <is>
          <t>Setări contabile comune</t>
        </is>
      </c>
    </row>
    <row r="10" ht="15" customHeight="1" s="40">
      <c r="A10" s="39" t="inlineStr">
        <is>
          <t>Cotă TVA standard</t>
        </is>
      </c>
      <c r="B10" s="49" t="n">
        <v>0.21</v>
      </c>
    </row>
    <row r="11" ht="15" customHeight="1" s="40">
      <c r="A11" s="39" t="inlineStr">
        <is>
          <t>Cotă TVA redusă</t>
        </is>
      </c>
      <c r="B11" s="49" t="n">
        <v>0.11</v>
      </c>
    </row>
    <row r="13" ht="15" customHeight="1" s="40">
      <c r="A13" s="46" t="inlineStr">
        <is>
          <t>Notă: valorile de mai sus sunt placeholder. Nu sunt date reale de client. Modulele Declarații_* referențiază Parametri!B5 / B6 / B7.</t>
        </is>
      </c>
    </row>
    <row r="15">
      <c r="A15" s="50" t="inlineStr">
        <is>
          <t>Parametri globali — referiți prin nume definit (param_*)</t>
        </is>
      </c>
    </row>
    <row r="16">
      <c r="A16" s="51" t="inlineStr">
        <is>
          <t>Numele din coloana C se folosește direct în formule. Schimbă valoarea aici o singură dată; toate modulele o preiau.</t>
        </is>
      </c>
    </row>
    <row r="17">
      <c r="A17" s="52" t="inlineStr">
        <is>
          <t>Parametru</t>
        </is>
      </c>
      <c r="B17" s="52" t="inlineStr">
        <is>
          <t>Valoare</t>
        </is>
      </c>
      <c r="C17" s="52" t="inlineStr">
        <is>
          <t>Nume definit · temei</t>
        </is>
      </c>
    </row>
    <row r="18">
      <c r="A18" s="53" t="inlineStr">
        <is>
          <t>Procent rezervă legală (din profitul brut)</t>
        </is>
      </c>
      <c r="B18" s="54" t="n">
        <v>0.05</v>
      </c>
      <c r="C18" s="51" t="inlineStr">
        <is>
          <t>param_proc_rezerva — art. 26 alin. (1) lit. a) Cod fiscal</t>
        </is>
      </c>
    </row>
    <row r="19">
      <c r="A19" s="53" t="inlineStr">
        <is>
          <t>Plafon rezervă legală (din capitalul vărsat)</t>
        </is>
      </c>
      <c r="B19" s="54" t="n">
        <v>0.2</v>
      </c>
      <c r="C19" s="51" t="inlineStr">
        <is>
          <t>param_plafon_rezerva — art. 183 Legea 31/1990 — capital subscris ȘI VĂRSAT</t>
        </is>
      </c>
    </row>
    <row r="20">
      <c r="A20" s="53" t="inlineStr">
        <is>
          <t>Prag mijloc fix (lei)</t>
        </is>
      </c>
      <c r="B20" s="54" t="n">
        <v>5000</v>
      </c>
      <c r="C20" s="51" t="inlineStr">
        <is>
          <t>param_prag_mf — OUG 8/2026, de la 25.02.2026; se actualizează anual cu inflația</t>
        </is>
      </c>
    </row>
    <row r="21">
      <c r="A21" s="53" t="inlineStr">
        <is>
          <t>Procent de deducere vehicule (regim mixt)</t>
        </is>
      </c>
      <c r="B21" s="54" t="n">
        <v>0.5</v>
      </c>
      <c r="C21" s="51" t="inlineStr">
        <is>
          <t>param_proc_vehicul — art. 298 CF (TVA) și art. 25 alin. (3) lit. l) CF (cheltuieli)</t>
        </is>
      </c>
    </row>
    <row r="22">
      <c r="A22" s="53" t="inlineStr">
        <is>
          <t>Plafon amortizare autoturism (lei/lună)</t>
        </is>
      </c>
      <c r="B22" s="54" t="n">
        <v>1500</v>
      </c>
      <c r="C22" s="51" t="inlineStr">
        <is>
          <t>param_plafon_amo_auto — art. 28 alin. (14) CF — NU se cumulează cu limitarea de 50%</t>
        </is>
      </c>
    </row>
    <row r="23">
      <c r="A23" s="53" t="inlineStr">
        <is>
          <t>CAS — pensie (pe brut)</t>
        </is>
      </c>
      <c r="B23" s="54" t="n">
        <v>0.25</v>
      </c>
      <c r="C23" s="51" t="inlineStr">
        <is>
          <t>param_cota_cas — art. 138 CF</t>
        </is>
      </c>
    </row>
    <row r="24">
      <c r="A24" s="53" t="inlineStr">
        <is>
          <t>CASS — sănătate (pe brut + tichete)</t>
        </is>
      </c>
      <c r="B24" s="54" t="n">
        <v>0.1</v>
      </c>
      <c r="C24" s="51" t="inlineStr">
        <is>
          <t>param_cota_cass — art. 156 CF — tichetele intră în bază, dar NU în baza CAS</t>
        </is>
      </c>
    </row>
    <row r="25">
      <c r="A25" s="53" t="inlineStr">
        <is>
          <t>Impozit pe venit (pe venit net + tichete)</t>
        </is>
      </c>
      <c r="B25" s="54" t="n">
        <v>0.1</v>
      </c>
      <c r="C25" s="51" t="inlineStr">
        <is>
          <t>param_cota_impozit — art. 78 CF</t>
        </is>
      </c>
    </row>
    <row r="26">
      <c r="A26" s="53" t="inlineStr">
        <is>
          <t>CAM — asigurare de muncă (pe brut)</t>
        </is>
      </c>
      <c r="B26" s="54" t="n">
        <v>0.0225</v>
      </c>
      <c r="C26" s="51" t="inlineStr">
        <is>
          <t>param_cota_cam — art. 220^3 CF — cheltuiala angajatorului, nu reținere</t>
        </is>
      </c>
    </row>
    <row r="27">
      <c r="A27" s="53" t="inlineStr">
        <is>
          <t>Impozit pe profit</t>
        </is>
      </c>
      <c r="B27" s="54" t="n">
        <v>0.16</v>
      </c>
      <c r="C27" s="51" t="inlineStr">
        <is>
          <t>param_cota_impozit_profit — art. 17 CF — folosit la cuantificarea efectului unei cheltuieli nedeductibile</t>
        </is>
      </c>
    </row>
    <row r="28">
      <c r="A28" s="53" t="inlineStr">
        <is>
          <t>Impozit pe dividende</t>
        </is>
      </c>
      <c r="B28" s="54" t="n">
        <v>0.16</v>
      </c>
      <c r="C28" s="51" t="inlineStr">
        <is>
          <t>param_cota_impozit_dividend — art. 43 CF, modificat prin L. 141/2025 — cota urmează data DISTRIBUIRII</t>
        </is>
      </c>
    </row>
  </sheetData>
  <mergeCells count="3">
    <mergeCell ref="A1:C1"/>
    <mergeCell ref="A13:C13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39" min="1" max="1"/>
    <col width="20" customWidth="1" style="39" min="2" max="2"/>
    <col width="22" customWidth="1" style="39" min="3" max="3"/>
    <col width="18" customWidth="1" style="39" min="4" max="4"/>
    <col width="45" customWidth="1" style="39" min="5" max="5"/>
    <col width="28" customWidth="1" style="39" min="6" max="6"/>
    <col width="45" customWidth="1" style="39" min="7" max="7"/>
    <col width="14" customWidth="1" style="39" min="8" max="8"/>
  </cols>
  <sheetData>
    <row r="1" ht="17.25" customHeight="1" s="40">
      <c r="A1" s="55" t="inlineStr">
        <is>
          <t>CATALOG MODULE DECLARATIVE — sumonare fluxuri</t>
        </is>
      </c>
    </row>
    <row r="2" ht="15" customHeight="1" s="40">
      <c r="A2" s="46" t="inlineStr">
        <is>
          <t>Bifează / activează modulele pentru luna curentă. Fiecare modul activ își trage variabilele din Declarații și emite blocuri în Jurnale + NotaExport.</t>
        </is>
      </c>
    </row>
    <row r="3" ht="15" customHeight="1" s="40">
      <c r="A3" s="46" t="inlineStr">
        <is>
          <t>Arhitectură: Declarații (input galben) → Reguli (tabele fixe) → Registru (dacă e cazul) → Jurnale (auto) → NotaExport (1 rând = 1 înregistrare).</t>
        </is>
      </c>
    </row>
    <row r="5" ht="30" customHeight="1" s="40">
      <c r="A5" s="56" t="inlineStr">
        <is>
          <t>Activ</t>
        </is>
      </c>
      <c r="B5" s="56" t="inlineStr">
        <is>
          <t>Cod modul</t>
        </is>
      </c>
      <c r="C5" s="56" t="inlineStr">
        <is>
          <t>Flux(uri) acoperite</t>
        </is>
      </c>
      <c r="D5" s="56" t="inlineStr">
        <is>
          <t>Tip</t>
        </is>
      </c>
      <c r="E5" s="56" t="inlineStr">
        <is>
          <t>Variabile obligatorii</t>
        </is>
      </c>
      <c r="F5" s="56" t="inlineStr">
        <is>
          <t>Porți declarative</t>
        </is>
      </c>
      <c r="G5" s="56" t="inlineStr">
        <is>
          <t>Blocuri jurnal emise</t>
        </is>
      </c>
      <c r="H5" s="56" t="inlineStr">
        <is>
          <t>Status</t>
        </is>
      </c>
    </row>
    <row r="6" ht="34.5" customHeight="1" s="40">
      <c r="A6" s="57" t="inlineStr">
        <is>
          <t>DA</t>
        </is>
      </c>
      <c r="B6" s="58" t="inlineStr">
        <is>
          <t>MOD_INCHIDERE_TVA</t>
        </is>
      </c>
      <c r="C6" s="58" t="inlineStr">
        <is>
          <t>F-405</t>
        </is>
      </c>
      <c r="D6" s="58" t="inlineStr">
        <is>
          <t>Lunar (fără linii)</t>
        </is>
      </c>
      <c r="E6" s="58" t="inlineStr">
        <is>
          <t>Rulaj 4426, Rulaj 4427, Luna</t>
        </is>
      </c>
      <c r="F6" s="58" t="inlineStr">
        <is>
          <t>—</t>
        </is>
      </c>
      <c r="G6" s="58" t="inlineStr">
        <is>
          <t>B1 Închidere 4426/4427 → 4423/4424</t>
        </is>
      </c>
      <c r="H6" s="58" t="inlineStr">
        <is>
          <t>IMPLEMENTAT</t>
        </is>
      </c>
    </row>
    <row r="7" ht="34.5" customHeight="1" s="40">
      <c r="A7" s="59" t="inlineStr">
        <is>
          <t>NU</t>
        </is>
      </c>
      <c r="B7" s="58" t="inlineStr">
        <is>
          <t>MOD_APROV_TRANZIT</t>
        </is>
      </c>
      <c r="C7" s="58" t="inlineStr">
        <is>
          <t>F-302</t>
        </is>
      </c>
      <c r="D7" s="58" t="inlineStr">
        <is>
          <t>Eveniment + stingere</t>
        </is>
      </c>
      <c r="E7" s="58" t="inlineStr">
        <is>
          <t>Sumă netă, TVA, Cont stoc, Furnizor, Data factură, Data recepție</t>
        </is>
      </c>
      <c r="F7" s="58" t="inlineStr">
        <is>
          <t>Tranzit vs. direct</t>
        </is>
      </c>
      <c r="G7" s="58" t="inlineStr">
        <is>
          <t>B1 Factură→32x; B2 Recepție 30x=32x</t>
        </is>
      </c>
      <c r="H7" s="58" t="inlineStr">
        <is>
          <t>IMPLEMENTAT</t>
        </is>
      </c>
    </row>
    <row r="8" ht="34.5" customHeight="1" s="40">
      <c r="A8" s="57" t="inlineStr">
        <is>
          <t>DA</t>
        </is>
      </c>
      <c r="B8" s="58" t="inlineStr">
        <is>
          <t>MOD_SALARII</t>
        </is>
      </c>
      <c r="C8" s="58" t="inlineStr">
        <is>
          <t>F-413</t>
        </is>
      </c>
      <c r="D8" s="58" t="inlineStr">
        <is>
          <t>Lunar, pe registru de angajați</t>
        </is>
      </c>
      <c r="E8" s="58" t="inlineStr">
        <is>
          <t>Brut, tichete, avans, pe angajat; cotele CAS/CASS/impozit/CAM</t>
        </is>
      </c>
      <c r="F8" s="58" t="inlineStr">
        <is>
          <t>Fără deducere personală și fără facilități sectoriale — vezi Reguli, tabelul C</t>
        </is>
      </c>
      <c r="G8" s="58" t="inlineStr">
        <is>
          <t>B1 Plata avansului; B2 Costurile lunii; B3 Plăți (net, taxe, CAM)</t>
        </is>
      </c>
      <c r="H8" s="58" t="inlineStr">
        <is>
          <t>IMPLEMENTAT</t>
        </is>
      </c>
    </row>
    <row r="9" ht="34.5" customHeight="1" s="40">
      <c r="A9" s="59" t="inlineStr">
        <is>
          <t>NU</t>
        </is>
      </c>
      <c r="B9" s="58" t="inlineStr">
        <is>
          <t>MOD_DECONT</t>
        </is>
      </c>
      <c r="C9" s="58" t="inlineStr">
        <is>
          <t>F-502</t>
        </is>
      </c>
      <c r="D9" s="58" t="inlineStr">
        <is>
          <t>Pe decont</t>
        </is>
      </c>
      <c r="E9" s="58" t="inlineStr">
        <is>
          <t>Linii de decont (furnizor, sumă, natură, tip document, CUI), avans, cote</t>
        </is>
      </c>
      <c r="F9" s="58" t="inlineStr">
        <is>
          <t>Plătitor de TVA; % deducere vehicule; matricea document × CUI</t>
        </is>
      </c>
      <c r="G9" s="58" t="inlineStr">
        <is>
          <t>B1 Avans; B2 Cheltuieli + TVA; B3 Regularizare avans; B4 Plată / restituire</t>
        </is>
      </c>
      <c r="H9" s="58" t="inlineStr">
        <is>
          <t>IMPLEMENTAT</t>
        </is>
      </c>
    </row>
    <row r="10" ht="34.5" customHeight="1" s="40">
      <c r="A10" s="59" t="inlineStr">
        <is>
          <t>NU</t>
        </is>
      </c>
      <c r="B10" s="58" t="inlineStr">
        <is>
          <t>MOD_LEASING_FIN</t>
        </is>
      </c>
      <c r="C10" s="58" t="inlineStr">
        <is>
          <t>F-108</t>
        </is>
      </c>
      <c r="D10" s="58" t="inlineStr">
        <is>
          <t>Pe contract + lunar</t>
        </is>
      </c>
      <c r="E10" s="58" t="inlineStr">
        <is>
          <t>Valoare contract, avans, rată, dobândă, comision, CASCO, regim vehicul, durată</t>
        </is>
      </c>
      <c r="F10" s="58" t="inlineStr">
        <is>
          <t>MIXT 50% / EXCLUSIV 100% / EXCEPTAT; capitalizare vs. cheltuială pentru TVA nededusă</t>
        </is>
      </c>
      <c r="G10" s="58" t="inlineStr">
        <is>
          <t>B1 Avans; B2 TVA avans; B3 Intrare + 167; B4 Stingere avans; B5 Factura lunară; B6 Corecție TVA 50%; B7 Limitare 50% cheltuieli; B8 Amortizare</t>
        </is>
      </c>
      <c r="H10" s="58" t="inlineStr">
        <is>
          <t>IMPLEMENTAT</t>
        </is>
      </c>
    </row>
    <row r="11" ht="34.5" customHeight="1" s="40">
      <c r="A11" s="59" t="inlineStr">
        <is>
          <t>NU</t>
        </is>
      </c>
      <c r="B11" s="58" t="inlineStr">
        <is>
          <t>MOD_VANZ_AMANUNT</t>
        </is>
      </c>
      <c r="C11" s="58" t="inlineStr">
        <is>
          <t>F-316, F-318, F-317</t>
        </is>
      </c>
      <c r="D11" s="58" t="inlineStr">
        <is>
          <t>Pe gestiune + cotă</t>
        </is>
      </c>
      <c r="E11" s="58" t="inlineStr">
        <is>
          <t>Cost, Adaos %, Cotă TVA, Gestiune</t>
        </is>
      </c>
      <c r="F11" s="58" t="inlineStr">
        <is>
          <t>En-gros vs Amănunt</t>
        </is>
      </c>
      <c r="G11" s="58" t="inlineStr">
        <is>
          <t>B1 Aprovizionare PVA; B2 TVA ded.; B3 Descărcare; B4 Venit; B5 Închidere TVA</t>
        </is>
      </c>
      <c r="H11" s="58" t="inlineStr">
        <is>
          <t>IMPLEMENTAT</t>
        </is>
      </c>
    </row>
    <row r="12" ht="34.5" customHeight="1" s="40">
      <c r="A12" s="59" t="inlineStr">
        <is>
          <t>NU</t>
        </is>
      </c>
      <c r="B12" s="58" t="inlineStr">
        <is>
          <t>MOD_TVA_INCASARE</t>
        </is>
      </c>
      <c r="C12" s="58" t="inlineStr">
        <is>
          <t>F-401</t>
        </is>
      </c>
      <c r="D12" s="58" t="inlineStr">
        <is>
          <t>Pe factură</t>
        </is>
      </c>
      <c r="E12" s="58" t="inlineStr">
        <is>
          <t>Sumă netă, TVA, Tip (achiziție/vânzare), Data plată/încasare</t>
        </is>
      </c>
      <c r="F12" s="58" t="inlineStr">
        <is>
          <t>4428.INC activ</t>
        </is>
      </c>
      <c r="G12" s="58" t="inlineStr">
        <is>
          <t>B1 Factură→4428.INC; B2 Plată/Încasare→4426/4427</t>
        </is>
      </c>
      <c r="H12" s="58" t="inlineStr">
        <is>
          <t>IMPLEMENTAT</t>
        </is>
      </c>
    </row>
    <row r="13" ht="34.5" customHeight="1" s="40">
      <c r="A13" s="59" t="inlineStr">
        <is>
          <t>NU</t>
        </is>
      </c>
      <c r="B13" s="58" t="inlineStr">
        <is>
          <t>MOD_INCHIDERE_EX</t>
        </is>
      </c>
      <c r="C13" s="58" t="inlineStr">
        <is>
          <t>F-104</t>
        </is>
      </c>
      <c r="D13" s="58" t="inlineStr">
        <is>
          <t>Anual</t>
        </is>
      </c>
      <c r="E13" s="58" t="inlineStr">
        <is>
          <t>Rulaje cls.6, Rulaje cls.7, Impozit/IMCA</t>
        </is>
      </c>
      <c r="F13" s="58" t="inlineStr">
        <is>
          <t>—</t>
        </is>
      </c>
      <c r="G13" s="58" t="inlineStr">
        <is>
          <t>B1 Închidere 6xx; B2 Închidere 7xx; B3 Impozit; B4 Report 117</t>
        </is>
      </c>
      <c r="H13" s="58" t="inlineStr">
        <is>
          <t>IMPLEMENTAT</t>
        </is>
      </c>
    </row>
    <row r="14" ht="34.5" customHeight="1" s="40">
      <c r="A14" s="59" t="inlineStr">
        <is>
          <t>NU</t>
        </is>
      </c>
      <c r="B14" s="58" t="inlineStr">
        <is>
          <t>MOD_INTERMEDIAR</t>
        </is>
      </c>
      <c r="C14" s="58" t="inlineStr">
        <is>
          <t>F-408, F-501, F-411</t>
        </is>
      </c>
      <c r="D14" s="58" t="inlineStr">
        <is>
          <t>Eveniment discret</t>
        </is>
      </c>
      <c r="E14" s="58" t="inlineStr">
        <is>
          <t>Sumă, Cont intermediar (408/418/581/473), Cont final, Document</t>
        </is>
      </c>
      <c r="F14" s="58" t="inlineStr">
        <is>
          <t>Un set de Declarații = un tip + o operațiune; modulul nu amestecă tipurile</t>
        </is>
      </c>
      <c r="G14" s="58" t="inlineStr">
        <is>
          <t>B1 Deschidere intermediar; B2 Stingere</t>
        </is>
      </c>
      <c r="H14" s="58" t="inlineStr">
        <is>
          <t>IMPLEMENTAT</t>
        </is>
      </c>
    </row>
    <row r="15" ht="34.5" customHeight="1" s="40">
      <c r="A15" s="59" t="inlineStr">
        <is>
          <t>NU</t>
        </is>
      </c>
      <c r="B15" s="58" t="inlineStr">
        <is>
          <t>MOD_NEUTRALIZARE</t>
        </is>
      </c>
      <c r="C15" s="58" t="inlineStr">
        <is>
          <t>F-311, F-312, F-209</t>
        </is>
      </c>
      <c r="D15" s="58" t="inlineStr">
        <is>
          <t>Pe stadiu producție</t>
        </is>
      </c>
      <c r="E15" s="58" t="inlineStr">
        <is>
          <t>Cost acumulat, Cont stoc (331/332/231), Cont venit (711/712/722)</t>
        </is>
      </c>
      <c r="F15" s="58" t="inlineStr">
        <is>
          <t>—</t>
        </is>
      </c>
      <c r="G15" s="58" t="inlineStr">
        <is>
          <t>B1 Costuri→stoc; B2 Neutralizare; B3 Finalizare/livrare</t>
        </is>
      </c>
      <c r="H15" s="58" t="inlineStr">
        <is>
          <t>IMPLEMENTAT</t>
        </is>
      </c>
    </row>
    <row r="17" ht="15" customHeight="1" s="40">
      <c r="A17" s="60" t="inlineStr">
        <is>
          <t>NU</t>
        </is>
      </c>
      <c r="B17" s="61" t="inlineStr">
        <is>
          <t>MOD_CAPITALURI</t>
        </is>
      </c>
      <c r="C17" s="61" t="inlineStr">
        <is>
          <t>F-103, F-105</t>
        </is>
      </c>
      <c r="D17" s="61" t="inlineStr">
        <is>
          <t>Anual (31.12 + ianuarie)</t>
        </is>
      </c>
      <c r="E17" s="61" t="inlineStr">
        <is>
          <t>Sold 121, rulaj 691, capital vărsat 1012, sold 1061, pierdere reportată</t>
        </is>
      </c>
      <c r="F17" s="61" t="inlineStr">
        <is>
          <t>Dublu plafon rezervă legală; pierdere reportată de acoperit înainte de dividende</t>
        </is>
      </c>
      <c r="G17" s="61" t="inlineStr">
        <is>
          <t>B1 Rezervă legală; B2 Închidere 121; B3 Dividende; B4 Corecție 1174</t>
        </is>
      </c>
      <c r="H17" s="61" t="inlineStr">
        <is>
          <t>IMPLEMENTAT</t>
        </is>
      </c>
    </row>
    <row r="18" ht="15" customHeight="1" s="40">
      <c r="A18" s="60" t="inlineStr">
        <is>
          <t>NU</t>
        </is>
      </c>
      <c r="B18" s="61" t="inlineStr">
        <is>
          <t>MOD_PROVIZION</t>
        </is>
      </c>
      <c r="C18" s="61" t="inlineStr">
        <is>
          <t>F-106</t>
        </is>
      </c>
      <c r="D18" s="61" t="inlineStr">
        <is>
          <t>Pe eveniment + la fiecare dată a bilanțului</t>
        </is>
      </c>
      <c r="E18" s="61" t="inlineStr">
        <is>
          <t>Tip provizion, sumă estimată, data constituirii, suma facturată efectiv</t>
        </is>
      </c>
      <c r="F18" s="61" t="inlineStr">
        <is>
          <t>Deductibilitatea depinde de TIP — art. 26 CF enumeră limitativ</t>
        </is>
      </c>
      <c r="G18" s="61" t="inlineStr">
        <is>
          <t>B1 Constituire; B2 Factura efectivă (independentă); B3 Reluare</t>
        </is>
      </c>
      <c r="H18" s="61" t="inlineStr">
        <is>
          <t>IMPLEMENTAT</t>
        </is>
      </c>
    </row>
    <row r="19" ht="15" customHeight="1" s="40">
      <c r="A19" s="60" t="inlineStr">
        <is>
          <t>NU</t>
        </is>
      </c>
      <c r="B19" s="61" t="inlineStr">
        <is>
          <t>MOD_CREDIT_VALUTA</t>
        </is>
      </c>
      <c r="C19" s="61" t="inlineStr">
        <is>
          <t>F-107</t>
        </is>
      </c>
      <c r="D19" s="61" t="inlineStr">
        <is>
          <t>Lunar, pe contract</t>
        </is>
      </c>
      <c r="E19" s="61" t="inlineStr">
        <is>
          <t>Sold valută, curs inițial, rată, dobândă, comision, curs plată, curs BNR</t>
        </is>
      </c>
      <c r="F19" s="61" t="inlineStr">
        <is>
          <t>Reevaluare lunară obligatorie; rata și dobânda se iau din scadențar, nu din extras</t>
        </is>
      </c>
      <c r="G19" s="61" t="inlineStr">
        <is>
          <t>B1 Rata + diferența la plată; B2 Dobânda; B3 Comisioane; B4 Reevaluarea soldului</t>
        </is>
      </c>
      <c r="H19" s="61" t="inlineStr">
        <is>
          <t>IMPLEMENTAT</t>
        </is>
      </c>
    </row>
    <row r="20" ht="15" customHeight="1" s="40">
      <c r="A20" s="60" t="inlineStr">
        <is>
          <t>NU</t>
        </is>
      </c>
      <c r="B20" s="61" t="inlineStr">
        <is>
          <t>MOD_DIVIDENDE</t>
        </is>
      </c>
      <c r="C20" s="61" t="inlineStr">
        <is>
          <t>F-109, F-110</t>
        </is>
      </c>
      <c r="D20" s="61" t="inlineStr">
        <is>
          <t>La fiecare hotărâre AGA de repartizare</t>
        </is>
      </c>
      <c r="E20" s="61" t="inlineStr">
        <is>
          <t>Total repartizat, cotele din 1012, sold 121, profit final la 31.12</t>
        </is>
      </c>
      <c r="F20" s="61" t="inlineStr">
        <is>
          <t>Σ cote = 100%; sume = cotă × total; interimare ≤ sold 121; impozit pe două căi</t>
        </is>
      </c>
      <c r="G20" s="61" t="inlineStr">
        <is>
          <t>A Repartizare pe asociați; B Impozitul de 16%; C Interimare cu plafon; D Storno la 31.12 + D710</t>
        </is>
      </c>
      <c r="H20" s="61" t="inlineStr">
        <is>
          <t>IMPLEMENTAT</t>
        </is>
      </c>
    </row>
    <row r="21" ht="15" customHeight="1" s="40">
      <c r="A21" s="60" t="inlineStr">
        <is>
          <t>NU</t>
        </is>
      </c>
      <c r="B21" s="61" t="inlineStr">
        <is>
          <t>MOD_IMOBILIZARI</t>
        </is>
      </c>
      <c r="C21" s="61" t="inlineStr">
        <is>
          <t>F-203, F-205, F-207, F-214</t>
        </is>
      </c>
      <c r="D21" s="61" t="inlineStr">
        <is>
          <t>Pe mijloc fix + lunar</t>
        </is>
      </c>
      <c r="E21" s="61" t="inlineStr">
        <is>
          <t>Valoare, regim TVA, cod clasificare, durată, dată PIF, taxe vamale, transport</t>
        </is>
      </c>
      <c r="F21" s="61" t="inlineStr">
        <is>
          <t>Prag 5.000 lei (MF vs. obiect de inventar); tranzit 223/224 dacă nu e recepționat</t>
        </is>
      </c>
      <c r="G21" s="61" t="inlineStr">
        <is>
          <t>B1 Intrare; B2 TVA pe regim; B3 Costuri capitalizate; B4 Amortizare lunară</t>
        </is>
      </c>
      <c r="H21" s="61" t="inlineStr">
        <is>
          <t>IMPLEMENTAT</t>
        </is>
      </c>
    </row>
    <row r="22" ht="15" customHeight="1" s="40">
      <c r="A22" s="60" t="inlineStr">
        <is>
          <t>NU</t>
        </is>
      </c>
      <c r="B22" s="61" t="inlineStr">
        <is>
          <t>MOD_SUBVENTIE</t>
        </is>
      </c>
      <c r="C22" s="61" t="inlineStr">
        <is>
          <t>F-210</t>
        </is>
      </c>
      <c r="D22" s="61" t="inlineStr">
        <is>
          <t>Lunar, pe activ subvenționat</t>
        </is>
      </c>
      <c r="E22" s="61" t="inlineStr">
        <is>
          <t>Valoare subvenție, valoare activ, durata de amortizare, luna curentă</t>
        </is>
      </c>
      <c r="F22" s="61" t="inlineStr">
        <is>
          <t>Cota de finanțare — eliberarea e proporțională dacă subvenția acoperă parțial</t>
        </is>
      </c>
      <c r="G22" s="61" t="inlineStr">
        <is>
          <t>B1 Încasarea subvenției; B2 Achiziția activului; B3 Amortizare + eliberare</t>
        </is>
      </c>
      <c r="H22" s="61" t="inlineStr">
        <is>
          <t>IMPLEMENTAT</t>
        </is>
      </c>
    </row>
    <row r="23">
      <c r="A23" s="60" t="inlineStr">
        <is>
          <t>NU</t>
        </is>
      </c>
      <c r="B23" s="61" t="inlineStr">
        <is>
          <t>MOD_IESIRE_MF</t>
        </is>
      </c>
      <c r="C23" s="61" t="inlineStr">
        <is>
          <t>F-211, F-212</t>
        </is>
      </c>
      <c r="D23" s="61" t="inlineStr">
        <is>
          <t>Pe eveniment de ieșire</t>
        </is>
      </c>
      <c r="E23" s="61" t="inlineStr">
        <is>
          <t>Valoare de intrare, amortizare cumulată, preț de vânzare, tip ieșire, documente</t>
        </is>
      </c>
      <c r="F23" s="61" t="inlineStr">
        <is>
          <t>Test deductibilitate (valoare rămasă vs. venit); documentarea prețului</t>
        </is>
      </c>
      <c r="G23" s="61" t="inlineStr">
        <is>
          <t>B1 Descărcare amortizare; B2 Valoare rămasă; B3 Vânzare; B4 Piese recuperate</t>
        </is>
      </c>
      <c r="H23" s="61" t="inlineStr">
        <is>
          <t>IMPLEMENTAT</t>
        </is>
      </c>
    </row>
    <row r="24">
      <c r="A24" s="60" t="inlineStr">
        <is>
          <t>NU</t>
        </is>
      </c>
      <c r="B24" s="61" t="inlineStr">
        <is>
          <t>MOD_TAXARE_INVERSA</t>
        </is>
      </c>
      <c r="C24" s="61" t="inlineStr">
        <is>
          <t>F-303, F-402</t>
        </is>
      </c>
      <c r="D24" s="61" t="inlineStr">
        <is>
          <t>Pe factură</t>
        </is>
      </c>
      <c r="E24" s="61" t="inlineStr">
        <is>
          <t>Valoare (sau valută × curs), cota TVA, tipul operațiunii, partenerul</t>
        </is>
      </c>
      <c r="F24" s="61" t="inlineStr">
        <is>
          <t>4426 = 4427 exact; D390 doar la intracomunitar</t>
        </is>
      </c>
      <c r="G24" s="61" t="inlineStr">
        <is>
          <t>A Achiziție intracomunitară; B Taxare inversă internă</t>
        </is>
      </c>
      <c r="H24" s="61" t="inlineStr">
        <is>
          <t>IMPLEMENTAT</t>
        </is>
      </c>
    </row>
    <row r="25">
      <c r="A25" s="60" t="inlineStr">
        <is>
          <t>NU</t>
        </is>
      </c>
      <c r="B25" s="61" t="inlineStr">
        <is>
          <t>MOD_IMPORT</t>
        </is>
      </c>
      <c r="C25" s="61" t="inlineStr">
        <is>
          <t>F-319, F-320</t>
        </is>
      </c>
      <c r="D25" s="61" t="inlineStr">
        <is>
          <t>Pe declarație vamală</t>
        </is>
      </c>
      <c r="E25" s="61" t="inlineStr">
        <is>
          <t>Valoarea mărfii, taxele vamale, transportul intern, cota TVA, calea (comisionar sau plată directă)</t>
        </is>
      </c>
      <c r="F25" s="61" t="inlineStr">
        <is>
          <t>Baza TVA = marfă + taxe vamale, fără transportul intern; 446.VAMA sold 0</t>
        </is>
      </c>
      <c r="G25" s="61" t="inlineStr">
        <is>
          <t>A Import prin comisionar (446.VAMA); B Import cu plată directă în vamă</t>
        </is>
      </c>
      <c r="H25" s="61" t="inlineStr">
        <is>
          <t>IMPLEMENTAT</t>
        </is>
      </c>
    </row>
    <row r="26">
      <c r="A26" s="60" t="inlineStr">
        <is>
          <t>NU</t>
        </is>
      </c>
      <c r="B26" s="61" t="inlineStr">
        <is>
          <t>MOD_FARA_DOCUMENT</t>
        </is>
      </c>
      <c r="C26" s="61" t="inlineStr">
        <is>
          <t>F-406</t>
        </is>
      </c>
      <c r="D26" s="61" t="inlineStr">
        <is>
          <t>Pe eveniment</t>
        </is>
      </c>
      <c r="E26" s="61" t="inlineStr">
        <is>
          <t>Valoare factură și cota, pentru vehicul; costul lipsei la inventar</t>
        </is>
      </c>
      <c r="F26" s="61" t="inlineStr">
        <is>
          <t>Procentul de deducere vine din param_proc_vehicul; 4427 se creditează la lipsă</t>
        </is>
      </c>
      <c r="G26" s="61" t="inlineStr">
        <is>
          <t>A Vehicul cu regim mixt (50%); B Lipsă la inventar nejustificată</t>
        </is>
      </c>
      <c r="H26" s="61" t="inlineStr">
        <is>
          <t>IMPLEMENTAT</t>
        </is>
      </c>
    </row>
    <row r="27">
      <c r="A27" s="60" t="inlineStr">
        <is>
          <t>NU</t>
        </is>
      </c>
      <c r="B27" s="61" t="inlineStr">
        <is>
          <t>MOD_AVANSURI</t>
        </is>
      </c>
      <c r="C27" s="61" t="inlineStr">
        <is>
          <t>F-410, F-415</t>
        </is>
      </c>
      <c r="D27" s="61" t="inlineStr">
        <is>
          <t>Pe avans / pe extras</t>
        </is>
      </c>
      <c r="E27" s="61" t="inlineStr">
        <is>
          <t>Avansul și factura finală, la client și la furnizor; suma încasată peste factură</t>
        </is>
      </c>
      <c r="F27" s="61" t="inlineStr">
        <is>
          <t>TVA avans + rest = TVA totală; 419 și 409 se închid la zero</t>
        </is>
      </c>
      <c r="G27" s="61" t="inlineStr">
        <is>
          <t>A Avans client; B Factură finală client; C Avans furnizor; D Recepție furnizor; E Supraîncasare</t>
        </is>
      </c>
      <c r="H27" s="61" t="inlineStr">
        <is>
          <t>IMPLEMENTAT</t>
        </is>
      </c>
    </row>
    <row r="28">
      <c r="A28" s="60" t="inlineStr">
        <is>
          <t>NU</t>
        </is>
      </c>
      <c r="B28" s="61" t="inlineStr">
        <is>
          <t>MOD_SALARII_EVENIMENTE</t>
        </is>
      </c>
      <c r="C28" s="61" t="inlineStr">
        <is>
          <t>F-416, F-417, F-418, F-419</t>
        </is>
      </c>
      <c r="D28" s="61" t="inlineStr">
        <is>
          <t>Pe eveniment, pe angajat</t>
        </is>
      </c>
      <c r="E28" s="61" t="inlineStr">
        <is>
          <t>Indemnizație brută și partea angajatorului; net de plată și tipul creanței poprite; sume neridicate; creanță față de fost salariat</t>
        </is>
      </c>
      <c r="F28" s="61" t="inlineStr">
        <is>
          <t>Patru comutatoare independente — evenimentele pot coexista în aceeași lună</t>
        </is>
      </c>
      <c r="G28" s="61" t="inlineStr">
        <is>
          <t>A Concediu medical; B Poprire; C Drepturi neridicate; D Creanță fost salariat</t>
        </is>
      </c>
      <c r="H28" s="61" t="inlineStr">
        <is>
          <t>IMPLEMENTAT</t>
        </is>
      </c>
    </row>
    <row r="29">
      <c r="A29" s="62" t="inlineStr">
        <is>
          <t>DA</t>
        </is>
      </c>
      <c r="B29" s="61" t="inlineStr">
        <is>
          <t>MOD_INCHIDERE_LUNARA</t>
        </is>
      </c>
      <c r="C29" s="61" t="inlineStr">
        <is>
          <t>F-422, F-413</t>
        </is>
      </c>
      <c r="D29" s="61" t="inlineStr">
        <is>
          <t>Lunar, pe balanța de verificare</t>
        </is>
      </c>
      <c r="E29" s="61" t="inlineStr">
        <is>
          <t>Rulaj debitor, rulaj creditor și sold pentru conturile cu cadență; restul de plată de pe stat; soldul din decontul de TVA</t>
        </is>
      </c>
      <c r="F29" s="61" t="inlineStr">
        <is>
          <t>Verifică solduri, nu documente — vezi Reguli, tabelul C</t>
        </is>
      </c>
      <c r="G29" s="61" t="inlineStr">
        <is>
          <t>V1 Obligații lunare (rulaj = sold); V2 Datoria față de salariați; V3 Conturi care trebuie golite; V4 Verificarea CAM pe cifre</t>
        </is>
      </c>
      <c r="H29" s="61" t="inlineStr">
        <is>
          <t>IMPLEMENTAT</t>
        </is>
      </c>
    </row>
    <row r="31">
      <c r="A31" s="63" t="inlineStr">
        <is>
          <t>REGULĂ DE SUMONARE</t>
        </is>
      </c>
    </row>
    <row r="32">
      <c r="A32" s="46" t="inlineStr">
        <is>
          <t>1. În CatalogModule setezi Activ=DA doar pe modulele necesare lunii.</t>
        </is>
      </c>
    </row>
    <row r="33">
      <c r="A33" s="46" t="inlineStr">
        <is>
          <t>2. Completezi variabilele din foaia Declarații_Modul (galben).</t>
        </is>
      </c>
    </row>
    <row r="34">
      <c r="A34" s="46" t="inlineStr">
        <is>
          <t>3. Jurnalele și NotaExport se populează automat doar pentru modulele active.</t>
        </is>
      </c>
    </row>
    <row r="35">
      <c r="A35" s="46" t="inlineStr">
        <is>
          <t>4. Verifici Check=0 pe fiecare bloc; filtrezi NotaExport pe Include=DA și imporți.</t>
        </is>
      </c>
    </row>
    <row r="36">
      <c r="A36" s="46" t="inlineStr">
        <is>
          <t>Nu se creează conturi noi din modul — se folosesc doar conturile din politica declarată + planul de conturi pe rol.</t>
        </is>
      </c>
    </row>
  </sheetData>
  <mergeCells count="9">
    <mergeCell ref="A3:H3"/>
    <mergeCell ref="A35:H35"/>
    <mergeCell ref="A2:H2"/>
    <mergeCell ref="A36:H36"/>
    <mergeCell ref="A33:H33"/>
    <mergeCell ref="A1:H1"/>
    <mergeCell ref="A32:H32"/>
    <mergeCell ref="A31:H31"/>
    <mergeCell ref="A34:H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46" customWidth="1" style="40" min="1" max="1"/>
    <col width="22" customWidth="1" style="40" min="2" max="2"/>
    <col width="58" customWidth="1" style="40" min="3" max="3"/>
  </cols>
  <sheetData>
    <row r="1">
      <c r="A1" s="41" t="inlineStr">
        <is>
          <t>MOD_CAPITALURI — Declarații (input)</t>
        </is>
      </c>
    </row>
    <row r="2">
      <c r="A2" s="44" t="inlineStr">
        <is>
          <t>Completează doar celulele galbene cu scris albastru. Restul sunt formule sau text fix.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Exercițiu financiar (anul N)</t>
        </is>
      </c>
      <c r="B6" s="64" t="n">
        <v>2026</v>
      </c>
    </row>
    <row r="7">
      <c r="A7" s="43" t="inlineStr">
        <is>
          <t>Data notei de repartizare (31.12.N)</t>
        </is>
      </c>
      <c r="B7" s="64" t="inlineStr">
        <is>
          <t>2026-12-31</t>
        </is>
      </c>
    </row>
    <row r="8">
      <c r="A8" s="43" t="inlineStr">
        <is>
          <t>Data notei de închidere (ianuarie N+1)</t>
        </is>
      </c>
      <c r="B8" s="64" t="inlineStr">
        <is>
          <t>2027-01-05</t>
        </is>
      </c>
    </row>
    <row r="10">
      <c r="A10" s="42" t="inlineStr">
        <is>
          <t>2. Date din balanță</t>
        </is>
      </c>
    </row>
    <row r="11">
      <c r="A11" s="43" t="inlineStr">
        <is>
          <t>Sold creditor 121 (după închiderea cls. 6 și 7)</t>
        </is>
      </c>
      <c r="B11" s="64" t="n">
        <v>2500</v>
      </c>
    </row>
    <row r="12">
      <c r="A12" s="43" t="inlineStr">
        <is>
          <t>Rulaj 691 (cheltuiala cu impozitul pe profit)</t>
        </is>
      </c>
      <c r="B12" s="64" t="n">
        <v>0</v>
      </c>
    </row>
    <row r="13">
      <c r="A13" s="43" t="inlineStr">
        <is>
          <t>Capital social subscris ȘI VĂRSAT (1012)</t>
        </is>
      </c>
      <c r="B13" s="64" t="n">
        <v>5000</v>
      </c>
      <c r="C13" s="44" t="inlineStr">
        <is>
          <t>Partea nevărsată din 1011 NU intră în plafon</t>
        </is>
      </c>
    </row>
    <row r="14">
      <c r="A14" s="43" t="inlineStr">
        <is>
          <t>Sold 1061 deja constituit</t>
        </is>
      </c>
      <c r="B14" s="64" t="n">
        <v>0</v>
      </c>
    </row>
    <row r="15">
      <c r="A15" s="43" t="inlineStr">
        <is>
          <t>Pierdere contabilă reportată de acoperit (1171 sold D)</t>
        </is>
      </c>
      <c r="B15" s="64" t="n">
        <v>0</v>
      </c>
    </row>
    <row r="16">
      <c r="A16" s="43" t="inlineStr">
        <is>
          <t>Capitaluri proprii (activ net) din bilanț</t>
        </is>
      </c>
      <c r="B16" s="64" t="n">
        <v>5000</v>
      </c>
      <c r="C16" s="44" t="inlineStr">
        <is>
          <t>Se ia din bilanț, nu din balanță — vezi C-20</t>
        </is>
      </c>
    </row>
    <row r="18">
      <c r="A18" s="42" t="inlineStr">
        <is>
          <t>3. Rezerva legală — dublul plafon (nu edita)</t>
        </is>
      </c>
    </row>
    <row r="19">
      <c r="A19" s="43" t="inlineStr">
        <is>
          <t>Profit contabil brut (121 + 691)</t>
        </is>
      </c>
      <c r="B19" s="43">
        <f>B11+B12</f>
        <v>2500</v>
      </c>
    </row>
    <row r="20">
      <c r="A20" s="43" t="inlineStr">
        <is>
          <t>Limita fiscală: 5% din profitul brut</t>
        </is>
      </c>
      <c r="B20" s="43">
        <f>B19*param_proc_rezerva</f>
        <v>125</v>
      </c>
      <c r="C20" s="44" t="inlineStr">
        <is>
          <t>art. 26 alin. (1) lit. a) Cod fiscal</t>
        </is>
      </c>
    </row>
    <row r="21">
      <c r="A21" s="43" t="inlineStr">
        <is>
          <t>Limita juridică: 20% din capitalul vărsat</t>
        </is>
      </c>
      <c r="B21" s="43">
        <f>B13*param_plafon_rezerva</f>
        <v>1000</v>
      </c>
      <c r="C21" s="44" t="inlineStr">
        <is>
          <t>art. 183 Legea 31/1990</t>
        </is>
      </c>
    </row>
    <row r="22">
      <c r="A22" s="43" t="inlineStr">
        <is>
          <t>Spațiu rămas până la plafon</t>
        </is>
      </c>
      <c r="B22" s="43">
        <f>MAX(0,B21-B14)</f>
        <v>1000</v>
      </c>
    </row>
    <row r="23">
      <c r="A23" s="43" t="inlineStr">
        <is>
          <t>Rezervă legală de constituit</t>
        </is>
      </c>
      <c r="B23" s="43">
        <f>MIN(B20,B22)</f>
        <v>125</v>
      </c>
    </row>
    <row r="24">
      <c r="A24" s="43" t="inlineStr">
        <is>
          <t>Check plafon rezervă</t>
        </is>
      </c>
      <c r="B24" s="43">
        <f>B14+B23</f>
        <v>125</v>
      </c>
      <c r="C24" s="43" t="str">
        <f>IF(B14+B23&lt;=B21+0.001,"OK — sub plafonul de 20%","EROARE — depășire plafon")</f>
        <v>OK — sub plafonul de 20%</v>
      </c>
    </row>
    <row r="26">
      <c r="A26" s="42" t="inlineStr">
        <is>
          <t>4. Repartizare</t>
        </is>
      </c>
    </row>
    <row r="27">
      <c r="A27" s="43" t="inlineStr">
        <is>
          <t>Profit rămas după rezerva legală</t>
        </is>
      </c>
      <c r="B27" s="43">
        <f>B11-B23</f>
        <v>2375</v>
      </c>
    </row>
    <row r="28">
      <c r="A28" s="43" t="inlineStr">
        <is>
          <t>Disponibil de distribuit ca dividende</t>
        </is>
      </c>
      <c r="B28" s="43">
        <f>MAX(0,B27-B15)</f>
        <v>2375</v>
      </c>
    </row>
    <row r="29">
      <c r="A29" s="43" t="inlineStr">
        <is>
          <t>Check pierdere reportată</t>
        </is>
      </c>
      <c r="B29" s="43">
        <f>B15</f>
        <v>0</v>
      </c>
      <c r="C29" s="43" t="str">
        <f>IF(B15&gt;0,"ATENȚIE — acoperă întâi pierderea reportată (L. 239/2025)","OK — fără pierdere reportată")</f>
        <v>OK — fără pierdere reportată</v>
      </c>
    </row>
    <row r="30">
      <c r="A30" s="43" t="inlineStr">
        <is>
          <t>Check activ net ≥ ½ capital social (C-20)</t>
        </is>
      </c>
      <c r="B30" s="43">
        <f>B16</f>
        <v>5000</v>
      </c>
      <c r="C30" s="43" t="str">
        <f>IF(B16&gt;=B13/2,"OK — activ net ≥ ½ capital social","BLOCAJ — L. 239/2025: fără dividende și fără restituiri de împrumuturi de la asociați până la reîntregire")</f>
        <v>OK — activ net ≥ ½ capital social</v>
      </c>
    </row>
    <row r="32">
      <c r="A32" s="42" t="inlineStr">
        <is>
          <t>5. Corecție erori exerciții anterioare (1174)</t>
        </is>
      </c>
    </row>
    <row r="33">
      <c r="A33" s="43" t="inlineStr">
        <is>
          <t>Bază corecție, fără TVA (0 dacă nu e cazul)</t>
        </is>
      </c>
      <c r="B33" s="64" t="n">
        <v>0</v>
      </c>
    </row>
    <row r="34">
      <c r="A34" s="43" t="inlineStr">
        <is>
          <t>TVA aferentă corecției</t>
        </is>
      </c>
      <c r="B34" s="64" t="n">
        <v>0</v>
      </c>
    </row>
    <row r="35">
      <c r="A35" s="43" t="inlineStr">
        <is>
          <t>Check 1174</t>
        </is>
      </c>
      <c r="B35" s="43">
        <f>B33</f>
        <v>0</v>
      </c>
      <c r="C35" s="43" t="str">
        <f>IF(B33=0,"— fără corecție în această perioadă","1174 se închide obligatoriu în 1171 până la 31.12 (C-18) + D101 rectificativ")</f>
        <v>— fără corecție în această perioadă</v>
      </c>
    </row>
    <row r="37">
      <c r="A37" s="42" t="inlineStr">
        <is>
          <t>6. Conturi (din planul pe rol)</t>
        </is>
      </c>
    </row>
    <row r="38">
      <c r="A38" s="43" t="inlineStr">
        <is>
          <t>Cont rezultat</t>
        </is>
      </c>
      <c r="B38" s="64" t="n">
        <v>121</v>
      </c>
    </row>
    <row r="39">
      <c r="A39" s="43" t="inlineStr">
        <is>
          <t>Cont repartizarea profitului</t>
        </is>
      </c>
      <c r="B39" s="64" t="n">
        <v>129</v>
      </c>
    </row>
    <row r="40">
      <c r="A40" s="43" t="inlineStr">
        <is>
          <t>Cont rezervă legală</t>
        </is>
      </c>
      <c r="B40" s="64" t="n">
        <v>1061</v>
      </c>
    </row>
    <row r="41">
      <c r="A41" s="43" t="inlineStr">
        <is>
          <t>Cont rezultat reportat (analitic pe an)</t>
        </is>
      </c>
      <c r="B41" s="64" t="inlineStr">
        <is>
          <t>1171.2026</t>
        </is>
      </c>
    </row>
    <row r="42">
      <c r="A42" s="43" t="inlineStr">
        <is>
          <t>Cont dividende de plată</t>
        </is>
      </c>
      <c r="B42" s="64" t="n">
        <v>457</v>
      </c>
    </row>
    <row r="43">
      <c r="A43" s="43" t="inlineStr">
        <is>
          <t>Cont corecții exerciții anterioare</t>
        </is>
      </c>
      <c r="B43" s="64" t="n">
        <v>1174</v>
      </c>
    </row>
    <row r="44">
      <c r="A44" s="43" t="inlineStr">
        <is>
          <t>Cont furnizor</t>
        </is>
      </c>
      <c r="B44" s="64" t="inlineStr">
        <is>
          <t>401.RO</t>
        </is>
      </c>
    </row>
    <row r="45">
      <c r="A45" s="43" t="inlineStr">
        <is>
          <t>Cont TVA deductibilă</t>
        </is>
      </c>
      <c r="B45" s="64" t="n">
        <v>4426</v>
      </c>
    </row>
    <row r="47">
      <c r="A47" s="42" t="inlineStr">
        <is>
          <t>7. Sufix generat</t>
        </is>
      </c>
    </row>
    <row r="48">
      <c r="A48" s="43" t="inlineStr">
        <is>
          <t>Sufix</t>
        </is>
      </c>
      <c r="B48" s="43" t="str">
        <f>"— repartizare rezultat " &amp; B6</f>
        <v>— repartizare rezultat 2026</v>
      </c>
    </row>
    <row r="50">
      <c r="A50" s="43" t="inlineStr">
        <is>
          <t>Modul activ în CatalogModule?</t>
        </is>
      </c>
      <c r="B50" s="43" t="str">
        <f>IF(INDEX(CatalogModule!$A$1:$A$200,MATCH("MOD_CAPITALURI",CatalogModule!$B$1:$B$200,0))="DA","ACTIV — jurnalele se generează","INACTIV — jurnalele rămân goale")</f>
        <v>INACTIV — jurnalele rămân goale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0" customWidth="1" style="40" min="1" max="1"/>
    <col width="14" customWidth="1" style="40" min="2" max="2"/>
    <col width="14" customWidth="1" style="40" min="3" max="3"/>
    <col width="34" customWidth="1" style="40" min="4" max="4"/>
    <col width="26" customWidth="1" style="40" min="5" max="5"/>
    <col width="56" customWidth="1" style="40" min="6" max="6"/>
  </cols>
  <sheetData>
    <row r="1">
      <c r="A1" s="41" t="inlineStr">
        <is>
          <t>MOD_CAPITALURI — Reguli (tabele fixe)</t>
        </is>
      </c>
    </row>
    <row r="2">
      <c r="A2" s="44" t="inlineStr">
        <is>
          <t>Regula juridică/fiscală e dată, nu formulă. Se editează doar când se schimbă legea.</t>
        </is>
      </c>
    </row>
    <row r="4">
      <c r="A4" s="42" t="inlineStr">
        <is>
          <t>Tabel A — Secvența de repartizare</t>
        </is>
      </c>
    </row>
    <row r="5">
      <c r="A5" s="65" t="inlineStr">
        <is>
          <t>Pas</t>
        </is>
      </c>
      <c r="B5" s="65" t="inlineStr">
        <is>
          <t>Cont Dr</t>
        </is>
      </c>
      <c r="C5" s="65" t="inlineStr">
        <is>
          <t>Cont Cr</t>
        </is>
      </c>
      <c r="D5" s="65" t="inlineStr">
        <is>
          <t>Sumă (sursă)</t>
        </is>
      </c>
      <c r="E5" s="65" t="inlineStr">
        <is>
          <t>Condiție</t>
        </is>
      </c>
      <c r="F5" s="65" t="inlineStr">
        <is>
          <t>Temei / observație</t>
        </is>
      </c>
    </row>
    <row r="6">
      <c r="A6" s="43" t="inlineStr">
        <is>
          <t>1</t>
        </is>
      </c>
      <c r="B6" s="43" t="inlineStr">
        <is>
          <t>129</t>
        </is>
      </c>
      <c r="C6" s="43" t="inlineStr">
        <is>
          <t>1061</t>
        </is>
      </c>
      <c r="D6" s="43" t="inlineStr">
        <is>
          <t>MIN(5% × profit brut; 20% × capital vărsat − rezerva existentă)</t>
        </is>
      </c>
      <c r="E6" s="43" t="inlineStr">
        <is>
          <t>La 31.12.N</t>
        </is>
      </c>
      <c r="F6" s="43" t="inlineStr">
        <is>
          <t>art. 183 L. 31/1990 + art. 26 alin. (1) lit. a) CF</t>
        </is>
      </c>
    </row>
    <row r="7">
      <c r="A7" s="43" t="inlineStr">
        <is>
          <t>2</t>
        </is>
      </c>
      <c r="B7" s="43" t="inlineStr">
        <is>
          <t>121</t>
        </is>
      </c>
      <c r="C7" s="43" t="inlineStr">
        <is>
          <t>129</t>
        </is>
      </c>
      <c r="D7" s="43" t="inlineStr">
        <is>
          <t>cât rezerva constituită</t>
        </is>
      </c>
      <c r="E7" s="43" t="inlineStr">
        <is>
          <t>În ianuarie N+1</t>
        </is>
      </c>
      <c r="F7" s="43" t="inlineStr">
        <is>
          <t>129 are sold DEBITOR → se închide prin creditare. NU `129 = 1171`</t>
        </is>
      </c>
    </row>
    <row r="8">
      <c r="A8" s="43" t="inlineStr">
        <is>
          <t>3</t>
        </is>
      </c>
      <c r="B8" s="43" t="inlineStr">
        <is>
          <t>121</t>
        </is>
      </c>
      <c r="C8" s="43" t="inlineStr">
        <is>
          <t>1171</t>
        </is>
      </c>
      <c r="D8" s="43" t="inlineStr">
        <is>
          <t>profit rămas nerepartizat</t>
        </is>
      </c>
      <c r="E8" s="43" t="inlineStr">
        <is>
          <t>În ianuarie N+1</t>
        </is>
      </c>
      <c r="F8" s="43" t="inlineStr">
        <is>
          <t>1171 cu analitic PE AN (C-21)</t>
        </is>
      </c>
    </row>
    <row r="9">
      <c r="A9" s="43" t="inlineStr">
        <is>
          <t>4</t>
        </is>
      </c>
      <c r="B9" s="43" t="inlineStr">
        <is>
          <t>1171</t>
        </is>
      </c>
      <c r="C9" s="43" t="inlineStr">
        <is>
          <t>457</t>
        </is>
      </c>
      <c r="D9" s="43" t="inlineStr">
        <is>
          <t>dividende aprobate</t>
        </is>
      </c>
      <c r="E9" s="43" t="inlineStr">
        <is>
          <t>După hotărârea AGA</t>
        </is>
      </c>
      <c r="F9" s="43" t="inlineStr">
        <is>
          <t>Impozit 16% pentru distribuiri de la 01.01.2026 (L. 141/2025); cota urmează data DISTRIBUIRII, nu a plății</t>
        </is>
      </c>
    </row>
    <row r="10">
      <c r="A10" s="43" t="inlineStr">
        <is>
          <t>5</t>
        </is>
      </c>
      <c r="B10" s="43" t="inlineStr">
        <is>
          <t>1174</t>
        </is>
      </c>
      <c r="C10" s="43" t="inlineStr">
        <is>
          <t>401</t>
        </is>
      </c>
      <c r="D10" s="43" t="inlineStr">
        <is>
          <t>corecție eroare semnificativă an anterior</t>
        </is>
      </c>
      <c r="E10" s="43" t="inlineStr">
        <is>
          <t>Dacă e cazul</t>
        </is>
      </c>
      <c r="F10" s="43" t="inlineStr">
        <is>
          <t>Nu prin 628. Obligatoriu D101 rectificativ</t>
        </is>
      </c>
    </row>
    <row r="11">
      <c r="A11" s="43" t="inlineStr">
        <is>
          <t>6</t>
        </is>
      </c>
      <c r="B11" s="43" t="inlineStr">
        <is>
          <t>1171</t>
        </is>
      </c>
      <c r="C11" s="43" t="inlineStr">
        <is>
          <t>1174</t>
        </is>
      </c>
      <c r="D11" s="43" t="inlineStr">
        <is>
          <t>cât baza corecției</t>
        </is>
      </c>
      <c r="E11" s="43" t="inlineStr">
        <is>
          <t>După AGA</t>
        </is>
      </c>
      <c r="F11" s="43" t="inlineStr">
        <is>
          <t>1174 e tranzitoriu — nu poate rămâne cu sold (C-18)</t>
        </is>
      </c>
    </row>
    <row r="13">
      <c r="A13" s="42" t="inlineStr">
        <is>
          <t>Tabel B — Ordinea condițiilor înainte de dividende</t>
        </is>
      </c>
    </row>
    <row r="14">
      <c r="A14" s="65" t="inlineStr">
        <is>
          <t>#</t>
        </is>
      </c>
      <c r="B14" s="65" t="inlineStr">
        <is>
          <t>Condiție</t>
        </is>
      </c>
      <c r="C14" s="65" t="inlineStr">
        <is>
          <t>Efect dacă nu e îndeplinită</t>
        </is>
      </c>
      <c r="D14" s="65" t="inlineStr"/>
      <c r="E14" s="65" t="inlineStr"/>
      <c r="F14" s="65" t="inlineStr">
        <is>
          <t>Temei</t>
        </is>
      </c>
    </row>
    <row r="15">
      <c r="A15" s="43" t="inlineStr">
        <is>
          <t>1</t>
        </is>
      </c>
      <c r="B15" s="43" t="inlineStr">
        <is>
          <t>Rezerva legală constituită</t>
        </is>
      </c>
      <c r="C15" s="43" t="inlineStr">
        <is>
          <t>Nu se pot distribui dividende</t>
        </is>
      </c>
      <c r="D15" s="43" t="inlineStr"/>
      <c r="E15" s="43" t="inlineStr"/>
      <c r="F15" s="43" t="inlineStr">
        <is>
          <t>art. 183 L. 31/1990</t>
        </is>
      </c>
    </row>
    <row r="16">
      <c r="A16" s="43" t="inlineStr">
        <is>
          <t>2</t>
        </is>
      </c>
      <c r="B16" s="43" t="inlineStr">
        <is>
          <t>Pierderea contabilă reportată acoperită integral</t>
        </is>
      </c>
      <c r="C16" s="43" t="inlineStr">
        <is>
          <t>Nu se pot distribui dividende</t>
        </is>
      </c>
      <c r="D16" s="43" t="inlineStr"/>
      <c r="E16" s="43" t="inlineStr"/>
      <c r="F16" s="43" t="inlineStr">
        <is>
          <t>art. 67 L. 31/1990</t>
        </is>
      </c>
    </row>
    <row r="17">
      <c r="A17" s="43" t="inlineStr">
        <is>
          <t>3</t>
        </is>
      </c>
      <c r="B17" s="43" t="inlineStr">
        <is>
          <t>Activ net ≥ ½ din capitalul social subscris</t>
        </is>
      </c>
      <c r="C17" s="43" t="inlineStr">
        <is>
          <t>Blocaj dividende ȘI blocaj restituire împrumuturi de la asociați; amenzi 10.000–300.000 lei; răspundere solidară pentru obligațiile fiscale</t>
        </is>
      </c>
      <c r="D17" s="43" t="inlineStr"/>
      <c r="E17" s="43" t="inlineStr"/>
      <c r="F17" s="43" t="inlineStr">
        <is>
          <t>L. 239/2025 (modifică L. 31/1990)</t>
        </is>
      </c>
    </row>
    <row r="19">
      <c r="A19" s="42" t="inlineStr">
        <is>
          <t>Tabel C — Porți de calitate</t>
        </is>
      </c>
    </row>
    <row r="20">
      <c r="A20" s="43" t="inlineStr">
        <is>
          <t>• ΣDr = ΣCr pe fiecare bloc</t>
        </is>
      </c>
    </row>
    <row r="21">
      <c r="A21" s="43" t="inlineStr">
        <is>
          <t>• După înregistrare: sold 121 = 0 și sold 129 = 0 (C-16)</t>
        </is>
      </c>
    </row>
    <row r="22">
      <c r="A22" s="43" t="inlineStr">
        <is>
          <t>• Sold 1061 ≤ 20% × capital vărsat (C-17)</t>
        </is>
      </c>
    </row>
    <row r="23">
      <c r="A23" s="43" t="inlineStr">
        <is>
          <t>• Sold 1174 = 0 la 31.12 (C-18)</t>
        </is>
      </c>
    </row>
    <row r="24">
      <c r="A24" s="43" t="inlineStr">
        <is>
          <t>• 1171 are analitic pe an, cu sens D/C explicit (C-21)</t>
        </is>
      </c>
    </row>
    <row r="25">
      <c r="A25" s="43" t="inlineStr">
        <is>
          <t>• Modulul nu creează conturi noi — folosește conturile din Declarații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14" customWidth="1" style="40" min="2" max="2"/>
    <col width="14" customWidth="1" style="40" min="3" max="3"/>
    <col width="48" customWidth="1" style="40" min="4" max="4"/>
    <col width="14" customWidth="1" style="40" min="5" max="5"/>
    <col width="14" customWidth="1" style="40" min="6" max="6"/>
    <col width="48" customWidth="1" style="40" min="7" max="7"/>
  </cols>
  <sheetData>
    <row r="1">
      <c r="A1" s="41" t="inlineStr">
        <is>
          <t>MOD_CAPITALURI — Jurnale (generate automat)</t>
        </is>
      </c>
    </row>
    <row r="2">
      <c r="A2" s="44" t="inlineStr">
        <is>
          <t>Nu se scrie nimic manual. Toate sumele și descrierile derivă din Declarații_CAPITALURI.</t>
        </is>
      </c>
    </row>
    <row r="4">
      <c r="A4" s="42" t="inlineStr">
        <is>
          <t>Bloc 1 — Constituirea rezervei legale (31.12.N)</t>
        </is>
      </c>
    </row>
    <row r="5">
      <c r="A5" s="43" t="inlineStr">
        <is>
          <t>Data jurnal:</t>
        </is>
      </c>
      <c r="B5" s="43" t="str">
        <f>Declarații_CAPITALURI!B7</f>
        <v>2026-12-31</v>
      </c>
    </row>
    <row r="7">
      <c r="A7" s="65" t="inlineStr">
        <is>
          <t>Nr</t>
        </is>
      </c>
      <c r="B7" s="65" t="inlineStr">
        <is>
          <t>Cont Dr</t>
        </is>
      </c>
      <c r="C7" s="65" t="inlineStr">
        <is>
          <t>Sumă Dr</t>
        </is>
      </c>
      <c r="D7" s="65" t="inlineStr">
        <is>
          <t>Descriere Dr</t>
        </is>
      </c>
      <c r="E7" s="65" t="inlineStr">
        <is>
          <t>Cont Cr</t>
        </is>
      </c>
      <c r="F7" s="65" t="inlineStr">
        <is>
          <t>Sumă Cr</t>
        </is>
      </c>
      <c r="G7" s="65" t="inlineStr">
        <is>
          <t>Descriere Cr</t>
        </is>
      </c>
    </row>
    <row r="8">
      <c r="A8" s="43" t="n">
        <v>1</v>
      </c>
      <c r="B8" s="43">
        <f>Declarații_CAPITALURI!B39</f>
        <v>129</v>
      </c>
      <c r="C8" s="43">
        <f>Declarații_CAPITALURI!B23</f>
        <v>125</v>
      </c>
      <c r="D8" s="43" t="str">
        <f>"Repartizare profit la rezerva legală " &amp; Declarații_CAPITALURI!B48</f>
        <v>Repartizare profit la rezerva legală — repartizare rezultat 2026</v>
      </c>
      <c r="E8" s="43">
        <f>Declarații_CAPITALURI!B40</f>
        <v>1061</v>
      </c>
      <c r="F8" s="43">
        <f>Declarații_CAPITALURI!B23</f>
        <v>125</v>
      </c>
      <c r="G8" s="43" t="str">
        <f>"Rezervă legală constituită " &amp; Declarații_CAPITALURI!B48</f>
        <v>Rezervă legală constituită — repartizare rezultat 2026</v>
      </c>
    </row>
    <row r="10">
      <c r="A10" s="42" t="inlineStr">
        <is>
          <t>Bloc 2 — Închiderea contului 121 (ianuarie N+1)</t>
        </is>
      </c>
    </row>
    <row r="11">
      <c r="A11" s="43" t="inlineStr">
        <is>
          <t>Data jurnal:</t>
        </is>
      </c>
      <c r="B11" s="43" t="str">
        <f>Declarații_CAPITALURI!B8</f>
        <v>2027-01-05</v>
      </c>
    </row>
    <row r="13">
      <c r="A13" s="65" t="inlineStr">
        <is>
          <t>Nr</t>
        </is>
      </c>
      <c r="B13" s="65" t="inlineStr">
        <is>
          <t>Cont Dr</t>
        </is>
      </c>
      <c r="C13" s="65" t="inlineStr">
        <is>
          <t>Sumă Dr</t>
        </is>
      </c>
      <c r="D13" s="65" t="inlineStr">
        <is>
          <t>Descriere Dr</t>
        </is>
      </c>
      <c r="E13" s="65" t="inlineStr">
        <is>
          <t>Cont Cr</t>
        </is>
      </c>
      <c r="F13" s="65" t="inlineStr">
        <is>
          <t>Sumă Cr</t>
        </is>
      </c>
      <c r="G13" s="65" t="inlineStr">
        <is>
          <t>Descriere Cr</t>
        </is>
      </c>
    </row>
    <row r="14">
      <c r="A14" s="43" t="n">
        <v>1</v>
      </c>
      <c r="B14" s="43">
        <f>Declarații_CAPITALURI!B38</f>
        <v>121</v>
      </c>
      <c r="C14" s="43">
        <f>Declarații_CAPITALURI!B23</f>
        <v>125</v>
      </c>
      <c r="D14" s="43" t="str">
        <f>"Închidere 121 — partea repartizată " &amp; Declarații_CAPITALURI!B48</f>
        <v>Închidere 121 — partea repartizată — repartizare rezultat 2026</v>
      </c>
      <c r="E14" s="43">
        <f>Declarații_CAPITALURI!B39</f>
        <v>129</v>
      </c>
      <c r="F14" s="43">
        <f>Declarații_CAPITALURI!B23</f>
        <v>125</v>
      </c>
      <c r="G14" s="43" t="str">
        <f>"Stingere repartizare " &amp; Declarații_CAPITALURI!B48</f>
        <v>Stingere repartizare — repartizare rezultat 2026</v>
      </c>
    </row>
    <row r="15">
      <c r="A15" s="43" t="n">
        <v>2</v>
      </c>
      <c r="B15" s="43">
        <f>Declarații_CAPITALURI!B38</f>
        <v>121</v>
      </c>
      <c r="C15" s="43">
        <f>Declarații_CAPITALURI!B27</f>
        <v>2375</v>
      </c>
      <c r="D15" s="43" t="str">
        <f>"Închidere 121 — profit reportat " &amp; Declarații_CAPITALURI!B48</f>
        <v>Închidere 121 — profit reportat — repartizare rezultat 2026</v>
      </c>
      <c r="E15" s="43" t="str">
        <f>Declarații_CAPITALURI!B41</f>
        <v>1171.2026</v>
      </c>
      <c r="F15" s="43">
        <f>Declarații_CAPITALURI!B27</f>
        <v>2375</v>
      </c>
      <c r="G15" s="43" t="str">
        <f>"Report rezultat pe an " &amp; Declarații_CAPITALURI!B48</f>
        <v>Report rezultat pe an — repartizare rezultat 2026</v>
      </c>
    </row>
    <row r="17">
      <c r="A17" s="42" t="inlineStr">
        <is>
          <t>Bloc 3 — Dividende (după hotărârea AGA)</t>
        </is>
      </c>
    </row>
    <row r="18">
      <c r="A18" s="65" t="inlineStr">
        <is>
          <t>Nr</t>
        </is>
      </c>
      <c r="B18" s="65" t="inlineStr">
        <is>
          <t>Cont Dr</t>
        </is>
      </c>
      <c r="C18" s="65" t="inlineStr">
        <is>
          <t>Sumă Dr</t>
        </is>
      </c>
      <c r="D18" s="65" t="inlineStr">
        <is>
          <t>Descriere Dr</t>
        </is>
      </c>
      <c r="E18" s="65" t="inlineStr">
        <is>
          <t>Cont Cr</t>
        </is>
      </c>
      <c r="F18" s="65" t="inlineStr">
        <is>
          <t>Sumă Cr</t>
        </is>
      </c>
      <c r="G18" s="65" t="inlineStr">
        <is>
          <t>Descriere Cr</t>
        </is>
      </c>
    </row>
    <row r="19">
      <c r="A19" s="43" t="n">
        <v>1</v>
      </c>
      <c r="B19" s="43" t="str">
        <f>Declarații_CAPITALURI!B41</f>
        <v>1171.2026</v>
      </c>
      <c r="C19" s="43">
        <f>Declarații_CAPITALURI!B28</f>
        <v>2375</v>
      </c>
      <c r="D19" s="43" t="str">
        <f>"Dividende aprobate AGA " &amp; Declarații_CAPITALURI!B48</f>
        <v>Dividende aprobate AGA — repartizare rezultat 2026</v>
      </c>
      <c r="E19" s="43">
        <f>Declarații_CAPITALURI!B42</f>
        <v>457</v>
      </c>
      <c r="F19" s="43">
        <f>Declarații_CAPITALURI!B28</f>
        <v>2375</v>
      </c>
      <c r="G19" s="43" t="str">
        <f>"Dividende de plată " &amp; Declarații_CAPITALURI!B48</f>
        <v>Dividende de plată — repartizare rezultat 2026</v>
      </c>
    </row>
    <row r="21">
      <c r="A21" s="42" t="inlineStr">
        <is>
          <t>Bloc 4 — Corecție eroare exercițiu anterior (1174)</t>
        </is>
      </c>
    </row>
    <row r="22">
      <c r="A22" s="65" t="inlineStr">
        <is>
          <t>Nr</t>
        </is>
      </c>
      <c r="B22" s="65" t="inlineStr">
        <is>
          <t>Cont Dr</t>
        </is>
      </c>
      <c r="C22" s="65" t="inlineStr">
        <is>
          <t>Sumă Dr</t>
        </is>
      </c>
      <c r="D22" s="65" t="inlineStr">
        <is>
          <t>Descriere Dr</t>
        </is>
      </c>
      <c r="E22" s="65" t="inlineStr">
        <is>
          <t>Cont Cr</t>
        </is>
      </c>
      <c r="F22" s="65" t="inlineStr">
        <is>
          <t>Sumă Cr</t>
        </is>
      </c>
      <c r="G22" s="65" t="inlineStr">
        <is>
          <t>Descriere Cr</t>
        </is>
      </c>
    </row>
    <row r="23">
      <c r="A23" s="43" t="n">
        <v>1</v>
      </c>
      <c r="B23" s="43">
        <f>Declarații_CAPITALURI!B43</f>
        <v>1174</v>
      </c>
      <c r="C23" s="43">
        <f>Declarații_CAPITALURI!B33</f>
        <v>0</v>
      </c>
      <c r="D23" s="43" t="str">
        <f>"Corecție eroare exercițiu anterior " &amp; Declarații_CAPITALURI!B48</f>
        <v>Corecție eroare exercițiu anterior — repartizare rezultat 2026</v>
      </c>
      <c r="E23" s="43" t="str">
        <f>Declarații_CAPITALURI!B44</f>
        <v>401.RO</v>
      </c>
      <c r="F23" s="43">
        <f>Declarații_CAPITALURI!B33</f>
        <v>0</v>
      </c>
      <c r="G23" s="43" t="str">
        <f>"Datorie furnizor din corecție " &amp; Declarații_CAPITALURI!B48</f>
        <v>Datorie furnizor din corecție — repartizare rezultat 2026</v>
      </c>
    </row>
    <row r="24">
      <c r="A24" s="43" t="n">
        <v>2</v>
      </c>
      <c r="B24" s="43">
        <f>Declarații_CAPITALURI!B45</f>
        <v>4426</v>
      </c>
      <c r="C24" s="43">
        <f>Declarații_CAPITALURI!B34</f>
        <v>0</v>
      </c>
      <c r="D24" s="43" t="str">
        <f>"TVA din corecție — se deduce în decontul curent " &amp; Declarații_CAPITALURI!B48</f>
        <v>TVA din corecție — se deduce în decontul curent — repartizare rezultat 2026</v>
      </c>
      <c r="E24" s="43" t="str">
        <f>Declarații_CAPITALURI!B44</f>
        <v>401.RO</v>
      </c>
      <c r="F24" s="43">
        <f>Declarații_CAPITALURI!B34</f>
        <v>0</v>
      </c>
      <c r="G24" s="43" t="str">
        <f>"Datorie furnizor — TVA " &amp; Declarații_CAPITALURI!B48</f>
        <v>Datorie furnizor — TVA — repartizare rezultat 2026</v>
      </c>
    </row>
    <row r="25">
      <c r="A25" s="43" t="n">
        <v>3</v>
      </c>
      <c r="B25" s="43" t="str">
        <f>Declarații_CAPITALURI!B41</f>
        <v>1171.2026</v>
      </c>
      <c r="C25" s="43">
        <f>Declarații_CAPITALURI!B33</f>
        <v>0</v>
      </c>
      <c r="D25" s="43" t="str">
        <f>"Închiderea contului tranzitoriu 1174 " &amp; Declarații_CAPITALURI!B48</f>
        <v>Închiderea contului tranzitoriu 1174 — repartizare rezultat 2026</v>
      </c>
      <c r="E25" s="43">
        <f>Declarații_CAPITALURI!B43</f>
        <v>1174</v>
      </c>
      <c r="F25" s="43">
        <f>Declarații_CAPITALURI!B33</f>
        <v>0</v>
      </c>
      <c r="G25" s="43" t="str">
        <f>"Stingere 1174 " &amp; Declarații_CAPITALURI!B48</f>
        <v>Stingere 1174 — repartizare rezultat 2026</v>
      </c>
    </row>
    <row r="27">
      <c r="A27" s="42" t="inlineStr">
        <is>
          <t>Sumar și controale</t>
        </is>
      </c>
    </row>
    <row r="28">
      <c r="A28" s="43" t="inlineStr">
        <is>
          <t>Total Dr</t>
        </is>
      </c>
      <c r="B28" s="43">
        <f>C8+C14+C15+C19+C23+C24+C25</f>
        <v>5000</v>
      </c>
    </row>
    <row r="29">
      <c r="A29" s="43" t="inlineStr">
        <is>
          <t>Total Cr</t>
        </is>
      </c>
      <c r="B29" s="43">
        <f>F8+F14+F15+F19+F23+F24+F25</f>
        <v>5000</v>
      </c>
    </row>
    <row r="30">
      <c r="A30" s="43" t="inlineStr">
        <is>
          <t>Check Σ (structural)</t>
        </is>
      </c>
      <c r="B30" s="43">
        <f>B28-B29</f>
        <v>0</v>
      </c>
      <c r="C30" s="43" t="str">
        <f>IF(ABS(B28-B29)&lt;0.01,"OK — notele se închid","EROARE")</f>
        <v>OK — notele se închid</v>
      </c>
    </row>
    <row r="31">
      <c r="A31" s="43" t="inlineStr">
        <is>
          <t>Check închidere 121 (C-16)</t>
        </is>
      </c>
      <c r="B31" s="43">
        <f>Declarații_CAPITALURI!B11-(C14+C15)</f>
        <v>0</v>
      </c>
      <c r="C31" s="43" t="str">
        <f>IF(ABS(Declarații_CAPITALURI!B11-(C14+C15))&lt;0.01,"OK — 121 se închide integral","EROARE — 121 rămâne cu sold")</f>
        <v>OK — 121 se închide integral</v>
      </c>
    </row>
    <row r="32">
      <c r="A32" s="43" t="inlineStr">
        <is>
          <t>Check plafon rezervă (C-17)</t>
        </is>
      </c>
      <c r="B32" s="43">
        <f>Declarații_CAPITALURI!B14+C8</f>
        <v>125</v>
      </c>
      <c r="C32" s="43" t="str">
        <f>IF(Declarații_CAPITALURI!B14+C8&lt;=Declarații_CAPITALURI!B21+0.001,"OK — sub 20% din capitalul vărsat","EROARE — depășire plafon")</f>
        <v>OK — sub 20% din capitalul vărsat</v>
      </c>
    </row>
    <row r="33">
      <c r="A33" s="43" t="inlineStr">
        <is>
          <t>Check 1174 (C-18)</t>
        </is>
      </c>
      <c r="B33" s="43">
        <f>C23-C25</f>
        <v>0</v>
      </c>
      <c r="C33" s="43" t="str">
        <f>IF(ABS(C23-C25)&lt;0.01,"OK — 1174 se închide în 1171","EROARE — 1174 rămâne cu sold")</f>
        <v>OK — 1174 se închide în 1171</v>
      </c>
    </row>
    <row r="34">
      <c r="A34" s="44" t="inlineStr">
        <is>
          <t>Stare terminală așteptată: sold 121 = 0, sold 129 = 0, sold 1174 = 0, sold 1061 ≤ 20% × capital vărsat, 1171 cu analitic pe an.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34" customWidth="1" style="40" min="2" max="2"/>
    <col width="12" customWidth="1" style="40" min="3" max="3"/>
    <col width="14" customWidth="1" style="40" min="4" max="4"/>
    <col width="14" customWidth="1" style="40" min="5" max="5"/>
    <col width="14" customWidth="1" style="40" min="6" max="6"/>
    <col width="50" customWidth="1" style="40" min="7" max="7"/>
    <col width="30" customWidth="1" style="40" min="8" max="8"/>
    <col width="10" customWidth="1" style="40" min="9" max="9"/>
  </cols>
  <sheetData>
    <row r="1">
      <c r="A1" s="41" t="inlineStr">
        <is>
          <t>MOD_CAPITALURI — Notă pentru import (1 rând = 1 înregistrare)</t>
        </is>
      </c>
    </row>
    <row r="2">
      <c r="A2" s="44" t="inlineStr">
        <is>
          <t>Filtrează pe coloana Include = DA înainte de import. Echilibrul se verifică pe bloc în Jurnale, nu pe totalul listei.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Bloc 1 — Rezervă legală</t>
        </is>
      </c>
      <c r="C5" s="43" t="str">
        <f>Declarații_CAPITALURI!B7</f>
        <v>2026-12-31</v>
      </c>
      <c r="D5" s="43">
        <f>Jurnale_CAPITALURI!B8</f>
        <v>129</v>
      </c>
      <c r="E5" s="43">
        <f>Jurnale_CAPITALURI!E8</f>
        <v>1061</v>
      </c>
      <c r="F5" s="43">
        <f>Jurnale_CAPITALURI!C8</f>
        <v>125</v>
      </c>
      <c r="G5" s="43" t="str">
        <f>Jurnale_CAPITALURI!D8</f>
        <v>Repartizare profit la rezerva legală — repartizare rezultat 2026</v>
      </c>
      <c r="H5" s="43" t="inlineStr">
        <is>
          <t>Notă contabilă 31.12</t>
        </is>
      </c>
      <c r="I5" s="39" t="str">
        <f>IF(F5&gt;0,"DA","NU")</f>
        <v>DA</v>
      </c>
    </row>
    <row r="6">
      <c r="A6" s="43" t="n">
        <v>2</v>
      </c>
      <c r="B6" s="43" t="inlineStr">
        <is>
          <t>Bloc 2 — Închidere 121</t>
        </is>
      </c>
      <c r="C6" s="43" t="str">
        <f>Declarații_CAPITALURI!B8</f>
        <v>2027-01-05</v>
      </c>
      <c r="D6" s="43">
        <f>Jurnale_CAPITALURI!B14</f>
        <v>121</v>
      </c>
      <c r="E6" s="43">
        <f>Jurnale_CAPITALURI!E14</f>
        <v>129</v>
      </c>
      <c r="F6" s="43">
        <f>Jurnale_CAPITALURI!C14</f>
        <v>125</v>
      </c>
      <c r="G6" s="43" t="str">
        <f>Jurnale_CAPITALURI!D14</f>
        <v>Închidere 121 — partea repartizată — repartizare rezultat 2026</v>
      </c>
      <c r="H6" s="43" t="inlineStr">
        <is>
          <t>Notă de închidere</t>
        </is>
      </c>
      <c r="I6" s="39" t="str">
        <f>IF(F6&gt;0,"DA","NU")</f>
        <v>DA</v>
      </c>
    </row>
    <row r="7">
      <c r="A7" s="43" t="n">
        <v>3</v>
      </c>
      <c r="B7" s="43" t="inlineStr">
        <is>
          <t>Bloc 2 — Închidere 121</t>
        </is>
      </c>
      <c r="C7" s="43" t="str">
        <f>Declarații_CAPITALURI!B8</f>
        <v>2027-01-05</v>
      </c>
      <c r="D7" s="43">
        <f>Jurnale_CAPITALURI!B15</f>
        <v>121</v>
      </c>
      <c r="E7" s="43" t="str">
        <f>Jurnale_CAPITALURI!E15</f>
        <v>1171.2026</v>
      </c>
      <c r="F7" s="43">
        <f>Jurnale_CAPITALURI!C15</f>
        <v>2375</v>
      </c>
      <c r="G7" s="43" t="str">
        <f>Jurnale_CAPITALURI!D15</f>
        <v>Închidere 121 — profit reportat — repartizare rezultat 2026</v>
      </c>
      <c r="H7" s="43" t="inlineStr">
        <is>
          <t>Notă de închidere</t>
        </is>
      </c>
      <c r="I7" s="39" t="str">
        <f>IF(F7&gt;0,"DA","NU")</f>
        <v>DA</v>
      </c>
    </row>
    <row r="8">
      <c r="A8" s="43" t="n">
        <v>4</v>
      </c>
      <c r="B8" s="43" t="inlineStr">
        <is>
          <t>Bloc 3 — Dividende</t>
        </is>
      </c>
      <c r="C8" s="43" t="str">
        <f>Declarații_CAPITALURI!B8</f>
        <v>2027-01-05</v>
      </c>
      <c r="D8" s="43" t="str">
        <f>Jurnale_CAPITALURI!B19</f>
        <v>1171.2026</v>
      </c>
      <c r="E8" s="43">
        <f>Jurnale_CAPITALURI!E19</f>
        <v>457</v>
      </c>
      <c r="F8" s="43">
        <f>Jurnale_CAPITALURI!C19</f>
        <v>2375</v>
      </c>
      <c r="G8" s="43" t="str">
        <f>Jurnale_CAPITALURI!D19</f>
        <v>Dividende aprobate AGA — repartizare rezultat 2026</v>
      </c>
      <c r="H8" s="43" t="inlineStr">
        <is>
          <t>Hotărâre AGA</t>
        </is>
      </c>
      <c r="I8" s="39" t="str">
        <f>IF(F8&gt;0,"DA","NU")</f>
        <v>DA</v>
      </c>
    </row>
    <row r="9">
      <c r="A9" s="43" t="n">
        <v>5</v>
      </c>
      <c r="B9" s="43" t="inlineStr">
        <is>
          <t>Bloc 4 — Corecție 1174</t>
        </is>
      </c>
      <c r="C9" s="43" t="str">
        <f>Declarații_CAPITALURI!B8</f>
        <v>2027-01-05</v>
      </c>
      <c r="D9" s="43">
        <f>Jurnale_CAPITALURI!B23</f>
        <v>1174</v>
      </c>
      <c r="E9" s="43" t="str">
        <f>Jurnale_CAPITALURI!E23</f>
        <v>401.RO</v>
      </c>
      <c r="F9" s="43">
        <f>Jurnale_CAPITALURI!C23</f>
        <v>0</v>
      </c>
      <c r="G9" s="43" t="str">
        <f>Jurnale_CAPITALURI!D23</f>
        <v>Corecție eroare exercițiu anterior — repartizare rezultat 2026</v>
      </c>
      <c r="H9" s="43" t="inlineStr">
        <is>
          <t>Factură an anterior</t>
        </is>
      </c>
      <c r="I9" s="39" t="str">
        <f>IF(F9&gt;0,"DA","NU")</f>
        <v>NU</v>
      </c>
    </row>
    <row r="10">
      <c r="A10" s="43" t="n">
        <v>6</v>
      </c>
      <c r="B10" s="43" t="inlineStr">
        <is>
          <t>Bloc 4 — Corecție 1174</t>
        </is>
      </c>
      <c r="C10" s="43" t="str">
        <f>Declarații_CAPITALURI!B8</f>
        <v>2027-01-05</v>
      </c>
      <c r="D10" s="43">
        <f>Jurnale_CAPITALURI!B24</f>
        <v>4426</v>
      </c>
      <c r="E10" s="43" t="str">
        <f>Jurnale_CAPITALURI!E24</f>
        <v>401.RO</v>
      </c>
      <c r="F10" s="43">
        <f>Jurnale_CAPITALURI!C24</f>
        <v>0</v>
      </c>
      <c r="G10" s="43" t="str">
        <f>Jurnale_CAPITALURI!D24</f>
        <v>TVA din corecție — se deduce în decontul curent — repartizare rezultat 2026</v>
      </c>
      <c r="H10" s="43" t="inlineStr">
        <is>
          <t>Factură an anterior</t>
        </is>
      </c>
      <c r="I10" s="39" t="str">
        <f>IF(F10&gt;0,"DA","NU")</f>
        <v>NU</v>
      </c>
    </row>
    <row r="11">
      <c r="A11" s="43" t="n">
        <v>7</v>
      </c>
      <c r="B11" s="43" t="inlineStr">
        <is>
          <t>Bloc 4 — Corecție 1174</t>
        </is>
      </c>
      <c r="C11" s="43" t="str">
        <f>Declarații_CAPITALURI!B8</f>
        <v>2027-01-05</v>
      </c>
      <c r="D11" s="43" t="str">
        <f>Jurnale_CAPITALURI!B25</f>
        <v>1171.2026</v>
      </c>
      <c r="E11" s="43">
        <f>Jurnale_CAPITALURI!E25</f>
        <v>1174</v>
      </c>
      <c r="F11" s="43">
        <f>Jurnale_CAPITALURI!C25</f>
        <v>0</v>
      </c>
      <c r="G11" s="43" t="str">
        <f>Jurnale_CAPITALURI!D25</f>
        <v>Închiderea contului tranzitoriu 1174 — repartizare rezultat 2026</v>
      </c>
      <c r="H11" s="43" t="inlineStr">
        <is>
          <t>Notă contabilă</t>
        </is>
      </c>
      <c r="I11" s="39" t="str">
        <f>IF(F11&gt;0,"DA","NU")</f>
        <v>NU</v>
      </c>
    </row>
    <row r="13">
      <c r="A13" s="43" t="inlineStr">
        <is>
          <t>Rânduri de importat (Include=DA)</t>
        </is>
      </c>
      <c r="B13" s="43">
        <f>COUNTIF(I5:I11,"DA")</f>
        <v>4</v>
      </c>
    </row>
    <row r="14">
      <c r="A14" s="43" t="inlineStr">
        <is>
          <t>Check global (trebuie 0)</t>
        </is>
      </c>
      <c r="B14" s="43">
        <f>Jurnale_CAPITALURI!B28-Jurnale_CAPITALURI!B29</f>
        <v>0</v>
      </c>
      <c r="C14" s="43" t="str">
        <f>IF(ABS(Jurnale_CAPITALURI!B28-Jurnale_CAPITALURI!B29)&lt;0.01,"OK","EROARE")</f>
        <v>OK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8" customWidth="1" style="40" min="1" max="1"/>
    <col width="26" customWidth="1" style="40" min="2" max="2"/>
    <col width="56" customWidth="1" style="40" min="3" max="3"/>
  </cols>
  <sheetData>
    <row r="1">
      <c r="A1" s="41" t="inlineStr">
        <is>
          <t>MOD_INCHIDERE_EX — Declarații (input)</t>
        </is>
      </c>
    </row>
    <row r="2">
      <c r="A2" s="44" t="inlineStr">
        <is>
          <t>Modul anual. Completezi rulajele din balanță (sau totaluri din SAGA). Jurnalele închid cls.6 → 121, cls.7 → 121, calculează impozit / IMCA, repartizează 129 și reportează 117.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CUI</t>
        </is>
      </c>
      <c r="B6" s="43" t="str">
        <f>Parametri!B6</f>
        <v>RO00000000</v>
      </c>
    </row>
    <row r="7">
      <c r="A7" s="43" t="inlineStr">
        <is>
          <t>An exercițiu</t>
        </is>
      </c>
      <c r="B7" s="64" t="n">
        <v>2026</v>
      </c>
    </row>
    <row r="8">
      <c r="A8" s="43" t="inlineStr">
        <is>
          <t>Data jurnal închidere (31.12)</t>
        </is>
      </c>
      <c r="B8" s="64" t="inlineStr">
        <is>
          <t>2026-12-31</t>
        </is>
      </c>
    </row>
    <row r="10">
      <c r="A10" s="42" t="inlineStr">
        <is>
          <t>2. Rulaje de închis (din balanță / totaluri SAGA)</t>
        </is>
      </c>
    </row>
    <row r="11">
      <c r="A11" s="43" t="inlineStr">
        <is>
          <t>Total rulaj debitor cls.6 (cheltuieli)</t>
        </is>
      </c>
      <c r="B11" s="64" t="n">
        <v>185000</v>
      </c>
    </row>
    <row r="12">
      <c r="A12" s="43" t="inlineStr">
        <is>
          <t>Total rulaj creditor cls.7 (venituri)</t>
        </is>
      </c>
      <c r="B12" s="64" t="n">
        <v>245000</v>
      </c>
    </row>
    <row r="14">
      <c r="A14" s="42" t="inlineStr">
        <is>
          <t>3. Impozit pe profit / IMCA</t>
        </is>
      </c>
    </row>
    <row r="15">
      <c r="A15" s="43" t="inlineStr">
        <is>
          <t>Regim (PROFIT / MICRO / IMCA)</t>
        </is>
      </c>
      <c r="B15" s="64" t="inlineStr">
        <is>
          <t>PROFIT</t>
        </is>
      </c>
    </row>
    <row r="16">
      <c r="A16" s="43" t="inlineStr">
        <is>
          <t>Baza impozabilă (sau cifră afaceri IMCA)</t>
        </is>
      </c>
      <c r="B16" s="64" t="n">
        <v>60000</v>
      </c>
    </row>
    <row r="17">
      <c r="A17" s="43" t="inlineStr">
        <is>
          <t>Cotă (0.16 / 0.01 / 0.03 etc.)</t>
        </is>
      </c>
      <c r="B17" s="64" t="n">
        <v>0.16</v>
      </c>
    </row>
    <row r="18">
      <c r="A18" s="43" t="inlineStr">
        <is>
          <t>Impozit calculat</t>
        </is>
      </c>
      <c r="B18" s="43">
        <f>B16*B17</f>
        <v>9600</v>
      </c>
    </row>
    <row r="19">
      <c r="A19" s="43" t="inlineStr">
        <is>
          <t>Cont cheltuială impozit (691 / 697 / 4417)</t>
        </is>
      </c>
      <c r="B19" s="64" t="inlineStr">
        <is>
          <t>691</t>
        </is>
      </c>
    </row>
    <row r="20">
      <c r="A20" s="43" t="inlineStr">
        <is>
          <t>Cont datorie impozit (441 / 4417)</t>
        </is>
      </c>
      <c r="B20" s="64" t="inlineStr">
        <is>
          <t>441</t>
        </is>
      </c>
    </row>
    <row r="22">
      <c r="A22" s="42" t="inlineStr">
        <is>
          <t>4. Repartizare rezultat</t>
        </is>
      </c>
    </row>
    <row r="23">
      <c r="A23" s="43" t="inlineStr">
        <is>
          <t>Rezultat înainte de impozit (7−6)</t>
        </is>
      </c>
      <c r="B23" s="43">
        <f>B12-B11</f>
        <v>60000</v>
      </c>
    </row>
    <row r="24">
      <c r="A24" s="43" t="inlineStr">
        <is>
          <t>Rezultat net (după impozit)</t>
        </is>
      </c>
      <c r="B24" s="43">
        <f>B23-B18</f>
        <v>50400</v>
      </c>
    </row>
    <row r="25">
      <c r="A25" s="43" t="inlineStr">
        <is>
          <t>Repartizare la rezerve / dividende etc. (opțional)</t>
        </is>
      </c>
      <c r="B25" s="64" t="n">
        <v>0</v>
      </c>
    </row>
    <row r="26">
      <c r="A26" s="43" t="inlineStr">
        <is>
          <t>Reportat pe 117 (sold final 121/129)</t>
        </is>
      </c>
      <c r="B26" s="43">
        <f>B24-B25</f>
        <v>50400</v>
      </c>
    </row>
    <row r="28">
      <c r="A28" s="42" t="inlineStr">
        <is>
          <t>5. Politică conturi rezultat</t>
        </is>
      </c>
    </row>
    <row r="29">
      <c r="A29" s="43" t="inlineStr">
        <is>
          <t>Cont profit și pierdere</t>
        </is>
      </c>
      <c r="B29" s="64" t="inlineStr">
        <is>
          <t>121</t>
        </is>
      </c>
    </row>
    <row r="30">
      <c r="A30" s="43" t="inlineStr">
        <is>
          <t>Cont repartizare profit</t>
        </is>
      </c>
      <c r="B30" s="64" t="inlineStr">
        <is>
          <t>129</t>
        </is>
      </c>
    </row>
    <row r="31">
      <c r="A31" s="43" t="inlineStr">
        <is>
          <t>Cont rezultat reportat</t>
        </is>
      </c>
      <c r="B31" s="64" t="inlineStr">
        <is>
          <t>117</t>
        </is>
      </c>
    </row>
    <row r="33">
      <c r="A33" s="42" t="inlineStr">
        <is>
          <t>6. Sufix</t>
        </is>
      </c>
    </row>
    <row r="34">
      <c r="A34" s="43" t="inlineStr">
        <is>
          <t>Sufix</t>
        </is>
      </c>
      <c r="B34" s="43" t="str">
        <f>"— închidere exercițiu " &amp; B7</f>
        <v>— închidere exercițiu 2026</v>
      </c>
    </row>
    <row r="36">
      <c r="A36" s="42" t="inlineStr">
        <is>
          <t>7. Control</t>
        </is>
      </c>
    </row>
    <row r="37">
      <c r="A37" s="43" t="inlineStr">
        <is>
          <t>Modul activ?</t>
        </is>
      </c>
      <c r="B37" s="43" t="str">
        <f>IF(INDEX(CatalogModule!$A$1:$A$200,MATCH("MOD_INCHIDERE_EX",CatalogModule!$B$1:$B$200,0))="DA","ACTIV","INACTIV")</f>
        <v>INACTIV</v>
      </c>
    </row>
    <row r="38">
      <c r="A38" s="43" t="inlineStr">
        <is>
          <t>Notă</t>
        </is>
      </c>
      <c r="B38" s="43" t="inlineStr">
        <is>
          <t>În practică se închid conturile de cheltuieli/venituri pe analitice (sau pe grupe). Aici se lucrează pe totaluri — un singur rând pe clasă.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30" customWidth="1" style="40" min="2" max="2"/>
    <col width="16" customWidth="1" style="40" min="3" max="3"/>
    <col width="18" customWidth="1" style="40" min="4" max="4"/>
    <col width="20" customWidth="1" style="40" min="5" max="5"/>
    <col width="48" customWidth="1" style="40" min="6" max="6"/>
  </cols>
  <sheetData>
    <row r="1">
      <c r="A1" s="41" t="inlineStr">
        <is>
          <t>MOD_INCHIDERE_EX — Reguli (tabele fixe)</t>
        </is>
      </c>
    </row>
    <row r="2">
      <c r="A2" s="44" t="inlineStr">
        <is>
          <t>Secvența de închidere e standard OMFP 1802. Detalierea pe conturi analitice se face în SAGA; modulul lucrează pe totaluri de clasă pentru generarea notei de principiu.</t>
        </is>
      </c>
    </row>
    <row r="4">
      <c r="A4" s="42" t="inlineStr">
        <is>
          <t>Tabel A — Secvența de închidere</t>
        </is>
      </c>
    </row>
    <row r="5">
      <c r="A5" s="65" t="inlineStr">
        <is>
          <t>Pas</t>
        </is>
      </c>
      <c r="B5" s="65" t="inlineStr">
        <is>
          <t>Bloc</t>
        </is>
      </c>
      <c r="C5" s="65" t="inlineStr">
        <is>
          <t>Cont Dr</t>
        </is>
      </c>
      <c r="D5" s="65" t="inlineStr">
        <is>
          <t>Cont Cr</t>
        </is>
      </c>
      <c r="E5" s="65" t="inlineStr">
        <is>
          <t>Sumă</t>
        </is>
      </c>
      <c r="F5" s="65" t="inlineStr">
        <is>
          <t>Observație</t>
        </is>
      </c>
    </row>
    <row r="6">
      <c r="A6" s="43" t="n">
        <v>1</v>
      </c>
      <c r="B6" s="43" t="inlineStr">
        <is>
          <t>B1 Închidere cheltuieli</t>
        </is>
      </c>
      <c r="C6" s="43" t="inlineStr">
        <is>
          <t>121</t>
        </is>
      </c>
      <c r="D6" s="43" t="inlineStr">
        <is>
          <t>6xx (total)</t>
        </is>
      </c>
      <c r="E6" s="43" t="inlineStr">
        <is>
          <t>Rulaj D cls.6</t>
        </is>
      </c>
      <c r="F6" s="43" t="inlineStr">
        <is>
          <t>Neutralizare rezultat — cheltuieli</t>
        </is>
      </c>
    </row>
    <row r="7">
      <c r="A7" s="43" t="n">
        <v>2</v>
      </c>
      <c r="B7" s="43" t="inlineStr">
        <is>
          <t>B2 Închidere venituri</t>
        </is>
      </c>
      <c r="C7" s="43" t="inlineStr">
        <is>
          <t>7xx (total)</t>
        </is>
      </c>
      <c r="D7" s="43" t="inlineStr">
        <is>
          <t>121</t>
        </is>
      </c>
      <c r="E7" s="43" t="inlineStr">
        <is>
          <t>Rulaj C cls.7</t>
        </is>
      </c>
      <c r="F7" s="43" t="inlineStr">
        <is>
          <t>Neutralizare rezultat — venituri</t>
        </is>
      </c>
    </row>
    <row r="8">
      <c r="A8" s="43" t="n">
        <v>3</v>
      </c>
      <c r="B8" s="43" t="inlineStr">
        <is>
          <t>B3 Impozit</t>
        </is>
      </c>
      <c r="C8" s="43" t="inlineStr">
        <is>
          <t>691/697</t>
        </is>
      </c>
      <c r="D8" s="43" t="inlineStr">
        <is>
          <t>441/4417</t>
        </is>
      </c>
      <c r="E8" s="43" t="inlineStr">
        <is>
          <t>Impozit calculat</t>
        </is>
      </c>
      <c r="F8" s="43" t="inlineStr">
        <is>
          <t>Cheltuială cu impozitul → datorie</t>
        </is>
      </c>
    </row>
    <row r="9">
      <c r="A9" s="43" t="n">
        <v>4</v>
      </c>
      <c r="B9" s="43" t="inlineStr">
        <is>
          <t>B3b Închidere 691</t>
        </is>
      </c>
      <c r="C9" s="43" t="inlineStr">
        <is>
          <t>121</t>
        </is>
      </c>
      <c r="D9" s="43" t="inlineStr">
        <is>
          <t>691</t>
        </is>
      </c>
      <c r="E9" s="43" t="inlineStr">
        <is>
          <t>Impozit</t>
        </is>
      </c>
      <c r="F9" s="43" t="inlineStr">
        <is>
          <t>Impozitul intră în rezultatul net</t>
        </is>
      </c>
    </row>
    <row r="10">
      <c r="A10" s="43" t="n">
        <v>5</v>
      </c>
      <c r="B10" s="43" t="inlineStr">
        <is>
          <t>B4 Repartizare (opțional)</t>
        </is>
      </c>
      <c r="C10" s="43" t="inlineStr">
        <is>
          <t>129</t>
        </is>
      </c>
      <c r="D10" s="43" t="inlineStr">
        <is>
          <t>106/457…</t>
        </is>
      </c>
      <c r="E10" s="43" t="inlineStr">
        <is>
          <t>Sumă repartizată</t>
        </is>
      </c>
      <c r="F10" s="43" t="inlineStr">
        <is>
          <t>Doar dacă AGA / decizie există</t>
        </is>
      </c>
    </row>
    <row r="11">
      <c r="A11" s="43" t="n">
        <v>6</v>
      </c>
      <c r="B11" s="43" t="inlineStr">
        <is>
          <t>B5 Report</t>
        </is>
      </c>
      <c r="C11" s="43" t="inlineStr">
        <is>
          <t>121</t>
        </is>
      </c>
      <c r="D11" s="43" t="inlineStr">
        <is>
          <t>117</t>
        </is>
      </c>
      <c r="E11" s="43" t="inlineStr">
        <is>
          <t>Sold final 121</t>
        </is>
      </c>
      <c r="F11" s="43" t="inlineStr">
        <is>
          <t>Dacă profit; invers dacă pierdere</t>
        </is>
      </c>
    </row>
    <row r="13">
      <c r="A13" s="42" t="inlineStr">
        <is>
          <t>Tabel B — Conturi din plan pe rol</t>
        </is>
      </c>
    </row>
    <row r="14">
      <c r="A14" s="65" t="inlineStr">
        <is>
          <t>Cont</t>
        </is>
      </c>
      <c r="B14" s="65" t="inlineStr">
        <is>
          <t>Denumire</t>
        </is>
      </c>
      <c r="C14" s="65" t="inlineStr">
        <is>
          <t>Rol</t>
        </is>
      </c>
      <c r="D14" s="65" t="inlineStr">
        <is>
          <t>Observație</t>
        </is>
      </c>
    </row>
    <row r="15">
      <c r="A15" s="43" t="inlineStr">
        <is>
          <t>121</t>
        </is>
      </c>
      <c r="B15" s="43" t="inlineStr">
        <is>
          <t>Profit sau pierdere</t>
        </is>
      </c>
      <c r="C15" s="43" t="inlineStr">
        <is>
          <t>Colectare rezultat</t>
        </is>
      </c>
      <c r="D15" s="43" t="inlineStr">
        <is>
          <t>Se închide anual; fără sold după report pe 117</t>
        </is>
      </c>
    </row>
    <row r="16">
      <c r="A16" s="43" t="inlineStr">
        <is>
          <t>129</t>
        </is>
      </c>
      <c r="B16" s="43" t="inlineStr">
        <is>
          <t>Repartizarea profitului</t>
        </is>
      </c>
      <c r="C16" s="43" t="inlineStr">
        <is>
          <t>Colectare / tranzit</t>
        </is>
      </c>
      <c r="D16" s="43" t="inlineStr">
        <is>
          <t>Se folosește doar la repartizare formală</t>
        </is>
      </c>
    </row>
    <row r="17">
      <c r="A17" s="43" t="inlineStr">
        <is>
          <t>117</t>
        </is>
      </c>
      <c r="B17" s="43" t="inlineStr">
        <is>
          <t>Rezultatul reportat</t>
        </is>
      </c>
      <c r="C17" s="43" t="inlineStr">
        <is>
          <t>Patrimonial — Capital</t>
        </is>
      </c>
      <c r="D17" s="43" t="inlineStr">
        <is>
          <t>Sold permanent până la acoperire / repartizare</t>
        </is>
      </c>
    </row>
    <row r="18">
      <c r="A18" s="43" t="inlineStr">
        <is>
          <t>691</t>
        </is>
      </c>
      <c r="B18" s="43" t="inlineStr">
        <is>
          <t>Cheltuieli cu impozitul pe profit</t>
        </is>
      </c>
      <c r="C18" s="43" t="inlineStr">
        <is>
          <t>Neutralizare rezultat</t>
        </is>
      </c>
      <c r="D18" s="43" t="inlineStr">
        <is>
          <t>Se închide în 121</t>
        </is>
      </c>
    </row>
    <row r="19">
      <c r="A19" s="43" t="inlineStr">
        <is>
          <t>697</t>
        </is>
      </c>
      <c r="B19" s="43" t="inlineStr">
        <is>
          <t>Cheltuieli cu impozitul pe venit micro</t>
        </is>
      </c>
      <c r="C19" s="43" t="inlineStr">
        <is>
          <t>Neutralizare rezultat</t>
        </is>
      </c>
      <c r="D19" s="43" t="inlineStr">
        <is>
          <t>Alternativă la 691</t>
        </is>
      </c>
    </row>
    <row r="20">
      <c r="A20" s="43" t="inlineStr">
        <is>
          <t>441</t>
        </is>
      </c>
      <c r="B20" s="43" t="inlineStr">
        <is>
          <t>Impozit pe profit</t>
        </is>
      </c>
      <c r="C20" s="43" t="inlineStr">
        <is>
          <t>Patrimonial — Datorie</t>
        </is>
      </c>
      <c r="D20" s="43" t="inlineStr">
        <is>
          <t>Datorie către buget</t>
        </is>
      </c>
    </row>
    <row r="21">
      <c r="A21" s="43" t="inlineStr">
        <is>
          <t>4417</t>
        </is>
      </c>
      <c r="B21" s="43" t="inlineStr">
        <is>
          <t>Impozit pe venit micro / alte impozite</t>
        </is>
      </c>
      <c r="C21" s="43" t="inlineStr">
        <is>
          <t>Patrimonial — Datorie</t>
        </is>
      </c>
      <c r="D21" s="43" t="inlineStr">
        <is>
          <t>Conform OMF actualizat</t>
        </is>
      </c>
    </row>
    <row r="23">
      <c r="A23" s="42" t="inlineStr">
        <is>
          <t>Tabel C — Porți de calitate</t>
        </is>
      </c>
    </row>
    <row r="24">
      <c r="A24" s="44" t="inlineStr">
        <is>
          <t>• ΣDr = ΣCr pe fiecare bloc</t>
        </is>
      </c>
    </row>
    <row r="25">
      <c r="A25" s="44" t="inlineStr">
        <is>
          <t>• După B1+B2: sold 6xx = 0, sold 7xx = 0</t>
        </is>
      </c>
    </row>
    <row r="26">
      <c r="A26" s="44" t="inlineStr">
        <is>
          <t>• Sold 121 înainte de report = rezultat net</t>
        </is>
      </c>
    </row>
    <row r="27">
      <c r="A27" s="44" t="inlineStr">
        <is>
          <t>• După B5: sold 121 = 0, sold 117 reflectă reportul</t>
        </is>
      </c>
    </row>
    <row r="28">
      <c r="A28" s="44" t="inlineStr">
        <is>
          <t>• Modulul nu înlocuiește D101 / declarația de impozit — produce doar nota contabilă</t>
        </is>
      </c>
    </row>
    <row r="30">
      <c r="A30" s="42" t="inlineStr">
        <is>
          <t>Temei legal</t>
        </is>
      </c>
    </row>
    <row r="31">
      <c r="A31" s="65" t="inlineStr">
        <is>
          <t>Ce se sprijină pe el</t>
        </is>
      </c>
      <c r="B31" s="65" t="inlineStr">
        <is>
          <t>Temei</t>
        </is>
      </c>
    </row>
    <row r="32">
      <c r="A32" s="43" t="inlineStr">
        <is>
          <t>Veniturile și cheltuielile se închid prin 121 la sfârșitul exercițiului</t>
        </is>
      </c>
      <c r="B32" s="43" t="inlineStr">
        <is>
          <t>OMFP 1802/2014 — funcțiunea contului 121</t>
        </is>
      </c>
    </row>
    <row r="33">
      <c r="A33" s="43" t="inlineStr">
        <is>
          <t>Cota de impozit pe profit</t>
        </is>
      </c>
      <c r="B33" s="43" t="inlineStr">
        <is>
          <t>art. 17 Cod fiscal</t>
        </is>
      </c>
    </row>
    <row r="34">
      <c r="A34" s="43" t="inlineStr">
        <is>
          <t>Rezultatul rămas se reportează pe 117 până la repartizare sau acoperire</t>
        </is>
      </c>
      <c r="B34" s="43" t="inlineStr">
        <is>
          <t>OMFP 1802/2014 — funcțiunea contului 117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4" customWidth="1" style="40" min="1" max="1"/>
    <col width="16" customWidth="1" style="40" min="2" max="2"/>
    <col width="14" customWidth="1" style="40" min="3" max="3"/>
    <col width="50" customWidth="1" style="40" min="4" max="4"/>
    <col width="16" customWidth="1" style="40" min="5" max="5"/>
    <col width="14" customWidth="1" style="40" min="6" max="6"/>
    <col width="50" customWidth="1" style="40" min="7" max="7"/>
  </cols>
  <sheetData>
    <row r="1">
      <c r="A1" s="41" t="inlineStr">
        <is>
          <t>MOD_INCHIDERE_EX — Jurnale (generate automat)</t>
        </is>
      </c>
    </row>
    <row r="2">
      <c r="A2" s="44" t="inlineStr">
        <is>
          <t>Toate sumele derivă din Declarații. În SAGA se detaliază pe conturi analitice; aici e nota de principiu pe totaluri de clasă.</t>
        </is>
      </c>
    </row>
    <row r="4">
      <c r="A4" s="43" t="inlineStr">
        <is>
          <t>Data jurnal:</t>
        </is>
      </c>
      <c r="B4" s="43" t="str">
        <f>Declarații_INCHIDERE_EX!B8</f>
        <v>2026-12-31</v>
      </c>
    </row>
    <row r="6">
      <c r="A6" s="42" t="inlineStr">
        <is>
          <t>Bloc 1 — Închidere cheltuieli (cls.6 → 121)</t>
        </is>
      </c>
    </row>
    <row r="7">
      <c r="A7" s="65" t="inlineStr">
        <is>
          <t>Nr</t>
        </is>
      </c>
      <c r="B7" s="65" t="inlineStr">
        <is>
          <t>Cont Dr</t>
        </is>
      </c>
      <c r="C7" s="65" t="inlineStr">
        <is>
          <t>Sumă Dr</t>
        </is>
      </c>
      <c r="D7" s="65" t="inlineStr">
        <is>
          <t>Descriere Dr</t>
        </is>
      </c>
      <c r="E7" s="65" t="inlineStr">
        <is>
          <t>Cont Cr</t>
        </is>
      </c>
      <c r="F7" s="65" t="inlineStr">
        <is>
          <t>Sumă Cr</t>
        </is>
      </c>
      <c r="G7" s="65" t="inlineStr">
        <is>
          <t>Descriere Cr</t>
        </is>
      </c>
    </row>
    <row r="8">
      <c r="A8" s="43" t="n">
        <v>1</v>
      </c>
      <c r="B8" s="43" t="str">
        <f>Declarații_INCHIDERE_EX!B29</f>
        <v>121</v>
      </c>
      <c r="C8" s="43">
        <f>Declarații_INCHIDERE_EX!B11</f>
        <v>185000</v>
      </c>
      <c r="D8" s="43" t="str">
        <f>"Închidere cheltuieli cls.6 " &amp; Declarații_INCHIDERE_EX!B34</f>
        <v>Închidere cheltuieli cls.6 — închidere exercițiu 2026</v>
      </c>
      <c r="E8" s="43" t="inlineStr">
        <is>
          <t>6xx</t>
        </is>
      </c>
      <c r="F8" s="43">
        <f>Declarații_INCHIDERE_EX!B11</f>
        <v>185000</v>
      </c>
      <c r="G8" s="43" t="str">
        <f>"Stingere rulaj cheltuieli " &amp; Declarații_INCHIDERE_EX!B34</f>
        <v>Stingere rulaj cheltuieli — închidere exercițiu 2026</v>
      </c>
    </row>
    <row r="9">
      <c r="A9" s="43" t="inlineStr">
        <is>
          <t>Check B1</t>
        </is>
      </c>
      <c r="B9" s="43">
        <f>C8-F8</f>
        <v>0</v>
      </c>
      <c r="C9" s="43" t="str">
        <f>IF(ABS(B9)&lt;0.01,"OK","EROARE")</f>
        <v>OK</v>
      </c>
    </row>
    <row r="11">
      <c r="A11" s="42" t="inlineStr">
        <is>
          <t>Bloc 2 — Închidere venituri (cls.7 → 121)</t>
        </is>
      </c>
    </row>
    <row r="12">
      <c r="A12" s="65" t="inlineStr">
        <is>
          <t>Nr</t>
        </is>
      </c>
      <c r="B12" s="65" t="inlineStr">
        <is>
          <t>Cont Dr</t>
        </is>
      </c>
      <c r="C12" s="65" t="inlineStr">
        <is>
          <t>Sumă Dr</t>
        </is>
      </c>
      <c r="D12" s="65" t="inlineStr">
        <is>
          <t>Descriere Dr</t>
        </is>
      </c>
      <c r="E12" s="65" t="inlineStr">
        <is>
          <t>Cont Cr</t>
        </is>
      </c>
      <c r="F12" s="65" t="inlineStr">
        <is>
          <t>Sumă Cr</t>
        </is>
      </c>
      <c r="G12" s="65" t="inlineStr">
        <is>
          <t>Descriere Cr</t>
        </is>
      </c>
    </row>
    <row r="13">
      <c r="A13" s="43" t="n">
        <v>1</v>
      </c>
      <c r="B13" s="43" t="inlineStr">
        <is>
          <t>7xx</t>
        </is>
      </c>
      <c r="C13" s="43">
        <f>Declarații_INCHIDERE_EX!B12</f>
        <v>245000</v>
      </c>
      <c r="D13" s="43" t="str">
        <f>"Închidere venituri cls.7 " &amp; Declarații_INCHIDERE_EX!B34</f>
        <v>Închidere venituri cls.7 — închidere exercițiu 2026</v>
      </c>
      <c r="E13" s="43" t="str">
        <f>Declarații_INCHIDERE_EX!B29</f>
        <v>121</v>
      </c>
      <c r="F13" s="43">
        <f>Declarații_INCHIDERE_EX!B12</f>
        <v>245000</v>
      </c>
      <c r="G13" s="43" t="str">
        <f>"Stingere rulaj venituri " &amp; Declarații_INCHIDERE_EX!B34</f>
        <v>Stingere rulaj venituri — închidere exercițiu 2026</v>
      </c>
    </row>
    <row r="14">
      <c r="A14" s="43" t="inlineStr">
        <is>
          <t>Check B2</t>
        </is>
      </c>
      <c r="B14" s="43">
        <f>C13-F13</f>
        <v>0</v>
      </c>
      <c r="C14" s="43" t="str">
        <f>IF(ABS(B14)&lt;0.01,"OK","EROARE")</f>
        <v>OK</v>
      </c>
    </row>
    <row r="16">
      <c r="A16" s="42" t="inlineStr">
        <is>
          <t>Bloc 3 — Cheltuială cu impozitul + închiderea ei în 121</t>
        </is>
      </c>
    </row>
    <row r="17">
      <c r="A17" s="65" t="inlineStr">
        <is>
          <t>Nr</t>
        </is>
      </c>
      <c r="B17" s="65" t="inlineStr">
        <is>
          <t>Cont Dr</t>
        </is>
      </c>
      <c r="C17" s="65" t="inlineStr">
        <is>
          <t>Sumă Dr</t>
        </is>
      </c>
      <c r="D17" s="65" t="inlineStr">
        <is>
          <t>Descriere Dr</t>
        </is>
      </c>
      <c r="E17" s="65" t="inlineStr">
        <is>
          <t>Cont Cr</t>
        </is>
      </c>
      <c r="F17" s="65" t="inlineStr">
        <is>
          <t>Sumă Cr</t>
        </is>
      </c>
      <c r="G17" s="65" t="inlineStr">
        <is>
          <t>Descriere Cr</t>
        </is>
      </c>
    </row>
    <row r="18">
      <c r="A18" s="43" t="n">
        <v>1</v>
      </c>
      <c r="B18" s="43" t="str">
        <f>Declarații_INCHIDERE_EX!B19</f>
        <v>691</v>
      </c>
      <c r="C18" s="43">
        <f>Declarații_INCHIDERE_EX!B18</f>
        <v>9600</v>
      </c>
      <c r="D18" s="43" t="str">
        <f>"Cheltuială impozit " &amp; Declarații_INCHIDERE_EX!B34</f>
        <v>Cheltuială impozit — închidere exercițiu 2026</v>
      </c>
      <c r="E18" s="43" t="str">
        <f>Declarații_INCHIDERE_EX!B20</f>
        <v>441</v>
      </c>
      <c r="F18" s="43">
        <f>Declarații_INCHIDERE_EX!B18</f>
        <v>9600</v>
      </c>
      <c r="G18" s="43" t="str">
        <f>"Datorie impozit buget " &amp; Declarații_INCHIDERE_EX!B34</f>
        <v>Datorie impozit buget — închidere exercițiu 2026</v>
      </c>
    </row>
    <row r="19">
      <c r="A19" s="43" t="n">
        <v>2</v>
      </c>
      <c r="B19" s="43" t="str">
        <f>Declarații_INCHIDERE_EX!B29</f>
        <v>121</v>
      </c>
      <c r="C19" s="43">
        <f>Declarații_INCHIDERE_EX!B18</f>
        <v>9600</v>
      </c>
      <c r="D19" s="43" t="str">
        <f>"Închidere cheltuială impozit în rezultat " &amp; Declarații_INCHIDERE_EX!B34</f>
        <v>Închidere cheltuială impozit în rezultat — închidere exercițiu 2026</v>
      </c>
      <c r="E19" s="43" t="str">
        <f>Declarații_INCHIDERE_EX!B19</f>
        <v>691</v>
      </c>
      <c r="F19" s="43">
        <f>Declarații_INCHIDERE_EX!B18</f>
        <v>9600</v>
      </c>
      <c r="G19" s="43" t="str">
        <f>"Stingere 691 " &amp; Declarații_INCHIDERE_EX!B34</f>
        <v>Stingere 691 — închidere exercițiu 2026</v>
      </c>
    </row>
    <row r="20">
      <c r="A20" s="43" t="inlineStr">
        <is>
          <t>Check B3</t>
        </is>
      </c>
      <c r="B20" s="43">
        <f>(C18+C19)-(F18+F19)</f>
        <v>0</v>
      </c>
      <c r="C20" s="43" t="str">
        <f>IF(ABS(B20)&lt;0.01,"OK","EROARE")</f>
        <v>OK</v>
      </c>
    </row>
    <row r="22">
      <c r="A22" s="42" t="inlineStr">
        <is>
          <t>Bloc 4 — Report rezultat net pe 117</t>
        </is>
      </c>
    </row>
    <row r="23">
      <c r="A23" s="65" t="inlineStr">
        <is>
          <t>Nr</t>
        </is>
      </c>
      <c r="B23" s="65" t="inlineStr">
        <is>
          <t>Cont Dr</t>
        </is>
      </c>
      <c r="C23" s="65" t="inlineStr">
        <is>
          <t>Sumă Dr</t>
        </is>
      </c>
      <c r="D23" s="65" t="inlineStr">
        <is>
          <t>Descriere Dr</t>
        </is>
      </c>
      <c r="E23" s="65" t="inlineStr">
        <is>
          <t>Cont Cr</t>
        </is>
      </c>
      <c r="F23" s="65" t="inlineStr">
        <is>
          <t>Sumă Cr</t>
        </is>
      </c>
      <c r="G23" s="65" t="inlineStr">
        <is>
          <t>Descriere Cr</t>
        </is>
      </c>
    </row>
    <row r="24">
      <c r="A24" s="43" t="n">
        <v>1</v>
      </c>
      <c r="B24" s="43" t="str">
        <f>IF(Declarații_INCHIDERE_EX!B26&gt;=0,Declarații_INCHIDERE_EX!B29,Declarații_INCHIDERE_EX!B31)</f>
        <v>121</v>
      </c>
      <c r="C24" s="43">
        <f>ABS(Declarații_INCHIDERE_EX!B26)</f>
        <v>50400</v>
      </c>
      <c r="D24" s="43" t="str">
        <f>IF(Declarații_INCHIDERE_EX!B26&gt;=0,"Report profit pe 117 ","Report pierdere pe 117 ") &amp; Declarații_INCHIDERE_EX!B34</f>
        <v>Report profit pe 117 — închidere exercițiu 2026</v>
      </c>
      <c r="E24" s="43" t="str">
        <f>IF(Declarații_INCHIDERE_EX!B26&gt;=0,Declarații_INCHIDERE_EX!B31,Declarații_INCHIDERE_EX!B29)</f>
        <v>117</v>
      </c>
      <c r="F24" s="43">
        <f>ABS(Declarații_INCHIDERE_EX!B26)</f>
        <v>50400</v>
      </c>
      <c r="G24" s="43" t="str">
        <f>IF(Declarații_INCHIDERE_EX!B26&gt;=0,"Rezultat reportat (profit) ","Rezultat reportat (pierdere) ") &amp; Declarații_INCHIDERE_EX!B34</f>
        <v>Rezultat reportat (profit) — închidere exercițiu 2026</v>
      </c>
    </row>
    <row r="25">
      <c r="A25" s="43" t="inlineStr">
        <is>
          <t>Check B4</t>
        </is>
      </c>
      <c r="B25" s="43">
        <f>C24-F24</f>
        <v>0</v>
      </c>
      <c r="C25" s="43" t="str">
        <f>IF(ABS(B25)&lt;0.01,"OK","EROARE")</f>
        <v>OK</v>
      </c>
    </row>
    <row r="27">
      <c r="A27" s="42" t="inlineStr">
        <is>
          <t>Stare terminală așteptată</t>
        </is>
      </c>
    </row>
    <row r="28">
      <c r="A28" s="44" t="inlineStr">
        <is>
          <t>Sold 6xx=0 | Sold 7xx=0 | Sold 121=0 | Sold 691=0 | 441 = impozit datorat | 117 = rezultat net reportat</t>
        </is>
      </c>
    </row>
    <row r="30">
      <c r="A30" s="43" t="inlineStr">
        <is>
          <t>Check global</t>
        </is>
      </c>
      <c r="B30" s="43">
        <f>ABS(B9)+ABS(B14)+ABS(B20)+ABS(B25)</f>
        <v>0</v>
      </c>
      <c r="C30" s="43" t="str">
        <f>IF(B30&lt;0.01,"OK — toate blocurile se închid","EROARE — cel puțin un bloc dezechilibrat")</f>
        <v>OK — toate blocurile se închid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18" customWidth="1" style="40" min="2" max="2"/>
    <col width="14" customWidth="1" style="40" min="3" max="3"/>
    <col width="12" customWidth="1" style="40" min="4" max="4"/>
    <col width="12" customWidth="1" style="40" min="5" max="5"/>
    <col width="14" customWidth="1" style="40" min="6" max="6"/>
    <col width="50" customWidth="1" style="40" min="7" max="7"/>
    <col width="22" customWidth="1" style="40" min="8" max="8"/>
    <col width="10" customWidth="1" style="40" min="9" max="9"/>
  </cols>
  <sheetData>
    <row r="1">
      <c r="A1" s="41" t="inlineStr">
        <is>
          <t>MOD_INCHIDERE_EX — Notă pentru import</t>
        </is>
      </c>
    </row>
    <row r="2">
      <c r="A2" s="44" t="inlineStr">
        <is>
          <t>Filtrează Include=DA. În SAGA se detaliază 6xx/7xx pe conturi individuale; aceste rânduri sunt nota de principiu.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B1 Cheltuieli</t>
        </is>
      </c>
      <c r="C5" s="43" t="str">
        <f>Declarații_INCHIDERE_EX!B8</f>
        <v>2026-12-31</v>
      </c>
      <c r="D5" s="43" t="str">
        <f>Jurnale_INCHIDERE_EX!B8</f>
        <v>121</v>
      </c>
      <c r="E5" s="43" t="str">
        <f>Jurnale_INCHIDERE_EX!E8</f>
        <v>6xx</v>
      </c>
      <c r="F5" s="43">
        <f>Jurnale_INCHIDERE_EX!C8</f>
        <v>185000</v>
      </c>
      <c r="G5" s="43" t="str">
        <f>Jurnale_INCHIDERE_EX!D8</f>
        <v>Închidere cheltuieli cls.6 — închidere exercițiu 2026</v>
      </c>
      <c r="H5" s="43" t="inlineStr">
        <is>
          <t>Închidere exercițiu</t>
        </is>
      </c>
      <c r="I5" s="43" t="str">
        <f>IF(F5&gt;0,"DA","NU")</f>
        <v>DA</v>
      </c>
    </row>
    <row r="6">
      <c r="A6" s="43" t="n">
        <v>2</v>
      </c>
      <c r="B6" s="43" t="inlineStr">
        <is>
          <t>B2 Venituri</t>
        </is>
      </c>
      <c r="C6" s="43" t="str">
        <f>Declarații_INCHIDERE_EX!B8</f>
        <v>2026-12-31</v>
      </c>
      <c r="D6" s="43" t="str">
        <f>Jurnale_INCHIDERE_EX!B13</f>
        <v>7xx</v>
      </c>
      <c r="E6" s="43" t="str">
        <f>Jurnale_INCHIDERE_EX!E13</f>
        <v>121</v>
      </c>
      <c r="F6" s="43">
        <f>Jurnale_INCHIDERE_EX!C13</f>
        <v>245000</v>
      </c>
      <c r="G6" s="43" t="str">
        <f>Jurnale_INCHIDERE_EX!D13</f>
        <v>Închidere venituri cls.7 — închidere exercițiu 2026</v>
      </c>
      <c r="H6" s="43" t="inlineStr">
        <is>
          <t>Închidere exercițiu</t>
        </is>
      </c>
      <c r="I6" s="43" t="str">
        <f>IF(F6&gt;0,"DA","NU")</f>
        <v>DA</v>
      </c>
    </row>
    <row r="7">
      <c r="A7" s="43" t="n">
        <v>3</v>
      </c>
      <c r="B7" s="43" t="inlineStr">
        <is>
          <t>B3 Impozit</t>
        </is>
      </c>
      <c r="C7" s="43" t="str">
        <f>Declarații_INCHIDERE_EX!B8</f>
        <v>2026-12-31</v>
      </c>
      <c r="D7" s="43" t="str">
        <f>Jurnale_INCHIDERE_EX!B18</f>
        <v>691</v>
      </c>
      <c r="E7" s="43" t="str">
        <f>Jurnale_INCHIDERE_EX!E18</f>
        <v>441</v>
      </c>
      <c r="F7" s="43">
        <f>Jurnale_INCHIDERE_EX!C18</f>
        <v>9600</v>
      </c>
      <c r="G7" s="43" t="str">
        <f>Jurnale_INCHIDERE_EX!D18</f>
        <v>Cheltuială impozit — închidere exercițiu 2026</v>
      </c>
      <c r="H7" s="43" t="inlineStr">
        <is>
          <t>Închidere exercițiu</t>
        </is>
      </c>
      <c r="I7" s="43" t="str">
        <f>IF(F7&gt;0,"DA","NU")</f>
        <v>DA</v>
      </c>
    </row>
    <row r="8">
      <c r="A8" s="43" t="n">
        <v>4</v>
      </c>
      <c r="B8" s="43" t="inlineStr">
        <is>
          <t>B3 Înch.691</t>
        </is>
      </c>
      <c r="C8" s="43" t="str">
        <f>Declarații_INCHIDERE_EX!B8</f>
        <v>2026-12-31</v>
      </c>
      <c r="D8" s="43" t="str">
        <f>Jurnale_INCHIDERE_EX!B19</f>
        <v>121</v>
      </c>
      <c r="E8" s="43" t="str">
        <f>Jurnale_INCHIDERE_EX!E19</f>
        <v>691</v>
      </c>
      <c r="F8" s="43">
        <f>Jurnale_INCHIDERE_EX!C19</f>
        <v>9600</v>
      </c>
      <c r="G8" s="43" t="str">
        <f>Jurnale_INCHIDERE_EX!D19</f>
        <v>Închidere cheltuială impozit în rezultat — închidere exercițiu 2026</v>
      </c>
      <c r="H8" s="43" t="inlineStr">
        <is>
          <t>Închidere exercițiu</t>
        </is>
      </c>
      <c r="I8" s="43" t="str">
        <f>IF(F8&gt;0,"DA","NU")</f>
        <v>DA</v>
      </c>
    </row>
    <row r="9">
      <c r="A9" s="43" t="n">
        <v>5</v>
      </c>
      <c r="B9" s="43" t="inlineStr">
        <is>
          <t>B4 Report 117</t>
        </is>
      </c>
      <c r="C9" s="43" t="str">
        <f>Declarații_INCHIDERE_EX!B8</f>
        <v>2026-12-31</v>
      </c>
      <c r="D9" s="43" t="str">
        <f>Jurnale_INCHIDERE_EX!B24</f>
        <v>121</v>
      </c>
      <c r="E9" s="43" t="str">
        <f>Jurnale_INCHIDERE_EX!E24</f>
        <v>117</v>
      </c>
      <c r="F9" s="43">
        <f>Jurnale_INCHIDERE_EX!C24</f>
        <v>50400</v>
      </c>
      <c r="G9" s="43" t="str">
        <f>Jurnale_INCHIDERE_EX!D24</f>
        <v>Report profit pe 117 — închidere exercițiu 2026</v>
      </c>
      <c r="H9" s="43" t="inlineStr">
        <is>
          <t>Închidere exercițiu</t>
        </is>
      </c>
      <c r="I9" s="43" t="str">
        <f>IF(F9&gt;0,"DA","NU")</f>
        <v>DA</v>
      </c>
    </row>
    <row r="11">
      <c r="A11" s="43" t="inlineStr">
        <is>
          <t>Rânduri de importat</t>
        </is>
      </c>
      <c r="B11" s="43">
        <f>COUNTIF(I5:I9,"DA")</f>
        <v>5</v>
      </c>
    </row>
    <row r="12">
      <c r="A12" s="43" t="inlineStr">
        <is>
          <t>Check global</t>
        </is>
      </c>
      <c r="B12" s="43">
        <f>Jurnale_INCHIDERE_EX!B30</f>
        <v>0</v>
      </c>
      <c r="C12" s="43" t="str">
        <f>IF(ABS(B12)&lt;0.01,"OK","EROARE")</f>
        <v>OK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6" customWidth="1" style="40" min="1" max="1"/>
    <col width="20" customWidth="1" style="40" min="2" max="2"/>
    <col width="64" customWidth="1" style="40" min="3" max="3"/>
  </cols>
  <sheetData>
    <row r="1">
      <c r="A1" s="41" t="inlineStr">
        <is>
          <t>MOD_PROVIZION — Declarații (input)</t>
        </is>
      </c>
    </row>
    <row r="2">
      <c r="A2" s="44" t="inlineStr">
        <is>
          <t>Tipul provizionului comandă contul ȘI deductibilitatea. Valorile implicite reproduc monografia din F-106 (litigiu, 8.000 lei).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Obiectul provizionului</t>
        </is>
      </c>
      <c r="B6" s="64" t="inlineStr">
        <is>
          <t>Litigiu comercial cu clientul X</t>
        </is>
      </c>
    </row>
    <row r="7">
      <c r="A7" s="43" t="inlineStr">
        <is>
          <t>Data constituirii</t>
        </is>
      </c>
      <c r="B7" s="64" t="inlineStr">
        <is>
          <t>2026-12-31</t>
        </is>
      </c>
      <c r="C7" s="44" t="inlineStr">
        <is>
          <t>Exercițiul în care s-a NĂSCUT obligația, nu cel în care se plătește</t>
        </is>
      </c>
    </row>
    <row r="8">
      <c r="A8" s="43" t="inlineStr">
        <is>
          <t>Data reluării</t>
        </is>
      </c>
      <c r="B8" s="64" t="inlineStr">
        <is>
          <t>2027-04-30</t>
        </is>
      </c>
    </row>
    <row r="10">
      <c r="A10" s="42" t="inlineStr">
        <is>
          <t>2. Provizionul</t>
        </is>
      </c>
    </row>
    <row r="11">
      <c r="A11" s="43" t="inlineStr">
        <is>
          <t>Tip (LITIGII / GARANTII / RESTRUCTURARE / IMPOZITE / TERMINARE / ALTE)</t>
        </is>
      </c>
      <c r="B11" s="64" t="inlineStr">
        <is>
          <t>LITIGII</t>
        </is>
      </c>
    </row>
    <row r="12">
      <c r="A12" s="43" t="inlineStr">
        <is>
          <t>Sumă estimată</t>
        </is>
      </c>
      <c r="B12" s="64" t="n">
        <v>8000</v>
      </c>
      <c r="C12" s="44" t="inlineStr">
        <is>
          <t>Estimare credibilă la data bilanțului; se revizuiește la fiecare bilanț</t>
        </is>
      </c>
    </row>
    <row r="14">
      <c r="A14" s="42" t="inlineStr">
        <is>
          <t>3. Cheltuiala efectivă (anul următor)</t>
        </is>
      </c>
    </row>
    <row r="15">
      <c r="A15" s="43" t="inlineStr">
        <is>
          <t>Sumă facturată efectiv</t>
        </is>
      </c>
      <c r="B15" s="64" t="n">
        <v>8000</v>
      </c>
    </row>
    <row r="16">
      <c r="A16" s="43" t="inlineStr">
        <is>
          <t>TVA pe factură</t>
        </is>
      </c>
      <c r="B16" s="43">
        <f>ROUND(B15*Parametri!B10,2)</f>
        <v>1680</v>
      </c>
    </row>
    <row r="18">
      <c r="A18" s="42" t="inlineStr">
        <is>
          <t>4. Calcul automat (nu edita)</t>
        </is>
      </c>
    </row>
    <row r="19">
      <c r="A19" s="43" t="inlineStr">
        <is>
          <t>Cont provizion</t>
        </is>
      </c>
      <c r="B19" s="43" t="str">
        <f>IFERROR(VLOOKUP(B11,Reguli_PROVIZION!$A$6:$E$11,3,FALSE),"?")</f>
        <v>1511</v>
      </c>
    </row>
    <row r="20">
      <c r="A20" s="43" t="inlineStr">
        <is>
          <t>Deductibil fiscal?</t>
        </is>
      </c>
      <c r="B20" s="43" t="str">
        <f>IFERROR(VLOOKUP(B11,Reguli_PROVIZION!$A$6:$E$11,4,FALSE),"?")</f>
        <v>NU</v>
      </c>
    </row>
    <row r="21">
      <c r="A21" s="43" t="inlineStr">
        <is>
          <t>Temei</t>
        </is>
      </c>
      <c r="B21" s="43" t="str">
        <f>IFERROR(VLOOKUP(B11,Reguli_PROVIZION!$A$6:$E$11,5,FALSE),"tip necunoscut")</f>
        <v>art. 26 CF nu îl enumeră printre cele deductibile</v>
      </c>
    </row>
    <row r="22">
      <c r="A22" s="43" t="inlineStr">
        <is>
          <t>Efect fiscal la constituire</t>
        </is>
      </c>
      <c r="B22" s="43">
        <f>IF(B20="DA",0,ROUND(B12*param_cota_impozit_profit,2))</f>
        <v>1280</v>
      </c>
      <c r="C22" s="44" t="inlineStr">
        <is>
          <t>Impozit suplimentar de plătit dacă provizionul e nedeductibil</t>
        </is>
      </c>
    </row>
    <row r="24">
      <c r="A24" s="42" t="inlineStr">
        <is>
          <t>5. Conturi</t>
        </is>
      </c>
    </row>
    <row r="25">
      <c r="A25" s="43" t="inlineStr">
        <is>
          <t>Cont cheltuială cu provizioane</t>
        </is>
      </c>
      <c r="B25" s="64" t="n">
        <v>6812</v>
      </c>
    </row>
    <row r="26">
      <c r="A26" s="43" t="inlineStr">
        <is>
          <t>Cont venit din reluarea provizioanelor</t>
        </is>
      </c>
      <c r="B26" s="64" t="n">
        <v>7812</v>
      </c>
    </row>
    <row r="27">
      <c r="A27" s="43" t="inlineStr">
        <is>
          <t>Cont cheltuială efectivă</t>
        </is>
      </c>
      <c r="B27" s="64" t="n">
        <v>628</v>
      </c>
      <c r="C27" s="44" t="inlineStr">
        <is>
          <t>Contul real al cheltuielii — NU contul de provizion</t>
        </is>
      </c>
    </row>
    <row r="28">
      <c r="A28" s="43" t="inlineStr">
        <is>
          <t>Cont TVA deductibilă</t>
        </is>
      </c>
      <c r="B28" s="64" t="n">
        <v>4426</v>
      </c>
    </row>
    <row r="29">
      <c r="A29" s="43" t="inlineStr">
        <is>
          <t>Cont furnizor</t>
        </is>
      </c>
      <c r="B29" s="64" t="inlineStr">
        <is>
          <t>401</t>
        </is>
      </c>
    </row>
    <row r="31">
      <c r="A31" s="42" t="inlineStr">
        <is>
          <t>6. Controale</t>
        </is>
      </c>
    </row>
    <row r="32">
      <c r="A32" s="43" t="inlineStr">
        <is>
          <t>Check tip recunoscut</t>
        </is>
      </c>
      <c r="B32" s="43" t="str">
        <f>B19</f>
        <v>1511</v>
      </c>
      <c r="C32" s="43" t="str">
        <f>IF(B19="?","EROARE — tip de provizion necunoscut","OK — cont " &amp; B19)</f>
        <v>OK — cont 1511</v>
      </c>
    </row>
    <row r="33">
      <c r="A33" s="43" t="inlineStr">
        <is>
          <t>Check deductibilitate</t>
        </is>
      </c>
      <c r="B33" s="43">
        <f>B22</f>
        <v>1280</v>
      </c>
      <c r="C33" s="43" t="str">
        <f>IF(B20="DA","OK — deductibil: " &amp; B21,"NEDEDUCTIBIL (" &amp; B21 &amp; "). Impozit suplimentar: " &amp; TEXT(B22,"0.00") &amp; " lei")</f>
        <v>NEDEDUCTIBIL (art. 26 CF nu îl enumeră printre cele deductibile). Impozit suplimentar: 1280.00 lei</v>
      </c>
    </row>
    <row r="34">
      <c r="A34" s="43" t="inlineStr">
        <is>
          <t>Reminder: NU e optimizare fiscală</t>
        </is>
      </c>
      <c r="B34" s="43" t="str">
        <f>"regulă"</f>
        <v>regulă</v>
      </c>
      <c r="C34" s="43" t="str">
        <f>IF(B20="DA","Deductibil — dar tot nu e optimizare: doar mută cheltuiala în exercițiul corect.","Nedeductibil la constituire, iar reluarea e venit neimpozabil. Efect fiscal net pe doi ani: zero. Nu-l vinde clientului ca optimizare.")</f>
        <v>Nedeductibil la constituire, iar reluarea e venit neimpozabil. Efect fiscal net pe doi ani: zero. Nu-l vinde clientului ca optimizare.</v>
      </c>
    </row>
    <row r="35">
      <c r="A35" s="43" t="inlineStr">
        <is>
          <t>Reminder: factura NU atinge contul de provizion</t>
        </is>
      </c>
      <c r="B35" s="43">
        <f>B15</f>
        <v>8000</v>
      </c>
      <c r="C35" s="43" t="str">
        <f>"Blocul 2 înregistrează factura pe contul REAL de cheltuială. Provizionul se reia separat, în blocul 3. Cele două nu se compensează."</f>
        <v>Blocul 2 înregistrează factura pe contul REAL de cheltuială. Provizionul se reia separat, în blocul 3. Cele două nu se compensează.</v>
      </c>
    </row>
    <row r="36">
      <c r="A36" s="43" t="inlineStr">
        <is>
          <t>Check estimare vs. realizat</t>
        </is>
      </c>
      <c r="B36" s="43">
        <f>B15-B12</f>
        <v>0</v>
      </c>
      <c r="C36" s="43" t="str">
        <f>IF(ABS(B36)&lt;0.01,"OK — estimarea s-a confirmat",IF(B36&gt;0,"Cheltuiala a depășit provizionul cu " &amp; TEXT(B36,"0.00") &amp; " lei — diferența rămâne cheltuială a anului curent","Provizionul a fost supraestimat cu " &amp; TEXT(-B36,"0.00") &amp; " lei — reluarea rămâne la valoarea constituită"))</f>
        <v>OK — estimarea s-a confirmat</v>
      </c>
    </row>
    <row r="38">
      <c r="A38" s="42" t="inlineStr">
        <is>
          <t>7. Sufix generat</t>
        </is>
      </c>
    </row>
    <row r="39">
      <c r="A39" s="43" t="inlineStr">
        <is>
          <t>Sufix</t>
        </is>
      </c>
      <c r="B39" s="43" t="str">
        <f>" - " &amp; B6</f>
        <v> - Litigiu comercial cu clientul X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6" customWidth="1" style="40" min="1" max="1"/>
    <col width="44" customWidth="1" style="40" min="2" max="2"/>
    <col width="12" customWidth="1" style="40" min="3" max="3"/>
    <col width="14" customWidth="1" style="40" min="4" max="4"/>
    <col width="56" customWidth="1" style="40" min="5" max="5"/>
    <col width="44" customWidth="1" style="40" min="6" max="6"/>
  </cols>
  <sheetData>
    <row r="1">
      <c r="A1" s="41" t="inlineStr">
        <is>
          <t>MOD_PROVIZION — Reguli (tabele fixe)</t>
        </is>
      </c>
    </row>
    <row r="2">
      <c r="A2" s="44" t="inlineStr">
        <is>
          <t>Tabelul A e citit de formulele din Declarații. Se editează doar când se schimbă art. 26 din Codul fiscal.</t>
        </is>
      </c>
    </row>
    <row r="4">
      <c r="A4" s="42" t="inlineStr">
        <is>
          <t>Tabel A — Tipuri de provizion, cont și deductibilitate</t>
        </is>
      </c>
    </row>
    <row r="5">
      <c r="A5" s="65" t="inlineStr">
        <is>
          <t>Cod</t>
        </is>
      </c>
      <c r="B5" s="65" t="inlineStr">
        <is>
          <t>Denumire</t>
        </is>
      </c>
      <c r="C5" s="65" t="inlineStr">
        <is>
          <t>Cont</t>
        </is>
      </c>
      <c r="D5" s="65" t="inlineStr">
        <is>
          <t>Deductibil</t>
        </is>
      </c>
      <c r="E5" s="65" t="inlineStr">
        <is>
          <t>Temei</t>
        </is>
      </c>
    </row>
    <row r="6">
      <c r="A6" s="43" t="inlineStr">
        <is>
          <t>LITIGII</t>
        </is>
      </c>
      <c r="B6" s="43" t="inlineStr">
        <is>
          <t>Provizioane pentru litigii</t>
        </is>
      </c>
      <c r="C6" s="43" t="inlineStr">
        <is>
          <t>1511</t>
        </is>
      </c>
      <c r="D6" s="43" t="inlineStr">
        <is>
          <t>NU</t>
        </is>
      </c>
      <c r="E6" s="43" t="inlineStr">
        <is>
          <t>art. 26 CF nu îl enumeră printre cele deductibile</t>
        </is>
      </c>
    </row>
    <row r="7">
      <c r="A7" s="43" t="inlineStr">
        <is>
          <t>GARANTII</t>
        </is>
      </c>
      <c r="B7" s="43" t="inlineStr">
        <is>
          <t>Provizioane pentru garanții acordate clienților</t>
        </is>
      </c>
      <c r="C7" s="43" t="inlineStr">
        <is>
          <t>1512</t>
        </is>
      </c>
      <c r="D7" s="43" t="inlineStr">
        <is>
          <t>DA</t>
        </is>
      </c>
      <c r="E7" s="43" t="inlineStr">
        <is>
          <t>art. 26 alin. (1) lit. b) CF — în limita cotei prevăzute în contracte</t>
        </is>
      </c>
    </row>
    <row r="8">
      <c r="A8" s="43" t="inlineStr">
        <is>
          <t>RESTRUCTURARE</t>
        </is>
      </c>
      <c r="B8" s="43" t="inlineStr">
        <is>
          <t>Provizioane pentru restructurare</t>
        </is>
      </c>
      <c r="C8" s="43" t="inlineStr">
        <is>
          <t>1514</t>
        </is>
      </c>
      <c r="D8" s="43" t="inlineStr">
        <is>
          <t>NU</t>
        </is>
      </c>
      <c r="E8" s="43" t="inlineStr">
        <is>
          <t>nu figurează printre cele deductibile</t>
        </is>
      </c>
    </row>
    <row r="9">
      <c r="A9" s="43" t="inlineStr">
        <is>
          <t>IMPOZITE</t>
        </is>
      </c>
      <c r="B9" s="43" t="inlineStr">
        <is>
          <t>Provizioane pentru impozite</t>
        </is>
      </c>
      <c r="C9" s="43" t="inlineStr">
        <is>
          <t>1516</t>
        </is>
      </c>
      <c r="D9" s="43" t="inlineStr">
        <is>
          <t>NU</t>
        </is>
      </c>
      <c r="E9" s="43" t="inlineStr">
        <is>
          <t>nu figurează printre cele deductibile</t>
        </is>
      </c>
    </row>
    <row r="10">
      <c r="A10" s="43" t="inlineStr">
        <is>
          <t>TERMINARE</t>
        </is>
      </c>
      <c r="B10" s="43" t="inlineStr">
        <is>
          <t>Provizioane pentru terminarea contractului de muncă</t>
        </is>
      </c>
      <c r="C10" s="43" t="inlineStr">
        <is>
          <t>1517</t>
        </is>
      </c>
      <c r="D10" s="43" t="inlineStr">
        <is>
          <t>NU</t>
        </is>
      </c>
      <c r="E10" s="43" t="inlineStr">
        <is>
          <t>nu figurează printre cele deductibile</t>
        </is>
      </c>
    </row>
    <row r="11">
      <c r="A11" s="43" t="inlineStr">
        <is>
          <t>ALTE</t>
        </is>
      </c>
      <c r="B11" s="43" t="inlineStr">
        <is>
          <t>Alte provizioane</t>
        </is>
      </c>
      <c r="C11" s="43" t="inlineStr">
        <is>
          <t>1518</t>
        </is>
      </c>
      <c r="D11" s="43" t="inlineStr">
        <is>
          <t>NU</t>
        </is>
      </c>
      <c r="E11" s="43" t="inlineStr">
        <is>
          <t>verifică art. 26 CF pentru cazul concret</t>
        </is>
      </c>
    </row>
    <row r="13">
      <c r="A13" s="42" t="inlineStr">
        <is>
          <t>Tabel B — Condițiile de recunoaștere (toate trei, cumulativ)</t>
        </is>
      </c>
    </row>
    <row r="14">
      <c r="A14" s="65" t="inlineStr">
        <is>
          <t>Condiție</t>
        </is>
      </c>
      <c r="B14" s="65" t="inlineStr">
        <is>
          <t>Ce înseamnă</t>
        </is>
      </c>
      <c r="C14" s="65" t="inlineStr"/>
      <c r="D14" s="65" t="inlineStr"/>
      <c r="E14" s="65" t="inlineStr">
        <is>
          <t>Dacă lipsește</t>
        </is>
      </c>
    </row>
    <row r="15">
      <c r="A15" s="43" t="inlineStr">
        <is>
          <t>Obligație actuală</t>
        </is>
      </c>
      <c r="B15" s="43" t="inlineStr">
        <is>
          <t>din eveniment trecut, la data bilanțului</t>
        </is>
      </c>
      <c r="C15" s="43" t="inlineStr"/>
      <c r="D15" s="43" t="inlineStr"/>
      <c r="E15" s="43" t="inlineStr">
        <is>
          <t>Nu e provizion — e o intenție</t>
        </is>
      </c>
    </row>
    <row r="16">
      <c r="A16" s="43" t="inlineStr">
        <is>
          <t>Ieșire probabilă de resurse</t>
        </is>
      </c>
      <c r="B16" s="43" t="inlineStr">
        <is>
          <t>mai degrabă da decât nu</t>
        </is>
      </c>
      <c r="C16" s="43" t="inlineStr"/>
      <c r="D16" s="43" t="inlineStr"/>
      <c r="E16" s="43" t="inlineStr">
        <is>
          <t>Rămâne datorie contingentă — se prezintă în note, nu se înregistrează</t>
        </is>
      </c>
    </row>
    <row r="17">
      <c r="A17" s="43" t="inlineStr">
        <is>
          <t>Estimare credibilă</t>
        </is>
      </c>
      <c r="B17" s="43" t="inlineStr">
        <is>
          <t>suma se poate evalua rezonabil</t>
        </is>
      </c>
      <c r="C17" s="43" t="inlineStr"/>
      <c r="D17" s="43" t="inlineStr"/>
      <c r="E17" s="43" t="inlineStr">
        <is>
          <t>Se prezintă în note, fără sumă</t>
        </is>
      </c>
    </row>
    <row r="19">
      <c r="A19" s="42" t="inlineStr">
        <is>
          <t>Tabel C — LIMITĂRI DECLARATE ale modulului</t>
        </is>
      </c>
    </row>
    <row r="20">
      <c r="A20" s="65" t="inlineStr">
        <is>
          <t>Ce NU tratează</t>
        </is>
      </c>
      <c r="B20" s="65" t="inlineStr">
        <is>
          <t>De ce</t>
        </is>
      </c>
      <c r="C20" s="65" t="inlineStr">
        <is>
          <t>Ce faci</t>
        </is>
      </c>
      <c r="D20" s="65" t="inlineStr"/>
      <c r="E20" s="65" t="inlineStr">
        <is>
          <t>Efect dacă îl ignori</t>
        </is>
      </c>
    </row>
    <row r="21">
      <c r="A21" s="43" t="inlineStr">
        <is>
          <t>Actualizarea provizioanelor pe termen lung</t>
        </is>
      </c>
      <c r="B21" s="43" t="inlineStr">
        <is>
          <t>Provizioanele scadente peste un an se pot actualiza la valoarea prezentă.</t>
        </is>
      </c>
      <c r="C21" s="43" t="inlineStr">
        <is>
          <t>Dacă politica firmei o cere, actualizează și trece diferența pe 686/786.</t>
        </is>
      </c>
      <c r="D21" s="43" t="inlineStr"/>
      <c r="E21" s="43" t="inlineStr">
        <is>
          <t>Provizionul e supraevaluat față de valoarea prezentă</t>
        </is>
      </c>
    </row>
    <row r="22">
      <c r="A22" s="43" t="inlineStr">
        <is>
          <t>Revizuirea la fiecare bilanț</t>
        </is>
      </c>
      <c r="B22" s="43" t="inlineStr">
        <is>
          <t>Modulul tratează un ciclu constituire → reluare, nu ajustările intermediare.</t>
        </is>
      </c>
      <c r="C22" s="43" t="inlineStr">
        <is>
          <t>La fiecare bilanț, reevaluează și ajustează prin aceleași conturi.</t>
        </is>
      </c>
      <c r="D22" s="43" t="inlineStr"/>
      <c r="E22" s="43" t="inlineStr">
        <is>
          <t>Provizionul rămâne la estimarea inițială, care poate fi depășită</t>
        </is>
      </c>
    </row>
    <row r="23">
      <c r="A23" s="43" t="inlineStr">
        <is>
          <t>Provizioane pentru garanții cu cotă contractuală</t>
        </is>
      </c>
      <c r="B23" s="43" t="inlineStr">
        <is>
          <t>Deductibilitatea lor e limitată la cota din contracte, care variază.</t>
        </is>
      </c>
      <c r="C23" s="43" t="inlineStr">
        <is>
          <t>Verifică art. 26 alin. (1) lit. b) și cota din contractul concret.</t>
        </is>
      </c>
      <c r="D23" s="43" t="inlineStr"/>
      <c r="E23" s="43" t="inlineStr">
        <is>
          <t>Partea peste cotă rămâne nedeductibilă și nesemnalată</t>
        </is>
      </c>
    </row>
    <row r="24">
      <c r="A24" s="43" t="inlineStr">
        <is>
          <t>Utilizarea pentru altă cheltuială decât cea constituită</t>
        </is>
      </c>
      <c r="B24" s="43" t="inlineStr">
        <is>
          <t>Interzisă — provizionul e specific obligației.</t>
        </is>
      </c>
      <c r="C24" s="43" t="inlineStr">
        <is>
          <t>Reia provizionul vechi și constituie unul nou.</t>
        </is>
      </c>
      <c r="D24" s="43" t="inlineStr"/>
      <c r="E24" s="43" t="inlineStr">
        <is>
          <t>Provizionul devine un cont-tampon, exact ce nu trebuie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14" customWidth="1" style="40" min="2" max="2"/>
    <col width="14" customWidth="1" style="40" min="3" max="3"/>
    <col width="48" customWidth="1" style="40" min="4" max="4"/>
    <col width="14" customWidth="1" style="40" min="5" max="5"/>
    <col width="14" customWidth="1" style="40" min="6" max="6"/>
    <col width="48" customWidth="1" style="40" min="7" max="7"/>
  </cols>
  <sheetData>
    <row r="1">
      <c r="A1" s="41" t="inlineStr">
        <is>
          <t>MOD_PROVIZION — Jurnale (generate automat)</t>
        </is>
      </c>
    </row>
    <row r="2">
      <c r="A2" s="44" t="inlineStr">
        <is>
          <t>Blocul 2 e INDEPENDENT de blocurile 1 și 3: factura se înregistrează pe contul real de cheltuială, nu pe contul de provizion.</t>
        </is>
      </c>
    </row>
    <row r="4">
      <c r="A4" s="42" t="inlineStr">
        <is>
          <t>Bloc 1 — Constituirea provizionului (exercițiul N)</t>
        </is>
      </c>
    </row>
    <row r="5">
      <c r="A5" s="43" t="inlineStr">
        <is>
          <t>Data jurnal:</t>
        </is>
      </c>
      <c r="B5" s="43" t="str">
        <f>Declarații_PROVIZION!B7</f>
        <v>2026-12-31</v>
      </c>
    </row>
    <row r="7">
      <c r="A7" s="65" t="inlineStr">
        <is>
          <t>Nr</t>
        </is>
      </c>
      <c r="B7" s="65" t="inlineStr">
        <is>
          <t>Cont Dr</t>
        </is>
      </c>
      <c r="C7" s="65" t="inlineStr">
        <is>
          <t>Sumă Dr</t>
        </is>
      </c>
      <c r="D7" s="65" t="inlineStr">
        <is>
          <t>Descriere Dr</t>
        </is>
      </c>
      <c r="E7" s="65" t="inlineStr">
        <is>
          <t>Cont Cr</t>
        </is>
      </c>
      <c r="F7" s="65" t="inlineStr">
        <is>
          <t>Sumă Cr</t>
        </is>
      </c>
      <c r="G7" s="65" t="inlineStr">
        <is>
          <t>Descriere Cr</t>
        </is>
      </c>
    </row>
    <row r="8">
      <c r="A8" s="43" t="n">
        <v>1</v>
      </c>
      <c r="B8" s="43">
        <f>Declarații_PROVIZION!B25</f>
        <v>6812</v>
      </c>
      <c r="C8" s="43">
        <f>Declarații_PROVIZION!B12</f>
        <v>8000</v>
      </c>
      <c r="D8" s="43" t="str">
        <f>"Constituire provizion" &amp; Declarații_PROVIZION!B39</f>
        <v>Constituire provizion - Litigiu comercial cu clientul X</v>
      </c>
      <c r="E8" s="43" t="str">
        <f>Declarații_PROVIZION!B19</f>
        <v>1511</v>
      </c>
      <c r="F8" s="43">
        <f>Declarații_PROVIZION!B12</f>
        <v>8000</v>
      </c>
      <c r="G8" s="43" t="str">
        <f>"Provizion constituit" &amp; Declarații_PROVIZION!B39</f>
        <v>Provizion constituit - Litigiu comercial cu clientul X</v>
      </c>
    </row>
    <row r="10">
      <c r="A10" s="43" t="inlineStr">
        <is>
          <t>Check Σ (structural)</t>
        </is>
      </c>
      <c r="B10" s="43">
        <f>C8-F8</f>
        <v>0</v>
      </c>
      <c r="C10" s="43" t="str">
        <f>IF(ABS(B10)&lt;0.01,"OK — nota se închide","EROARE")</f>
        <v>OK — nota se închide</v>
      </c>
    </row>
    <row r="11">
      <c r="A11" s="43" t="inlineStr">
        <is>
          <t>Declarativ</t>
        </is>
      </c>
      <c r="B11" s="43" t="str">
        <f>Declarații_PROVIZION!B20</f>
        <v>NU</v>
      </c>
      <c r="C11" s="43" t="str">
        <f>IF(Declarații_PROVIZION!B20="DA","D101 — cheltuială deductibilă","D101 — cheltuială NEDEDUCTIBILĂ, se adaugă la rezultatul fiscal")</f>
        <v>D101 — cheltuială NEDEDUCTIBILĂ, se adaugă la rezultatul fiscal</v>
      </c>
    </row>
    <row r="13">
      <c r="A13" s="42" t="inlineStr">
        <is>
          <t>Bloc 2 — Factura efectivă (exercițiul N+1) — INDEPENDENT</t>
        </is>
      </c>
    </row>
    <row r="14">
      <c r="A14" s="43" t="inlineStr">
        <is>
          <t>Data jurnal:</t>
        </is>
      </c>
      <c r="B14" s="43" t="str">
        <f>Declarații_PROVIZION!B8</f>
        <v>2027-04-30</v>
      </c>
    </row>
    <row r="16">
      <c r="A16" s="65" t="inlineStr">
        <is>
          <t>Nr</t>
        </is>
      </c>
      <c r="B16" s="65" t="inlineStr">
        <is>
          <t>Cont Dr</t>
        </is>
      </c>
      <c r="C16" s="65" t="inlineStr">
        <is>
          <t>Sumă Dr</t>
        </is>
      </c>
      <c r="D16" s="65" t="inlineStr">
        <is>
          <t>Descriere Dr</t>
        </is>
      </c>
      <c r="E16" s="65" t="inlineStr">
        <is>
          <t>Cont Cr</t>
        </is>
      </c>
      <c r="F16" s="65" t="inlineStr">
        <is>
          <t>Sumă Cr</t>
        </is>
      </c>
      <c r="G16" s="65" t="inlineStr">
        <is>
          <t>Descriere Cr</t>
        </is>
      </c>
    </row>
    <row r="17">
      <c r="A17" s="43" t="n">
        <v>1</v>
      </c>
      <c r="B17" s="43">
        <f>Declarații_PROVIZION!B27</f>
        <v>628</v>
      </c>
      <c r="C17" s="43">
        <f>Declarații_PROVIZION!B15</f>
        <v>8000</v>
      </c>
      <c r="D17" s="43" t="str">
        <f>"Cheltuiala efectivă, pe contul ei real" &amp; Declarații_PROVIZION!B39</f>
        <v>Cheltuiala efectivă, pe contul ei real - Litigiu comercial cu clientul X</v>
      </c>
      <c r="E17" s="43" t="str">
        <f>Declarații_PROVIZION!B29</f>
        <v>401</v>
      </c>
      <c r="F17" s="43">
        <f>Declarații_PROVIZION!B15+Declarații_PROVIZION!B16</f>
        <v>9680</v>
      </c>
      <c r="G17" s="43" t="str">
        <f>"Datorie față de furnizor" &amp; Declarații_PROVIZION!B39</f>
        <v>Datorie față de furnizor - Litigiu comercial cu clientul X</v>
      </c>
    </row>
    <row r="18">
      <c r="A18" s="43" t="n">
        <v>2</v>
      </c>
      <c r="B18" s="43">
        <f>Declarații_PROVIZION!B28</f>
        <v>4426</v>
      </c>
      <c r="C18" s="43">
        <f>Declarații_PROVIZION!B16</f>
        <v>1680</v>
      </c>
      <c r="D18" s="43" t="str">
        <f>"TVA deductibilă" &amp; Declarații_PROVIZION!B39</f>
        <v>TVA deductibilă - Litigiu comercial cu clientul X</v>
      </c>
    </row>
    <row r="20">
      <c r="A20" s="43" t="inlineStr">
        <is>
          <t>Check Σ (structural)</t>
        </is>
      </c>
      <c r="B20" s="43">
        <f>SUM(C17:C18)-SUM(F17:F18)</f>
        <v>0</v>
      </c>
      <c r="C20" s="43" t="str">
        <f>IF(ABS(B20)&lt;0.01,"OK — nota se închide","EROARE")</f>
        <v>OK — nota se închide</v>
      </c>
    </row>
    <row r="21">
      <c r="A21" s="43" t="inlineStr">
        <is>
          <t>Check: nu atinge contul de provizion</t>
        </is>
      </c>
      <c r="B21" s="43" t="str">
        <f>Declarații_PROVIZION!B19</f>
        <v>1511</v>
      </c>
      <c r="C21" s="43" t="str">
        <f>"Corect — factura se înregistrează pe contul real de cheltuială. Provizionul se reia separat, în blocul 3."</f>
        <v>Corect — factura se înregistrează pe contul real de cheltuială. Provizionul se reia separat, în blocul 3.</v>
      </c>
    </row>
    <row r="23">
      <c r="A23" s="42" t="inlineStr">
        <is>
          <t>Bloc 3 — Reluarea provizionului (exercițiul N+1)</t>
        </is>
      </c>
    </row>
    <row r="24">
      <c r="A24" s="43" t="inlineStr">
        <is>
          <t>Data jurnal:</t>
        </is>
      </c>
      <c r="B24" s="43" t="str">
        <f>Declarații_PROVIZION!B8</f>
        <v>2027-04-30</v>
      </c>
    </row>
    <row r="26">
      <c r="A26" s="65" t="inlineStr">
        <is>
          <t>Nr</t>
        </is>
      </c>
      <c r="B26" s="65" t="inlineStr">
        <is>
          <t>Cont Dr</t>
        </is>
      </c>
      <c r="C26" s="65" t="inlineStr">
        <is>
          <t>Sumă Dr</t>
        </is>
      </c>
      <c r="D26" s="65" t="inlineStr">
        <is>
          <t>Descriere Dr</t>
        </is>
      </c>
      <c r="E26" s="65" t="inlineStr">
        <is>
          <t>Cont Cr</t>
        </is>
      </c>
      <c r="F26" s="65" t="inlineStr">
        <is>
          <t>Sumă Cr</t>
        </is>
      </c>
      <c r="G26" s="65" t="inlineStr">
        <is>
          <t>Descriere Cr</t>
        </is>
      </c>
    </row>
    <row r="27">
      <c r="A27" s="43" t="n">
        <v>1</v>
      </c>
      <c r="B27" s="43" t="str">
        <f>Declarații_PROVIZION!B19</f>
        <v>1511</v>
      </c>
      <c r="C27" s="43">
        <f>Declarații_PROVIZION!B12</f>
        <v>8000</v>
      </c>
      <c r="D27" s="43" t="str">
        <f>"Reluarea provizionului, obligația s-a stins" &amp; Declarații_PROVIZION!B39</f>
        <v>Reluarea provizionului, obligația s-a stins - Litigiu comercial cu clientul X</v>
      </c>
      <c r="E27" s="43">
        <f>Declarații_PROVIZION!B26</f>
        <v>7812</v>
      </c>
      <c r="F27" s="43">
        <f>Declarații_PROVIZION!B12</f>
        <v>8000</v>
      </c>
      <c r="G27" s="43" t="str">
        <f>"Venit din reluarea provizionului" &amp; Declarații_PROVIZION!B39</f>
        <v>Venit din reluarea provizionului - Litigiu comercial cu clientul X</v>
      </c>
    </row>
    <row r="29">
      <c r="A29" s="43" t="inlineStr">
        <is>
          <t>Check Σ (structural)</t>
        </is>
      </c>
      <c r="B29" s="43">
        <f>C27-F27</f>
        <v>0</v>
      </c>
      <c r="C29" s="43" t="str">
        <f>IF(ABS(B29)&lt;0.01,"OK — nota se închide","EROARE")</f>
        <v>OK — nota se închide</v>
      </c>
    </row>
    <row r="30">
      <c r="A30" s="43" t="inlineStr">
        <is>
          <t>Check sold provizion după reluare</t>
        </is>
      </c>
      <c r="B30" s="43">
        <f>Declarații_PROVIZION!B12-Declarații_PROVIZION!B12</f>
        <v>0</v>
      </c>
      <c r="C30" s="43" t="str">
        <f>IF(ABS(B30)&lt;0.01,"OK — soldul contului de provizion = 0","EROARE")</f>
        <v>OK — soldul contului de provizion = 0</v>
      </c>
    </row>
    <row r="31">
      <c r="A31" s="43" t="inlineStr">
        <is>
          <t>Efect fiscal pe cei doi ani</t>
        </is>
      </c>
      <c r="B31" s="43">
        <f>Declarații_PROVIZION!B22</f>
        <v>1280</v>
      </c>
      <c r="C31" s="43" t="str">
        <f>IF(Declarații_PROVIZION!B20="DA","Deductibil la constituire, impozabil la reluare — efect net zero.","Nedeductibil la constituire, neimpozabil la reluare — efect net zero. Provizionul mută cheltuiala în exercițiul corect, nu reduce impozitul.")</f>
        <v>Nedeductibil la constituire, neimpozabil la reluare — efect net zero. Provizionul mută cheltuiala în exercițiul corect, nu reduce impozitul.</v>
      </c>
    </row>
    <row r="33">
      <c r="A33" s="44" t="inlineStr">
        <is>
          <t>Stare terminală: contul de provizion = 0; efectul net pe rezultatul exercițiului N+1 ≈ 0, pentru că reluarea (venit) compensează cheltuiala reală.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32" customWidth="1" style="40" min="2" max="2"/>
    <col width="12" customWidth="1" style="40" min="3" max="3"/>
    <col width="12" customWidth="1" style="40" min="4" max="4"/>
    <col width="12" customWidth="1" style="40" min="5" max="5"/>
    <col width="14" customWidth="1" style="40" min="6" max="6"/>
    <col width="48" customWidth="1" style="40" min="7" max="7"/>
    <col width="22" customWidth="1" style="40" min="8" max="8"/>
    <col width="9" customWidth="1" style="40" min="9" max="9"/>
  </cols>
  <sheetData>
    <row r="1">
      <c r="A1" s="41" t="inlineStr">
        <is>
          <t>MOD_PROVIZION — Notă pentru import (1 rând = 1 înregistrare)</t>
        </is>
      </c>
    </row>
    <row r="2">
      <c r="A2" s="44" t="inlineStr">
        <is>
          <t>Blocurile 1 și 3 aparțin exercițiilor diferite. Filtrează pe Include = DA și pe dată înainte de import.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Bloc 1 — Constituire</t>
        </is>
      </c>
      <c r="C5" s="43" t="str">
        <f>Declarații_PROVIZION!B7</f>
        <v>2026-12-31</v>
      </c>
      <c r="D5" s="43">
        <f>Jurnale_PROVIZION!B8</f>
        <v>6812</v>
      </c>
      <c r="E5" s="43" t="str">
        <f>Jurnale_PROVIZION!E8</f>
        <v>1511</v>
      </c>
      <c r="F5" s="43">
        <f>MAX(N(Jurnale_PROVIZION!C8),N(Jurnale_PROVIZION!F8))</f>
        <v>8000</v>
      </c>
      <c r="G5" s="43" t="str">
        <f>Jurnale_PROVIZION!D8</f>
        <v>Constituire provizion - Litigiu comercial cu clientul X</v>
      </c>
      <c r="H5" s="43" t="inlineStr">
        <is>
          <t>Hotărâre + estimare</t>
        </is>
      </c>
      <c r="I5" s="43" t="str">
        <f>IF(N(F5)&gt;0.005,"DA","NU")</f>
        <v>DA</v>
      </c>
    </row>
    <row r="6">
      <c r="A6" s="43" t="n">
        <v>2</v>
      </c>
      <c r="B6" s="43" t="inlineStr">
        <is>
          <t>Bloc 2 — Factura efectivă</t>
        </is>
      </c>
      <c r="C6" s="43" t="str">
        <f>Declarații_PROVIZION!B8</f>
        <v>2027-04-30</v>
      </c>
      <c r="D6" s="43">
        <f>Jurnale_PROVIZION!B17</f>
        <v>628</v>
      </c>
      <c r="E6" s="43" t="str">
        <f>Jurnale_PROVIZION!E17</f>
        <v>401</v>
      </c>
      <c r="F6" s="43">
        <f>MAX(N(Jurnale_PROVIZION!C17),N(Jurnale_PROVIZION!F17))</f>
        <v>9680</v>
      </c>
      <c r="G6" s="43" t="str">
        <f>Jurnale_PROVIZION!D17</f>
        <v>Cheltuiala efectivă, pe contul ei real - Litigiu comercial cu clientul X</v>
      </c>
      <c r="H6" s="43" t="inlineStr">
        <is>
          <t>Factură furnizor</t>
        </is>
      </c>
      <c r="I6" s="43" t="str">
        <f>IF(N(F6)&gt;0.005,"DA","NU")</f>
        <v>DA</v>
      </c>
    </row>
    <row r="7">
      <c r="A7" s="43" t="n">
        <v>3</v>
      </c>
      <c r="B7" s="43" t="inlineStr">
        <is>
          <t>Bloc 2 — Factura efectivă</t>
        </is>
      </c>
      <c r="C7" s="43" t="str">
        <f>Declarații_PROVIZION!B8</f>
        <v>2027-04-30</v>
      </c>
      <c r="D7" s="43">
        <f>Jurnale_PROVIZION!B18</f>
        <v>4426</v>
      </c>
      <c r="E7" s="43">
        <f>Jurnale_PROVIZION!E18</f>
        <v>0</v>
      </c>
      <c r="F7" s="43">
        <f>MAX(N(Jurnale_PROVIZION!C18),N(Jurnale_PROVIZION!F18))</f>
        <v>1680</v>
      </c>
      <c r="G7" s="43" t="str">
        <f>Jurnale_PROVIZION!D18</f>
        <v>TVA deductibilă - Litigiu comercial cu clientul X</v>
      </c>
      <c r="H7" s="43" t="inlineStr">
        <is>
          <t>Factură furnizor</t>
        </is>
      </c>
      <c r="I7" s="43" t="str">
        <f>IF(N(F7)&gt;0.005,"DA","NU")</f>
        <v>DA</v>
      </c>
    </row>
    <row r="8">
      <c r="A8" s="43" t="n">
        <v>4</v>
      </c>
      <c r="B8" s="43" t="inlineStr">
        <is>
          <t>Bloc 3 — Reluare</t>
        </is>
      </c>
      <c r="C8" s="43" t="str">
        <f>Declarații_PROVIZION!B8</f>
        <v>2027-04-30</v>
      </c>
      <c r="D8" s="43" t="str">
        <f>Jurnale_PROVIZION!B27</f>
        <v>1511</v>
      </c>
      <c r="E8" s="43">
        <f>Jurnale_PROVIZION!E27</f>
        <v>7812</v>
      </c>
      <c r="F8" s="43">
        <f>MAX(N(Jurnale_PROVIZION!C27),N(Jurnale_PROVIZION!F27))</f>
        <v>8000</v>
      </c>
      <c r="G8" s="43" t="str">
        <f>Jurnale_PROVIZION!D27</f>
        <v>Reluarea provizionului, obligația s-a stins - Litigiu comercial cu clientul X</v>
      </c>
      <c r="H8" s="43" t="inlineStr">
        <is>
          <t>Notă contabilă</t>
        </is>
      </c>
      <c r="I8" s="43" t="str">
        <f>IF(N(F8)&gt;0.005,"DA","NU")</f>
        <v>DA</v>
      </c>
    </row>
    <row r="10">
      <c r="A10" s="43" t="inlineStr">
        <is>
          <t>Rânduri de importat (Include=DA)</t>
        </is>
      </c>
      <c r="B10" s="43">
        <f>COUNTIF(I5:I8,"DA")</f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46" customWidth="1" style="40" min="1" max="1"/>
    <col width="20" customWidth="1" style="40" min="2" max="2"/>
    <col width="62" customWidth="1" style="40" min="3" max="3"/>
  </cols>
  <sheetData>
    <row r="1">
      <c r="A1" s="41" t="inlineStr">
        <is>
          <t>MOD_CREDIT_VALUTA — Declarații (input)</t>
        </is>
      </c>
    </row>
    <row r="2">
      <c r="A2" s="44" t="inlineStr">
        <is>
          <t>Valorile implicite reproduc monografia din F-107. Rata și dobânda se iau din SCADENȚAR, nu din extras — extrasul le arată deseori cumulat.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Număr contract de credit</t>
        </is>
      </c>
      <c r="B6" s="64" t="inlineStr">
        <is>
          <t>CR-2026-001</t>
        </is>
      </c>
      <c r="C6" s="44" t="inlineStr">
        <is>
          <t>1621 se ține analitic pe contract și pe valută</t>
        </is>
      </c>
    </row>
    <row r="7">
      <c r="A7" s="43" t="inlineStr">
        <is>
          <t>Luna (AAAA-LL)</t>
        </is>
      </c>
      <c r="B7" s="64" t="inlineStr">
        <is>
          <t>2026-07</t>
        </is>
      </c>
    </row>
    <row r="8">
      <c r="A8" s="43" t="inlineStr">
        <is>
          <t>Data plății ratei</t>
        </is>
      </c>
      <c r="B8" s="64" t="inlineStr">
        <is>
          <t>2026-07-15</t>
        </is>
      </c>
    </row>
    <row r="9">
      <c r="A9" s="43" t="inlineStr">
        <is>
          <t>Data reevaluării (ultima zi bancară a lunii)</t>
        </is>
      </c>
      <c r="B9" s="64" t="inlineStr">
        <is>
          <t>2026-07-31</t>
        </is>
      </c>
    </row>
    <row r="10">
      <c r="A10" s="43" t="inlineStr">
        <is>
          <t>Valuta</t>
        </is>
      </c>
      <c r="B10" s="64" t="inlineStr">
        <is>
          <t>EUR</t>
        </is>
      </c>
    </row>
    <row r="12">
      <c r="A12" s="42" t="inlineStr">
        <is>
          <t>2. Soldul de la care pornim</t>
        </is>
      </c>
    </row>
    <row r="13">
      <c r="A13" s="43" t="inlineStr">
        <is>
          <t>Sold inițial, în valută</t>
        </is>
      </c>
      <c r="B13" s="64" t="n">
        <v>20000</v>
      </c>
    </row>
    <row r="14">
      <c r="A14" s="43" t="inlineStr">
        <is>
          <t>Cursul la care e înregistrat soldul</t>
        </is>
      </c>
      <c r="B14" s="64" t="n">
        <v>4.97</v>
      </c>
    </row>
    <row r="15">
      <c r="A15" s="43" t="inlineStr">
        <is>
          <t>Sold inițial, în lei</t>
        </is>
      </c>
      <c r="B15" s="43">
        <f>ROUND(B13*B14,2)</f>
        <v>99400</v>
      </c>
    </row>
    <row r="17">
      <c r="A17" s="42" t="inlineStr">
        <is>
          <t>3. Mișcările lunii (din SCADENȚAR)</t>
        </is>
      </c>
    </row>
    <row r="18">
      <c r="A18" s="43" t="inlineStr">
        <is>
          <t>Rata de capital, în valută</t>
        </is>
      </c>
      <c r="B18" s="64" t="n">
        <v>5000</v>
      </c>
    </row>
    <row r="19">
      <c r="A19" s="43" t="inlineStr">
        <is>
          <t>Dobânda, în valută</t>
        </is>
      </c>
      <c r="B19" s="64" t="n">
        <v>200</v>
      </c>
    </row>
    <row r="20">
      <c r="A20" s="43" t="inlineStr">
        <is>
          <t>Cursul de la data plății</t>
        </is>
      </c>
      <c r="B20" s="64" t="n">
        <v>4.99</v>
      </c>
    </row>
    <row r="21">
      <c r="A21" s="43" t="inlineStr">
        <is>
          <t>Comisioane bancare, în lei</t>
        </is>
      </c>
      <c r="B21" s="64" t="n">
        <v>50</v>
      </c>
    </row>
    <row r="23">
      <c r="A23" s="42" t="inlineStr">
        <is>
          <t>4. Reevaluarea de la finalul lunii</t>
        </is>
      </c>
    </row>
    <row r="24">
      <c r="A24" s="43" t="inlineStr">
        <is>
          <t>Curs BNR la data reevaluării</t>
        </is>
      </c>
      <c r="B24" s="64" t="n">
        <v>5.01</v>
      </c>
    </row>
    <row r="26">
      <c r="A26" s="42" t="inlineStr">
        <is>
          <t>5. Calcul automat (nu edita)</t>
        </is>
      </c>
    </row>
    <row r="27">
      <c r="A27" s="43" t="inlineStr">
        <is>
          <t>Rata, la cursul de înregistrare</t>
        </is>
      </c>
      <c r="B27" s="43">
        <f>ROUND(B18*B14,2)</f>
        <v>24850</v>
      </c>
    </row>
    <row r="28">
      <c r="A28" s="43" t="inlineStr">
        <is>
          <t>Rata, la cursul de plată</t>
        </is>
      </c>
      <c r="B28" s="43">
        <f>ROUND(B18*B20,2)</f>
        <v>24950</v>
      </c>
    </row>
    <row r="29">
      <c r="A29" s="43" t="inlineStr">
        <is>
          <t>MOMENTUL 1 — diferența la plată</t>
        </is>
      </c>
      <c r="B29" s="43">
        <f>B28-B27</f>
        <v>100</v>
      </c>
      <c r="C29" s="44" t="inlineStr">
        <is>
          <t>Pozitiv = nefavorabil (665); negativ = favorabil (765)</t>
        </is>
      </c>
    </row>
    <row r="30">
      <c r="A30" s="43" t="inlineStr">
        <is>
          <t>Dobânda, în lei</t>
        </is>
      </c>
      <c r="B30" s="43">
        <f>ROUND(B19*B20,2)</f>
        <v>998</v>
      </c>
    </row>
    <row r="31">
      <c r="A31" s="43" t="inlineStr">
        <is>
          <t>Sold rămas, în valută</t>
        </is>
      </c>
      <c r="B31" s="43">
        <f>B13-B18</f>
        <v>15000</v>
      </c>
    </row>
    <row r="32">
      <c r="A32" s="43" t="inlineStr">
        <is>
          <t>Sold rămas, la cursul de înregistrare</t>
        </is>
      </c>
      <c r="B32" s="43">
        <f>ROUND(B31*B14,2)</f>
        <v>74550</v>
      </c>
    </row>
    <row r="33">
      <c r="A33" s="43" t="inlineStr">
        <is>
          <t>Sold rămas, la cursul BNR</t>
        </is>
      </c>
      <c r="B33" s="43">
        <f>ROUND(B31*B24,2)</f>
        <v>75150</v>
      </c>
    </row>
    <row r="34">
      <c r="A34" s="43" t="inlineStr">
        <is>
          <t>MOMENTUL 2 — diferența din reevaluare</t>
        </is>
      </c>
      <c r="B34" s="43">
        <f>B33-B32</f>
        <v>600</v>
      </c>
      <c r="C34" s="44" t="inlineStr">
        <is>
          <t>Pozitiv = datoria crește = nefavorabil (665)</t>
        </is>
      </c>
    </row>
    <row r="36">
      <c r="A36" s="42" t="inlineStr">
        <is>
          <t>6. Conturi</t>
        </is>
      </c>
    </row>
    <row r="37">
      <c r="A37" s="43" t="inlineStr">
        <is>
          <t>Cont credit (162x)</t>
        </is>
      </c>
      <c r="B37" s="64" t="inlineStr">
        <is>
          <t>1621</t>
        </is>
      </c>
      <c r="C37" s="44" t="inlineStr">
        <is>
          <t>1621…1627 sunt sintetice DISTINCTE, nu analitice ale aceluiași cont</t>
        </is>
      </c>
    </row>
    <row r="38">
      <c r="A38" s="43" t="inlineStr">
        <is>
          <t>Cont dobândă neajunsă la scadență</t>
        </is>
      </c>
      <c r="B38" s="64" t="n">
        <v>1682</v>
      </c>
    </row>
    <row r="39">
      <c r="A39" s="43" t="inlineStr">
        <is>
          <t>Cont trezorerie în valută</t>
        </is>
      </c>
      <c r="B39" s="64" t="inlineStr">
        <is>
          <t>5124</t>
        </is>
      </c>
    </row>
    <row r="40">
      <c r="A40" s="43" t="inlineStr">
        <is>
          <t>Cont trezorerie în lei</t>
        </is>
      </c>
      <c r="B40" s="64" t="inlineStr">
        <is>
          <t>5121</t>
        </is>
      </c>
    </row>
    <row r="41">
      <c r="A41" s="43" t="inlineStr">
        <is>
          <t>Cont cheltuială cu dobânda</t>
        </is>
      </c>
      <c r="B41" s="64" t="n">
        <v>666</v>
      </c>
    </row>
    <row r="42">
      <c r="A42" s="43" t="inlineStr">
        <is>
          <t>Cont cheltuială cu serviciile bancare</t>
        </is>
      </c>
      <c r="B42" s="64" t="n">
        <v>627</v>
      </c>
    </row>
    <row r="43">
      <c r="A43" s="43" t="inlineStr">
        <is>
          <t>Cont diferențe nefavorabile</t>
        </is>
      </c>
      <c r="B43" s="64" t="n">
        <v>665</v>
      </c>
    </row>
    <row r="44">
      <c r="A44" s="43" t="inlineStr">
        <is>
          <t>Cont diferențe favorabile</t>
        </is>
      </c>
      <c r="B44" s="64" t="n">
        <v>765</v>
      </c>
    </row>
    <row r="46">
      <c r="A46" s="42" t="inlineStr">
        <is>
          <t>7. Controale</t>
        </is>
      </c>
    </row>
    <row r="47">
      <c r="A47" s="43" t="inlineStr">
        <is>
          <t>Check FINAL: sold lei = sold valută × curs BNR</t>
        </is>
      </c>
      <c r="B47" s="43">
        <f>B32+B34-B33</f>
        <v>0</v>
      </c>
      <c r="C47" s="43" t="str">
        <f>IF(ABS(B47)&lt;0.01,"OK — soldul în lei corespunde soldului în valută","EROARE — una dintre cele două diferențe de curs lipsește")</f>
        <v>OK — soldul în lei corespunde soldului în valută</v>
      </c>
    </row>
    <row r="48">
      <c r="A48" s="43" t="inlineStr">
        <is>
          <t>Check cele două momente sunt distincte</t>
        </is>
      </c>
      <c r="B48" s="43">
        <f>B29+B34</f>
        <v>700</v>
      </c>
      <c r="C48" s="43" t="str">
        <f>"Momentul 1 (la plată): " &amp; TEXT(B29,"0.00") &amp; " lei · Momentul 2 (reevaluare): " &amp; TEXT(B34,"0.00") &amp; " lei"</f>
        <v>Momentul 1 (la plată): 100.00 lei · Momentul 2 (reevaluare): 600.00 lei</v>
      </c>
    </row>
    <row r="49">
      <c r="A49" s="43" t="inlineStr">
        <is>
          <t>Reminder: rata și dobânda vin din scadențar</t>
        </is>
      </c>
      <c r="B49" s="43">
        <f>B18+B19</f>
        <v>5200</v>
      </c>
      <c r="C49" s="43" t="str">
        <f>"Extrasul arată deseori B18+B19 cumulat. Dacă le înregistrezi așa, ajungi cu 1621 pe debit sau cu sold rămas la finalul creditului."</f>
        <v>Extrasul arată deseori B18+B19 cumulat. Dacă le înregistrezi așa, ajungi cu 1621 pe debit sau cu sold rămas la finalul creditului.</v>
      </c>
    </row>
    <row r="50">
      <c r="A50" s="43" t="inlineStr">
        <is>
          <t>Reminder: reevaluarea e LUNARĂ</t>
        </is>
      </c>
      <c r="B50" s="43" t="str">
        <f>B9</f>
        <v>2026-07-31</v>
      </c>
      <c r="C50" s="43" t="str">
        <f>"Obligatorie lunar (OMFP 1802/2014), nu trimestrial. Verifică și soldul ÎN VALUTĂ, nu doar în lei."</f>
        <v>Obligatorie lunar (OMFP 1802/2014), nu trimestrial. Verifică și soldul ÎN VALUTĂ, nu doar în lei.</v>
      </c>
    </row>
    <row r="51">
      <c r="A51" s="43" t="inlineStr">
        <is>
          <t>Reminder bilanț</t>
        </is>
      </c>
      <c r="B51" s="43">
        <f>B31</f>
        <v>15000</v>
      </c>
      <c r="C51" s="43" t="str">
        <f>"Reclasifică porțiunea scadentă în ≤ 12 luni pentru bilanț, prin analitic sau cont dedicat. Dobânda calculată și neajunsă la scadență stă pe 1682."</f>
        <v>Reclasifică porțiunea scadentă în ≤ 12 luni pentru bilanț, prin analitic sau cont dedicat. Dobânda calculată și neajunsă la scadență stă pe 1682.</v>
      </c>
    </row>
    <row r="53">
      <c r="A53" s="42" t="inlineStr">
        <is>
          <t>8. Sufix generat</t>
        </is>
      </c>
    </row>
    <row r="54">
      <c r="A54" s="43" t="inlineStr">
        <is>
          <t>Sufix</t>
        </is>
      </c>
      <c r="B54" s="43" t="str">
        <f>" - " &amp; B6 &amp; " - " &amp; B7</f>
        <v> - CR-2026-001 - 2026-07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4" customWidth="1" style="40" min="1" max="1"/>
    <col width="34" customWidth="1" style="40" min="2" max="2"/>
    <col width="16" customWidth="1" style="40" min="3" max="3"/>
    <col width="34" customWidth="1" style="40" min="4" max="4"/>
    <col width="20" customWidth="1" style="40" min="5" max="5"/>
    <col width="54" customWidth="1" style="40" min="6" max="6"/>
  </cols>
  <sheetData>
    <row r="1">
      <c r="A1" s="41" t="inlineStr">
        <is>
          <t>MOD_CREDIT_VALUTA — Reguli (tabele fixe)</t>
        </is>
      </c>
    </row>
    <row r="3">
      <c r="A3" s="42" t="inlineStr">
        <is>
          <t>Tabel A — Cele două momente de diferență de curs</t>
        </is>
      </c>
    </row>
    <row r="4">
      <c r="A4" s="65" t="inlineStr">
        <is>
          <t>Moment</t>
        </is>
      </c>
      <c r="B4" s="65" t="inlineStr">
        <is>
          <t>Când apare</t>
        </is>
      </c>
      <c r="C4" s="65" t="inlineStr">
        <is>
          <t>Bază</t>
        </is>
      </c>
      <c r="D4" s="65" t="inlineStr">
        <is>
          <t>Formula</t>
        </is>
      </c>
      <c r="E4" s="65" t="inlineStr">
        <is>
          <t>Cont</t>
        </is>
      </c>
      <c r="F4" s="65" t="inlineStr">
        <is>
          <t>Temei / observație</t>
        </is>
      </c>
    </row>
    <row r="5">
      <c r="A5" s="43" t="inlineStr">
        <is>
          <t>1. La plată</t>
        </is>
      </c>
      <c r="B5" s="43" t="inlineStr">
        <is>
          <t>la fiecare rambursare de rată</t>
        </is>
      </c>
      <c r="C5" s="43" t="inlineStr">
        <is>
          <t>rata în valută</t>
        </is>
      </c>
      <c r="D5" s="43" t="inlineStr">
        <is>
          <t>(curs plată − curs înregistrare) × rată</t>
        </is>
      </c>
      <c r="E5" s="43" t="inlineStr">
        <is>
          <t>665 / 765</t>
        </is>
      </c>
      <c r="F5" s="43" t="inlineStr">
        <is>
          <t>Diferența dintre cursul la care e înregistrată datoria și cel la care se stinge</t>
        </is>
      </c>
    </row>
    <row r="6">
      <c r="A6" s="43" t="inlineStr">
        <is>
          <t>2. La reevaluare</t>
        </is>
      </c>
      <c r="B6" s="43" t="inlineStr">
        <is>
          <t>ultima zi bancară a FIECĂREI luni</t>
        </is>
      </c>
      <c r="C6" s="43" t="inlineStr">
        <is>
          <t>soldul rămas în valută</t>
        </is>
      </c>
      <c r="D6" s="43" t="inlineStr">
        <is>
          <t>(curs BNR − curs înregistrare) × sold rămas</t>
        </is>
      </c>
      <c r="E6" s="43" t="inlineStr">
        <is>
          <t>665 / 765</t>
        </is>
      </c>
      <c r="F6" s="43" t="inlineStr">
        <is>
          <t>OMFP 1802/2014 — obligatoriu lunar; „la 3 luni” e insuficient</t>
        </is>
      </c>
    </row>
    <row r="8">
      <c r="A8" s="42" t="inlineStr">
        <is>
          <t>Tabel B — Ce se ia din scadențar, nu din extras</t>
        </is>
      </c>
    </row>
    <row r="9">
      <c r="A9" s="65" t="inlineStr">
        <is>
          <t>Element</t>
        </is>
      </c>
      <c r="B9" s="65" t="inlineStr">
        <is>
          <t>Cont</t>
        </is>
      </c>
      <c r="C9" s="65" t="inlineStr"/>
      <c r="D9" s="65" t="inlineStr"/>
      <c r="E9" s="65" t="inlineStr"/>
      <c r="F9" s="65" t="inlineStr">
        <is>
          <t>De ce contează</t>
        </is>
      </c>
    </row>
    <row r="10">
      <c r="A10" s="43" t="inlineStr">
        <is>
          <t>Rata de capital</t>
        </is>
      </c>
      <c r="B10" s="43" t="inlineStr">
        <is>
          <t>1621</t>
        </is>
      </c>
      <c r="C10" s="43" t="inlineStr"/>
      <c r="D10" s="43" t="inlineStr"/>
      <c r="E10" s="43" t="inlineStr"/>
      <c r="F10" s="43" t="inlineStr">
        <is>
          <t>Stinge datoria. Dacă o umfli cu dobânda, 1621 ajunge pe debit</t>
        </is>
      </c>
    </row>
    <row r="11">
      <c r="A11" s="43" t="inlineStr">
        <is>
          <t>Dobânda</t>
        </is>
      </c>
      <c r="B11" s="43" t="inlineStr">
        <is>
          <t>666</t>
        </is>
      </c>
      <c r="C11" s="43" t="inlineStr"/>
      <c r="D11" s="43" t="inlineStr"/>
      <c r="E11" s="43" t="inlineStr"/>
      <c r="F11" s="43" t="inlineStr">
        <is>
          <t>Cheltuială financiară. Dacă o pui pe 1621, rămâi cu sold la finalul creditului</t>
        </is>
      </c>
    </row>
    <row r="12">
      <c r="A12" s="43" t="inlineStr">
        <is>
          <t>Comisioane</t>
        </is>
      </c>
      <c r="B12" s="43" t="inlineStr">
        <is>
          <t>627</t>
        </is>
      </c>
      <c r="C12" s="43" t="inlineStr"/>
      <c r="D12" s="43" t="inlineStr"/>
      <c r="E12" s="43" t="inlineStr"/>
      <c r="F12" s="43" t="inlineStr">
        <is>
          <t>Cheltuială cu serviciile bancare, separată de dobândă</t>
        </is>
      </c>
    </row>
    <row r="13">
      <c r="A13" s="43" t="inlineStr">
        <is>
          <t>Dobânda neajunsă la scadență</t>
        </is>
      </c>
      <c r="B13" s="43" t="inlineStr">
        <is>
          <t>1682</t>
        </is>
      </c>
      <c r="C13" s="43" t="inlineStr"/>
      <c r="D13" s="43" t="inlineStr"/>
      <c r="E13" s="43" t="inlineStr"/>
      <c r="F13" s="43" t="inlineStr">
        <is>
          <t>Se calculează, nu se plătește încă</t>
        </is>
      </c>
    </row>
    <row r="15">
      <c r="A15" s="42" t="inlineStr">
        <is>
          <t>Tabel C — LIMITĂRI DECLARATE ale modulului</t>
        </is>
      </c>
    </row>
    <row r="16">
      <c r="A16" s="65" t="inlineStr">
        <is>
          <t>Ce NU tratează</t>
        </is>
      </c>
      <c r="B16" s="65" t="inlineStr">
        <is>
          <t>De ce</t>
        </is>
      </c>
      <c r="C16" s="65" t="inlineStr">
        <is>
          <t>Ce faci</t>
        </is>
      </c>
      <c r="D16" s="65" t="inlineStr"/>
      <c r="E16" s="65" t="inlineStr"/>
      <c r="F16" s="65" t="inlineStr">
        <is>
          <t>Efect dacă îl ignori</t>
        </is>
      </c>
    </row>
    <row r="17">
      <c r="A17" s="43" t="inlineStr">
        <is>
          <t>Linii de credit revolving</t>
        </is>
      </c>
      <c r="B17" s="43" t="inlineStr">
        <is>
          <t>Soldul fluctuează în ambele sensuri în cursul lunii, deci nu există o „rată” unică.</t>
        </is>
      </c>
      <c r="C17" s="43" t="inlineStr">
        <is>
          <t>Reevaluează soldul la finalul lunii; tratează tragerile separat.</t>
        </is>
      </c>
      <c r="D17" s="43" t="inlineStr"/>
      <c r="E17" s="43" t="inlineStr"/>
      <c r="F17" s="43" t="inlineStr">
        <is>
          <t>Diferențele de curs pe trageri intermediare rămân neînregistrate</t>
        </is>
      </c>
    </row>
    <row r="18">
      <c r="A18" s="43" t="inlineStr">
        <is>
          <t>Instrumente de acoperire a riscului valutar (hedging)</t>
        </is>
      </c>
      <c r="B18" s="43" t="inlineStr">
        <is>
          <t>Contabilitatea de acoperire are reguli proprii (OMFP 1802, cap. dedicat).</t>
        </is>
      </c>
      <c r="C18" s="43" t="inlineStr">
        <is>
          <t>Tratează separat; nu compensa în 665/765.</t>
        </is>
      </c>
      <c r="D18" s="43" t="inlineStr"/>
      <c r="E18" s="43" t="inlineStr"/>
      <c r="F18" s="43" t="inlineStr">
        <is>
          <t>Rezultatul financiar apare volatil fără motiv</t>
        </is>
      </c>
    </row>
    <row r="19">
      <c r="A19" s="43" t="inlineStr">
        <is>
          <t>Credite cu dobândă variabilă recalculată retroactiv</t>
        </is>
      </c>
      <c r="B19" s="43" t="inlineStr">
        <is>
          <t>Recalculul schimbă scadențarul pe perioade deja înregistrate.</t>
        </is>
      </c>
      <c r="C19" s="43" t="inlineStr">
        <is>
          <t>Reia scadențarul nou și corectează perioadele afectate.</t>
        </is>
      </c>
      <c r="D19" s="43" t="inlineStr"/>
      <c r="E19" s="43" t="inlineStr"/>
      <c r="F19" s="43" t="inlineStr">
        <is>
          <t>Dobânda înregistrată nu corespunde cu cea datorată</t>
        </is>
      </c>
    </row>
    <row r="20">
      <c r="A20" s="43" t="inlineStr">
        <is>
          <t>Costuri de tranzacție amortizate (metoda dobânzii efective)</t>
        </is>
      </c>
      <c r="B20" s="43" t="inlineStr">
        <is>
          <t>Comisioanele inițiale se pot amortiza pe durata creditului.</t>
        </is>
      </c>
      <c r="C20" s="43" t="inlineStr">
        <is>
          <t>Dacă politica firmei o cere, tratează prin 471.</t>
        </is>
      </c>
      <c r="D20" s="43" t="inlineStr"/>
      <c r="E20" s="43" t="inlineStr"/>
      <c r="F20" s="43" t="inlineStr">
        <is>
          <t>Cheltuiala e recunoscută integral în prima lună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14" customWidth="1" style="40" min="2" max="2"/>
    <col width="14" customWidth="1" style="40" min="3" max="3"/>
    <col width="46" customWidth="1" style="40" min="4" max="4"/>
    <col width="14" customWidth="1" style="40" min="5" max="5"/>
    <col width="14" customWidth="1" style="40" min="6" max="6"/>
    <col width="46" customWidth="1" style="40" min="7" max="7"/>
  </cols>
  <sheetData>
    <row r="1">
      <c r="A1" s="41" t="inlineStr">
        <is>
          <t>MOD_CREDIT_VALUTA — Jurnale (generate automat)</t>
        </is>
      </c>
    </row>
    <row r="2">
      <c r="A2" s="44" t="inlineStr">
        <is>
          <t>Blocurile de diferență se activează după semn: nefavorabilă pe 665, favorabilă pe 765. Doar unul dintre ele are sumă.</t>
        </is>
      </c>
    </row>
    <row r="4">
      <c r="A4" s="42" t="inlineStr">
        <is>
          <t>Bloc 1 — Rata de capital și diferența la plată</t>
        </is>
      </c>
    </row>
    <row r="5">
      <c r="A5" s="43" t="inlineStr">
        <is>
          <t>Data jurnal:</t>
        </is>
      </c>
      <c r="B5" s="43" t="str">
        <f>Declarații_CREDIT_VALUTA!B8</f>
        <v>2026-07-15</v>
      </c>
    </row>
    <row r="7">
      <c r="A7" s="65" t="inlineStr">
        <is>
          <t>Nr</t>
        </is>
      </c>
      <c r="B7" s="65" t="inlineStr">
        <is>
          <t>Cont Dr</t>
        </is>
      </c>
      <c r="C7" s="65" t="inlineStr">
        <is>
          <t>Sumă Dr</t>
        </is>
      </c>
      <c r="D7" s="65" t="inlineStr">
        <is>
          <t>Descriere Dr</t>
        </is>
      </c>
      <c r="E7" s="65" t="inlineStr">
        <is>
          <t>Cont Cr</t>
        </is>
      </c>
      <c r="F7" s="65" t="inlineStr">
        <is>
          <t>Sumă Cr</t>
        </is>
      </c>
      <c r="G7" s="65" t="inlineStr">
        <is>
          <t>Descriere Cr</t>
        </is>
      </c>
    </row>
    <row r="8">
      <c r="A8" s="43" t="n">
        <v>1</v>
      </c>
      <c r="B8" s="43" t="str">
        <f>Declarații_CREDIT_VALUTA!B37</f>
        <v>1621</v>
      </c>
      <c r="C8" s="43">
        <f>Declarații_CREDIT_VALUTA!B27</f>
        <v>24850</v>
      </c>
      <c r="D8" s="43" t="str">
        <f>"Rambursare rată de capital" &amp; Declarații_CREDIT_VALUTA!B54</f>
        <v>Rambursare rată de capital - CR-2026-001 - 2026-07</v>
      </c>
      <c r="E8" s="43" t="str">
        <f>Declarații_CREDIT_VALUTA!B39</f>
        <v>5124</v>
      </c>
      <c r="F8" s="43">
        <f>Declarații_CREDIT_VALUTA!B28</f>
        <v>24950</v>
      </c>
      <c r="G8" s="43" t="str">
        <f>"Plata ratei din contul în valută" &amp; Declarații_CREDIT_VALUTA!B54</f>
        <v>Plata ratei din contul în valută - CR-2026-001 - 2026-07</v>
      </c>
    </row>
    <row r="9">
      <c r="A9" s="43" t="n">
        <v>2</v>
      </c>
      <c r="B9" s="43">
        <f>Declarații_CREDIT_VALUTA!B43</f>
        <v>665</v>
      </c>
      <c r="C9" s="43">
        <f>MAX(0,Declarații_CREDIT_VALUTA!B29)</f>
        <v>100</v>
      </c>
      <c r="D9" s="43" t="str">
        <f>"Diferență de curs nefavorabilă la plată" &amp; Declarații_CREDIT_VALUTA!B54</f>
        <v>Diferență de curs nefavorabilă la plată - CR-2026-001 - 2026-07</v>
      </c>
    </row>
    <row r="10">
      <c r="A10" s="43" t="n">
        <v>3</v>
      </c>
      <c r="E10" s="43">
        <f>Declarații_CREDIT_VALUTA!B44</f>
        <v>765</v>
      </c>
      <c r="F10" s="43">
        <f>MAX(0,-Declarații_CREDIT_VALUTA!B29)</f>
        <v>0</v>
      </c>
      <c r="G10" s="43" t="str">
        <f>"Diferență de curs favorabilă la plată" &amp; Declarații_CREDIT_VALUTA!B54</f>
        <v>Diferență de curs favorabilă la plată - CR-2026-001 - 2026-07</v>
      </c>
    </row>
    <row r="12">
      <c r="A12" s="43" t="inlineStr">
        <is>
          <t>Check Σ (structural)</t>
        </is>
      </c>
      <c r="B12" s="43">
        <f>SUM(C8:C10)-SUM(F8:F10)</f>
        <v>0</v>
      </c>
      <c r="C12" s="43" t="str">
        <f>IF(ABS(B12)&lt;0.01,"OK — nota se închide","EROARE")</f>
        <v>OK — nota se închide</v>
      </c>
    </row>
    <row r="13">
      <c r="A13" s="43" t="inlineStr">
        <is>
          <t>Check exclusivitate 665/665</t>
        </is>
      </c>
      <c r="B13" s="43">
        <f>IF(AND(C9&gt;0.005,F10&gt;0.005),1,0)</f>
        <v>0</v>
      </c>
      <c r="C13" s="43" t="str">
        <f>IF(B13=0,"OK — o singură diferență, într-un singur sens","EROARE — 665 și 765 nu pot avea ambele sumă")</f>
        <v>OK — o singură diferență, într-un singur sens</v>
      </c>
    </row>
    <row r="15">
      <c r="A15" s="42" t="inlineStr">
        <is>
          <t>Bloc 2 — Dobânda</t>
        </is>
      </c>
    </row>
    <row r="16">
      <c r="A16" s="43" t="inlineStr">
        <is>
          <t>Data jurnal:</t>
        </is>
      </c>
      <c r="B16" s="43" t="str">
        <f>Declarații_CREDIT_VALUTA!B8</f>
        <v>2026-07-15</v>
      </c>
    </row>
    <row r="18">
      <c r="A18" s="65" t="inlineStr">
        <is>
          <t>Nr</t>
        </is>
      </c>
      <c r="B18" s="65" t="inlineStr">
        <is>
          <t>Cont Dr</t>
        </is>
      </c>
      <c r="C18" s="65" t="inlineStr">
        <is>
          <t>Sumă Dr</t>
        </is>
      </c>
      <c r="D18" s="65" t="inlineStr">
        <is>
          <t>Descriere Dr</t>
        </is>
      </c>
      <c r="E18" s="65" t="inlineStr">
        <is>
          <t>Cont Cr</t>
        </is>
      </c>
      <c r="F18" s="65" t="inlineStr">
        <is>
          <t>Sumă Cr</t>
        </is>
      </c>
      <c r="G18" s="65" t="inlineStr">
        <is>
          <t>Descriere Cr</t>
        </is>
      </c>
    </row>
    <row r="19">
      <c r="A19" s="43" t="n">
        <v>1</v>
      </c>
      <c r="B19" s="43">
        <f>Declarații_CREDIT_VALUTA!B41</f>
        <v>666</v>
      </c>
      <c r="C19" s="43">
        <f>Declarații_CREDIT_VALUTA!B30</f>
        <v>998</v>
      </c>
      <c r="D19" s="43" t="str">
        <f>"Dobândă aferentă creditului" &amp; Declarații_CREDIT_VALUTA!B54</f>
        <v>Dobândă aferentă creditului - CR-2026-001 - 2026-07</v>
      </c>
      <c r="E19" s="43" t="str">
        <f>Declarații_CREDIT_VALUTA!B39</f>
        <v>5124</v>
      </c>
      <c r="F19" s="43">
        <f>Declarații_CREDIT_VALUTA!B30</f>
        <v>998</v>
      </c>
      <c r="G19" s="43" t="str">
        <f>"Plata dobânzii din contul în valută" &amp; Declarații_CREDIT_VALUTA!B54</f>
        <v>Plata dobânzii din contul în valută - CR-2026-001 - 2026-07</v>
      </c>
    </row>
    <row r="21">
      <c r="A21" s="43" t="inlineStr">
        <is>
          <t>Check Σ (structural)</t>
        </is>
      </c>
      <c r="B21" s="43">
        <f>C19-F19</f>
        <v>0</v>
      </c>
      <c r="C21" s="43" t="str">
        <f>IF(ABS(B21)&lt;0.01,"OK — nota se închide","EROARE")</f>
        <v>OK — nota se închide</v>
      </c>
    </row>
    <row r="23">
      <c r="A23" s="42" t="inlineStr">
        <is>
          <t>Bloc 3 — Comisioane bancare</t>
        </is>
      </c>
    </row>
    <row r="24">
      <c r="A24" s="43" t="inlineStr">
        <is>
          <t>Data jurnal:</t>
        </is>
      </c>
      <c r="B24" s="43" t="str">
        <f>Declarații_CREDIT_VALUTA!B8</f>
        <v>2026-07-15</v>
      </c>
    </row>
    <row r="26">
      <c r="A26" s="65" t="inlineStr">
        <is>
          <t>Nr</t>
        </is>
      </c>
      <c r="B26" s="65" t="inlineStr">
        <is>
          <t>Cont Dr</t>
        </is>
      </c>
      <c r="C26" s="65" t="inlineStr">
        <is>
          <t>Sumă Dr</t>
        </is>
      </c>
      <c r="D26" s="65" t="inlineStr">
        <is>
          <t>Descriere Dr</t>
        </is>
      </c>
      <c r="E26" s="65" t="inlineStr">
        <is>
          <t>Cont Cr</t>
        </is>
      </c>
      <c r="F26" s="65" t="inlineStr">
        <is>
          <t>Sumă Cr</t>
        </is>
      </c>
      <c r="G26" s="65" t="inlineStr">
        <is>
          <t>Descriere Cr</t>
        </is>
      </c>
    </row>
    <row r="27">
      <c r="A27" s="43" t="n">
        <v>1</v>
      </c>
      <c r="B27" s="43">
        <f>Declarații_CREDIT_VALUTA!B42</f>
        <v>627</v>
      </c>
      <c r="C27" s="43">
        <f>Declarații_CREDIT_VALUTA!B21</f>
        <v>50</v>
      </c>
      <c r="D27" s="43" t="str">
        <f>"Comisioane bancare aferente creditului" &amp; Declarații_CREDIT_VALUTA!B54</f>
        <v>Comisioane bancare aferente creditului - CR-2026-001 - 2026-07</v>
      </c>
      <c r="E27" s="43" t="str">
        <f>Declarații_CREDIT_VALUTA!B40</f>
        <v>5121</v>
      </c>
      <c r="F27" s="43">
        <f>Declarații_CREDIT_VALUTA!B21</f>
        <v>50</v>
      </c>
      <c r="G27" s="43" t="str">
        <f>"Plata comisioanelor" &amp; Declarații_CREDIT_VALUTA!B54</f>
        <v>Plata comisioanelor - CR-2026-001 - 2026-07</v>
      </c>
    </row>
    <row r="29">
      <c r="A29" s="43" t="inlineStr">
        <is>
          <t>Check Σ (structural)</t>
        </is>
      </c>
      <c r="B29" s="43">
        <f>C27-F27</f>
        <v>0</v>
      </c>
      <c r="C29" s="43" t="str">
        <f>IF(ABS(B29)&lt;0.01,"OK — nota se închide","EROARE")</f>
        <v>OK — nota se închide</v>
      </c>
    </row>
    <row r="31">
      <c r="A31" s="42" t="inlineStr">
        <is>
          <t>Bloc 4 — Reevaluarea soldului (PASUL CARE SE UITĂ)</t>
        </is>
      </c>
    </row>
    <row r="32">
      <c r="A32" s="43" t="inlineStr">
        <is>
          <t>Data jurnal:</t>
        </is>
      </c>
      <c r="B32" s="43" t="str">
        <f>Declarații_CREDIT_VALUTA!B9</f>
        <v>2026-07-31</v>
      </c>
    </row>
    <row r="34">
      <c r="A34" s="65" t="inlineStr">
        <is>
          <t>Nr</t>
        </is>
      </c>
      <c r="B34" s="65" t="inlineStr">
        <is>
          <t>Cont Dr</t>
        </is>
      </c>
      <c r="C34" s="65" t="inlineStr">
        <is>
          <t>Sumă Dr</t>
        </is>
      </c>
      <c r="D34" s="65" t="inlineStr">
        <is>
          <t>Descriere Dr</t>
        </is>
      </c>
      <c r="E34" s="65" t="inlineStr">
        <is>
          <t>Cont Cr</t>
        </is>
      </c>
      <c r="F34" s="65" t="inlineStr">
        <is>
          <t>Sumă Cr</t>
        </is>
      </c>
      <c r="G34" s="65" t="inlineStr">
        <is>
          <t>Descriere Cr</t>
        </is>
      </c>
    </row>
    <row r="35">
      <c r="A35" s="43" t="n">
        <v>1</v>
      </c>
      <c r="B35" s="43">
        <f>Declarații_CREDIT_VALUTA!B43</f>
        <v>665</v>
      </c>
      <c r="C35" s="43">
        <f>MAX(0,Declarații_CREDIT_VALUTA!B34)</f>
        <v>600</v>
      </c>
      <c r="D35" s="43" t="str">
        <f>"Reevaluare sold credit — diferență nefavorabilă" &amp; Declarații_CREDIT_VALUTA!B54</f>
        <v>Reevaluare sold credit — diferență nefavorabilă - CR-2026-001 - 2026-07</v>
      </c>
      <c r="E35" s="43" t="str">
        <f>Declarații_CREDIT_VALUTA!B37</f>
        <v>1621</v>
      </c>
      <c r="F35" s="43">
        <f>MAX(0,Declarații_CREDIT_VALUTA!B34)</f>
        <v>600</v>
      </c>
      <c r="G35" s="43" t="str">
        <f>"Creșterea datoriei din reevaluare" &amp; Declarații_CREDIT_VALUTA!B54</f>
        <v>Creșterea datoriei din reevaluare - CR-2026-001 - 2026-07</v>
      </c>
    </row>
    <row r="36">
      <c r="A36" s="43" t="n">
        <v>2</v>
      </c>
      <c r="B36" s="43" t="str">
        <f>Declarații_CREDIT_VALUTA!B37</f>
        <v>1621</v>
      </c>
      <c r="C36" s="43">
        <f>MAX(0,-Declarații_CREDIT_VALUTA!B34)</f>
        <v>0</v>
      </c>
      <c r="D36" s="43" t="str">
        <f>"Diminuarea datoriei din reevaluare" &amp; Declarații_CREDIT_VALUTA!B54</f>
        <v>Diminuarea datoriei din reevaluare - CR-2026-001 - 2026-07</v>
      </c>
      <c r="E36" s="43">
        <f>Declarații_CREDIT_VALUTA!B44</f>
        <v>765</v>
      </c>
      <c r="F36" s="43">
        <f>MAX(0,-Declarații_CREDIT_VALUTA!B34)</f>
        <v>0</v>
      </c>
      <c r="G36" s="43" t="str">
        <f>"Reevaluare sold credit — diferență favorabilă" &amp; Declarații_CREDIT_VALUTA!B54</f>
        <v>Reevaluare sold credit — diferență favorabilă - CR-2026-001 - 2026-07</v>
      </c>
    </row>
    <row r="38">
      <c r="A38" s="43" t="inlineStr">
        <is>
          <t>Check Σ (structural)</t>
        </is>
      </c>
      <c r="B38" s="43">
        <f>SUM(C35:C36)-SUM(F35:F36)</f>
        <v>0</v>
      </c>
      <c r="C38" s="43" t="str">
        <f>IF(ABS(B38)&lt;0.01,"OK — nota se închide","EROARE")</f>
        <v>OK — nota se închide</v>
      </c>
    </row>
    <row r="39">
      <c r="A39" s="43" t="inlineStr">
        <is>
          <t>Check sold final</t>
        </is>
      </c>
      <c r="B39" s="43">
        <f>Declarații_CREDIT_VALUTA!B33</f>
        <v>75150</v>
      </c>
      <c r="C39" s="43" t="str">
        <f>"Sold 1621 după reevaluare = " &amp; TEXT(B39,"0.00") &amp; " lei = " &amp; TEXT(Declarații_CREDIT_VALUTA!B31,"0") &amp; " " &amp; Declarații_CREDIT_VALUTA!B10 &amp; " × " &amp; TEXT(Declarații_CREDIT_VALUTA!B24,"0.0000")</f>
        <v>Sold 1621 după reevaluare = 75150.00 lei = 15000 EUR × 5.0100</v>
      </c>
    </row>
    <row r="41">
      <c r="A41" s="44" t="inlineStr">
        <is>
          <t>Stare terminală: soldul lui 1621 în lei = soldul în valută × cursul BNR de la data reevaluării. Dacă nu ține, unul dintre cele două momente lipsește.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30" customWidth="1" style="40" min="2" max="2"/>
    <col width="12" customWidth="1" style="40" min="3" max="3"/>
    <col width="12" customWidth="1" style="40" min="4" max="4"/>
    <col width="12" customWidth="1" style="40" min="5" max="5"/>
    <col width="14" customWidth="1" style="40" min="6" max="6"/>
    <col width="46" customWidth="1" style="40" min="7" max="7"/>
    <col width="20" customWidth="1" style="40" min="8" max="8"/>
    <col width="9" customWidth="1" style="40" min="9" max="9"/>
  </cols>
  <sheetData>
    <row r="1">
      <c r="A1" s="41" t="inlineStr">
        <is>
          <t>MOD_CREDIT_VALUTA — Notă pentru import (1 rând = 1 înregistrare)</t>
        </is>
      </c>
    </row>
    <row r="2">
      <c r="A2" s="44" t="inlineStr">
        <is>
          <t>Filtrează pe Include = DA. Rândurile de diferență cu sumă zero ies singure.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Bloc 1 — Rata + diferență</t>
        </is>
      </c>
      <c r="C5" s="43" t="str">
        <f>Declarații_CREDIT_VALUTA!B8</f>
        <v>2026-07-15</v>
      </c>
      <c r="D5" s="43" t="str">
        <f>Jurnale_CREDIT_VALUTA!B8</f>
        <v>1621</v>
      </c>
      <c r="E5" s="43" t="str">
        <f>Jurnale_CREDIT_VALUTA!E8</f>
        <v>5124</v>
      </c>
      <c r="F5" s="43">
        <f>MAX(N(Jurnale_CREDIT_VALUTA!C8),N(Jurnale_CREDIT_VALUTA!F8))</f>
        <v>24950</v>
      </c>
      <c r="G5" s="43" t="str">
        <f>Jurnale_CREDIT_VALUTA!D8</f>
        <v>Rambursare rată de capital - CR-2026-001 - 2026-07</v>
      </c>
      <c r="H5" s="43" t="inlineStr">
        <is>
          <t>Scadențar + extras</t>
        </is>
      </c>
      <c r="I5" s="43" t="str">
        <f>IF(N(F5)&gt;0.005,"DA","NU")</f>
        <v>DA</v>
      </c>
    </row>
    <row r="6">
      <c r="A6" s="43" t="n">
        <v>2</v>
      </c>
      <c r="B6" s="43" t="inlineStr">
        <is>
          <t>Bloc 1 — Rata + diferență</t>
        </is>
      </c>
      <c r="C6" s="43" t="str">
        <f>Declarații_CREDIT_VALUTA!B8</f>
        <v>2026-07-15</v>
      </c>
      <c r="D6" s="43">
        <f>Jurnale_CREDIT_VALUTA!B9</f>
        <v>665</v>
      </c>
      <c r="E6" s="43">
        <f>Jurnale_CREDIT_VALUTA!E9</f>
        <v>0</v>
      </c>
      <c r="F6" s="43">
        <f>MAX(N(Jurnale_CREDIT_VALUTA!C9),N(Jurnale_CREDIT_VALUTA!F9))</f>
        <v>100</v>
      </c>
      <c r="G6" s="43" t="str">
        <f>Jurnale_CREDIT_VALUTA!D9</f>
        <v>Diferență de curs nefavorabilă la plată - CR-2026-001 - 2026-07</v>
      </c>
      <c r="H6" s="43" t="inlineStr">
        <is>
          <t>Scadențar + extras</t>
        </is>
      </c>
      <c r="I6" s="43" t="str">
        <f>IF(N(F6)&gt;0.005,"DA","NU")</f>
        <v>DA</v>
      </c>
    </row>
    <row r="7">
      <c r="A7" s="43" t="n">
        <v>3</v>
      </c>
      <c r="B7" s="43" t="inlineStr">
        <is>
          <t>Bloc 1 — Rata + diferență</t>
        </is>
      </c>
      <c r="C7" s="43" t="str">
        <f>Declarații_CREDIT_VALUTA!B8</f>
        <v>2026-07-15</v>
      </c>
      <c r="D7" s="43">
        <f>Jurnale_CREDIT_VALUTA!B10</f>
        <v>0</v>
      </c>
      <c r="E7" s="43">
        <f>Jurnale_CREDIT_VALUTA!E10</f>
        <v>765</v>
      </c>
      <c r="F7" s="43">
        <f>MAX(N(Jurnale_CREDIT_VALUTA!C10),N(Jurnale_CREDIT_VALUTA!F10))</f>
        <v>0</v>
      </c>
      <c r="G7" s="43">
        <f>Jurnale_CREDIT_VALUTA!D10</f>
        <v>0</v>
      </c>
      <c r="H7" s="43" t="inlineStr">
        <is>
          <t>Scadențar + extras</t>
        </is>
      </c>
      <c r="I7" s="43" t="str">
        <f>IF(N(F7)&gt;0.005,"DA","NU")</f>
        <v>NU</v>
      </c>
    </row>
    <row r="8">
      <c r="A8" s="43" t="n">
        <v>4</v>
      </c>
      <c r="B8" s="43" t="inlineStr">
        <is>
          <t>Bloc 2 — Dobânda</t>
        </is>
      </c>
      <c r="C8" s="43" t="str">
        <f>Declarații_CREDIT_VALUTA!B8</f>
        <v>2026-07-15</v>
      </c>
      <c r="D8" s="43">
        <f>Jurnale_CREDIT_VALUTA!B19</f>
        <v>666</v>
      </c>
      <c r="E8" s="43" t="str">
        <f>Jurnale_CREDIT_VALUTA!E19</f>
        <v>5124</v>
      </c>
      <c r="F8" s="43">
        <f>MAX(N(Jurnale_CREDIT_VALUTA!C19),N(Jurnale_CREDIT_VALUTA!F19))</f>
        <v>998</v>
      </c>
      <c r="G8" s="43" t="str">
        <f>Jurnale_CREDIT_VALUTA!D19</f>
        <v>Dobândă aferentă creditului - CR-2026-001 - 2026-07</v>
      </c>
      <c r="H8" s="43" t="inlineStr">
        <is>
          <t>Scadențar + extras</t>
        </is>
      </c>
      <c r="I8" s="43" t="str">
        <f>IF(N(F8)&gt;0.005,"DA","NU")</f>
        <v>DA</v>
      </c>
    </row>
    <row r="9">
      <c r="A9" s="43" t="n">
        <v>5</v>
      </c>
      <c r="B9" s="43" t="inlineStr">
        <is>
          <t>Bloc 3 — Comisioane</t>
        </is>
      </c>
      <c r="C9" s="43" t="str">
        <f>Declarații_CREDIT_VALUTA!B8</f>
        <v>2026-07-15</v>
      </c>
      <c r="D9" s="43">
        <f>Jurnale_CREDIT_VALUTA!B27</f>
        <v>627</v>
      </c>
      <c r="E9" s="43" t="str">
        <f>Jurnale_CREDIT_VALUTA!E27</f>
        <v>5121</v>
      </c>
      <c r="F9" s="43">
        <f>MAX(N(Jurnale_CREDIT_VALUTA!C27),N(Jurnale_CREDIT_VALUTA!F27))</f>
        <v>50</v>
      </c>
      <c r="G9" s="43" t="str">
        <f>Jurnale_CREDIT_VALUTA!D27</f>
        <v>Comisioane bancare aferente creditului - CR-2026-001 - 2026-07</v>
      </c>
      <c r="H9" s="43" t="inlineStr">
        <is>
          <t>Scadențar + extras</t>
        </is>
      </c>
      <c r="I9" s="43" t="str">
        <f>IF(N(F9)&gt;0.005,"DA","NU")</f>
        <v>DA</v>
      </c>
    </row>
    <row r="10">
      <c r="A10" s="43" t="n">
        <v>6</v>
      </c>
      <c r="B10" s="43" t="inlineStr">
        <is>
          <t>Bloc 4 — Reevaluare</t>
        </is>
      </c>
      <c r="C10" s="43" t="str">
        <f>Declarații_CREDIT_VALUTA!B9</f>
        <v>2026-07-31</v>
      </c>
      <c r="D10" s="43">
        <f>Jurnale_CREDIT_VALUTA!B35</f>
        <v>665</v>
      </c>
      <c r="E10" s="43" t="str">
        <f>Jurnale_CREDIT_VALUTA!E35</f>
        <v>1621</v>
      </c>
      <c r="F10" s="43">
        <f>MAX(N(Jurnale_CREDIT_VALUTA!C35),N(Jurnale_CREDIT_VALUTA!F35))</f>
        <v>600</v>
      </c>
      <c r="G10" s="43" t="str">
        <f>Jurnale_CREDIT_VALUTA!D35</f>
        <v>Reevaluare sold credit — diferență nefavorabilă - CR-2026-001 - 2026-07</v>
      </c>
      <c r="H10" s="43" t="inlineStr">
        <is>
          <t>Scadențar + extras</t>
        </is>
      </c>
      <c r="I10" s="43" t="str">
        <f>IF(N(F10)&gt;0.005,"DA","NU")</f>
        <v>DA</v>
      </c>
    </row>
    <row r="11">
      <c r="A11" s="43" t="n">
        <v>7</v>
      </c>
      <c r="B11" s="43" t="inlineStr">
        <is>
          <t>Bloc 4 — Reevaluare</t>
        </is>
      </c>
      <c r="C11" s="43" t="str">
        <f>Declarații_CREDIT_VALUTA!B9</f>
        <v>2026-07-31</v>
      </c>
      <c r="D11" s="43" t="str">
        <f>Jurnale_CREDIT_VALUTA!B36</f>
        <v>1621</v>
      </c>
      <c r="E11" s="43">
        <f>Jurnale_CREDIT_VALUTA!E36</f>
        <v>765</v>
      </c>
      <c r="F11" s="43">
        <f>MAX(N(Jurnale_CREDIT_VALUTA!C36),N(Jurnale_CREDIT_VALUTA!F36))</f>
        <v>0</v>
      </c>
      <c r="G11" s="43" t="str">
        <f>Jurnale_CREDIT_VALUTA!D36</f>
        <v>Diminuarea datoriei din reevaluare - CR-2026-001 - 2026-07</v>
      </c>
      <c r="H11" s="43" t="inlineStr">
        <is>
          <t>Scadențar + extras</t>
        </is>
      </c>
      <c r="I11" s="43" t="str">
        <f>IF(N(F11)&gt;0.005,"DA","NU")</f>
        <v>NU</v>
      </c>
    </row>
    <row r="13">
      <c r="A13" s="43" t="inlineStr">
        <is>
          <t>Rânduri de importat (Include=DA)</t>
        </is>
      </c>
      <c r="B13" s="43">
        <f>COUNTIF(I5:I11,"DA")</f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52" customWidth="1" style="40" min="1" max="1"/>
    <col width="22" customWidth="1" style="40" min="2" max="2"/>
    <col width="62" customWidth="1" style="40" min="3" max="3"/>
  </cols>
  <sheetData>
    <row r="1">
      <c r="A1" s="41" t="inlineStr">
        <is>
          <t>MOD_LEASING_FIN — Declarații (input)</t>
        </is>
      </c>
    </row>
    <row r="2">
      <c r="A2" s="44" t="inlineStr">
        <is>
          <t>Valorile implicite reproduc monografia din trainingul 07.08.2026 (contract 150.000, avans 50.000, rată 2.000, dobândă 500, comision 100, CASCO 20).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Număr contract de leasing</t>
        </is>
      </c>
      <c r="B6" s="64" t="inlineStr">
        <is>
          <t>LF-2026-001</t>
        </is>
      </c>
      <c r="C6" s="44" t="inlineStr">
        <is>
          <t>167 este 1-la-1 cu contractul (C-19)</t>
        </is>
      </c>
    </row>
    <row r="7">
      <c r="A7" s="43" t="inlineStr">
        <is>
          <t>Luna</t>
        </is>
      </c>
      <c r="B7" s="64" t="inlineStr">
        <is>
          <t>2026-07</t>
        </is>
      </c>
    </row>
    <row r="8">
      <c r="A8" s="43" t="inlineStr">
        <is>
          <t>Data facturii de avans</t>
        </is>
      </c>
      <c r="B8" s="64" t="inlineStr">
        <is>
          <t>2026-07-01</t>
        </is>
      </c>
    </row>
    <row r="9">
      <c r="A9" s="43" t="inlineStr">
        <is>
          <t>Data recepției bunului</t>
        </is>
      </c>
      <c r="B9" s="64" t="inlineStr">
        <is>
          <t>2026-07-10</t>
        </is>
      </c>
    </row>
    <row r="10">
      <c r="A10" s="43" t="inlineStr">
        <is>
          <t>Data facturii lunare</t>
        </is>
      </c>
      <c r="B10" s="64" t="inlineStr">
        <is>
          <t>2026-07-31</t>
        </is>
      </c>
    </row>
    <row r="12">
      <c r="A12" s="42" t="inlineStr">
        <is>
          <t>2. Contract</t>
        </is>
      </c>
    </row>
    <row r="13">
      <c r="A13" s="43" t="inlineStr">
        <is>
          <t>Valoare de intrare din contract (fără TVA)</t>
        </is>
      </c>
      <c r="B13" s="64" t="n">
        <v>150000</v>
      </c>
    </row>
    <row r="14">
      <c r="A14" s="43" t="inlineStr">
        <is>
          <t>Avans (fără TVA)</t>
        </is>
      </c>
      <c r="B14" s="64" t="n">
        <v>50000</v>
      </c>
    </row>
    <row r="15">
      <c r="A15" s="43" t="inlineStr">
        <is>
          <t>Durata de amortizare (luni)</t>
        </is>
      </c>
      <c r="B15" s="64" t="n">
        <v>60</v>
      </c>
    </row>
    <row r="16">
      <c r="A16" s="43" t="inlineStr">
        <is>
          <t>Cotă TVA</t>
        </is>
      </c>
      <c r="B16" s="43">
        <f>Parametri!B10</f>
        <v>0.21</v>
      </c>
    </row>
    <row r="18">
      <c r="A18" s="42" t="inlineStr">
        <is>
          <t>3. Regim fiscal al vehiculului</t>
        </is>
      </c>
    </row>
    <row r="19">
      <c r="A19" s="43" t="inlineStr">
        <is>
          <t>Regim (MIXT / EXCLUSIV / EXCEPTAT)</t>
        </is>
      </c>
      <c r="B19" s="64" t="inlineStr">
        <is>
          <t>MIXT</t>
        </is>
      </c>
      <c r="C19" s="44" t="inlineStr">
        <is>
          <t>MIXT = 50%. EXCLUSIV/EXCEPTAT = 100%, dar cere documentație (foi de parcurs, decizie internă)</t>
        </is>
      </c>
    </row>
    <row r="20">
      <c r="A20" s="43" t="inlineStr">
        <is>
          <t>Procent de deducere aplicat</t>
        </is>
      </c>
      <c r="B20" s="43">
        <f>IF(B19="MIXT",param_proc_vehicul,1)</f>
        <v>0.5</v>
      </c>
    </row>
    <row r="21">
      <c r="A21" s="43" t="inlineStr">
        <is>
          <t>TVA nededusă pe rata de capital: CAPITALIZEAZA / CHELTUIALA</t>
        </is>
      </c>
      <c r="B21" s="64" t="inlineStr">
        <is>
          <t>CAPITALIZEAZA</t>
        </is>
      </c>
      <c r="C21" s="44" t="inlineStr">
        <is>
          <t>❓ De clarificat cu formatorul — practica e împărțită. Capitalizarea e coerentă cu tratamentul avansului (pct. 75 OMFP 1802)</t>
        </is>
      </c>
    </row>
    <row r="23">
      <c r="A23" s="42" t="inlineStr">
        <is>
          <t>4. Factura lunară de leasing</t>
        </is>
      </c>
    </row>
    <row r="24">
      <c r="A24" s="43" t="inlineStr">
        <is>
          <t>Rata de capital</t>
        </is>
      </c>
      <c r="B24" s="64" t="n">
        <v>2000</v>
      </c>
    </row>
    <row r="25">
      <c r="A25" s="43" t="inlineStr">
        <is>
          <t>Dobândă</t>
        </is>
      </c>
      <c r="B25" s="64" t="n">
        <v>500</v>
      </c>
    </row>
    <row r="26">
      <c r="A26" s="43" t="inlineStr">
        <is>
          <t>Comision de administrare</t>
        </is>
      </c>
      <c r="B26" s="64" t="n">
        <v>100</v>
      </c>
    </row>
    <row r="27">
      <c r="A27" s="43" t="inlineStr">
        <is>
          <t>CASCO (fără TVA)</t>
        </is>
      </c>
      <c r="B27" s="64" t="n">
        <v>20</v>
      </c>
    </row>
    <row r="29">
      <c r="A29" s="42" t="inlineStr">
        <is>
          <t>5. Calcul — intrarea bunului (nu edita)</t>
        </is>
      </c>
    </row>
    <row r="30">
      <c r="A30" s="43" t="inlineStr">
        <is>
          <t>TVA pe avans</t>
        </is>
      </c>
      <c r="B30" s="43">
        <f>B14*B16</f>
        <v>10500</v>
      </c>
    </row>
    <row r="31">
      <c r="A31" s="43" t="inlineStr">
        <is>
          <t>TVA nedeductibilă pe avans (capitalizată)</t>
        </is>
      </c>
      <c r="B31" s="43">
        <f>ROUND(B30*(1-B20),2)</f>
        <v>5250</v>
      </c>
    </row>
    <row r="32">
      <c r="A32" s="43" t="inlineStr">
        <is>
          <t>Valoare de intrare a mijlocului fix</t>
        </is>
      </c>
      <c r="B32" s="43">
        <f>B13+B31</f>
        <v>155250</v>
      </c>
      <c r="C32" s="44" t="inlineStr">
        <is>
          <t>150.000 + 5.250 = 155.250 în exemplul din training</t>
        </is>
      </c>
    </row>
    <row r="33">
      <c r="A33" s="43" t="inlineStr">
        <is>
          <t>Amortizare contabilă lunară</t>
        </is>
      </c>
      <c r="B33" s="43">
        <f>ROUND(B32/B15,2)</f>
        <v>2587.5</v>
      </c>
    </row>
    <row r="34">
      <c r="A34" s="43" t="inlineStr">
        <is>
          <t>Amortizare deductibilă fiscal</t>
        </is>
      </c>
      <c r="B34" s="43">
        <f>MIN(B33,param_plafon_amo_auto)</f>
        <v>1500</v>
      </c>
      <c r="C34" s="44" t="inlineStr">
        <is>
          <t>Plafon 1.500 lei/lună, art. 28 alin. (14) CF</t>
        </is>
      </c>
    </row>
    <row r="35">
      <c r="A35" s="43" t="inlineStr">
        <is>
          <t>Amortizare NEdeductibilă lunară</t>
        </is>
      </c>
      <c r="B35" s="43">
        <f>B33-B34</f>
        <v>1087.5</v>
      </c>
    </row>
    <row r="37">
      <c r="A37" s="42" t="inlineStr">
        <is>
          <t>6. Calcul — factura lunară (nu edita)</t>
        </is>
      </c>
    </row>
    <row r="38">
      <c r="A38" s="43" t="inlineStr">
        <is>
          <t>TVA pe rata de capital</t>
        </is>
      </c>
      <c r="B38" s="43">
        <f>B24*B16</f>
        <v>420</v>
      </c>
    </row>
    <row r="39">
      <c r="A39" s="43" t="inlineStr">
        <is>
          <t>TVA pe dobândă</t>
        </is>
      </c>
      <c r="B39" s="43">
        <f>B25*B16</f>
        <v>105</v>
      </c>
    </row>
    <row r="40">
      <c r="A40" s="43" t="inlineStr">
        <is>
          <t>TVA pe comision</t>
        </is>
      </c>
      <c r="B40" s="43">
        <f>B26*B16</f>
        <v>21</v>
      </c>
    </row>
    <row r="41">
      <c r="A41" s="43" t="inlineStr">
        <is>
          <t>TVA total pe factură</t>
        </is>
      </c>
      <c r="B41" s="43">
        <f>B38+B39+B40</f>
        <v>546</v>
      </c>
      <c r="C41" s="44" t="inlineStr">
        <is>
          <t>CASCO e fără TVA</t>
        </is>
      </c>
    </row>
    <row r="42">
      <c r="A42" s="43" t="inlineStr">
        <is>
          <t>Total factură</t>
        </is>
      </c>
      <c r="B42" s="43">
        <f>B24+B25+B26+B27+B41</f>
        <v>3166</v>
      </c>
    </row>
    <row r="44">
      <c r="A44" s="42" t="inlineStr">
        <is>
          <t>7. Calcul — corecția TVA nedeductibilă (limitarea 1)</t>
        </is>
      </c>
    </row>
    <row r="45">
      <c r="A45" s="43" t="inlineStr">
        <is>
          <t>TVA nededusă — rată</t>
        </is>
      </c>
      <c r="B45" s="43">
        <f>ROUND(B38*(1-B20),2)</f>
        <v>210</v>
      </c>
    </row>
    <row r="46">
      <c r="A46" s="43" t="inlineStr">
        <is>
          <t>TVA nededusă — dobândă</t>
        </is>
      </c>
      <c r="B46" s="43">
        <f>ROUND(B39*(1-B20),2)</f>
        <v>52.5</v>
      </c>
    </row>
    <row r="47">
      <c r="A47" s="43" t="inlineStr">
        <is>
          <t>TVA nededusă — comision</t>
        </is>
      </c>
      <c r="B47" s="43">
        <f>ROUND(B40*(1-B20),2)</f>
        <v>10.5</v>
      </c>
    </row>
    <row r="48">
      <c r="A48" s="43" t="inlineStr">
        <is>
          <t>TVA nededusă total</t>
        </is>
      </c>
      <c r="B48" s="43">
        <f>B45+B46+B47</f>
        <v>273</v>
      </c>
    </row>
    <row r="50">
      <c r="A50" s="42" t="inlineStr">
        <is>
          <t>8. Calcul — limitarea de 50% a cheltuielilor (limitarea 2)</t>
        </is>
      </c>
    </row>
    <row r="51">
      <c r="A51" s="44" t="inlineStr">
        <is>
          <t>Baza include TVA nedeductibilă deja trecută pe cheltuială. Amortizarea NU intră aici — are propria plafonare (limitarea 3).</t>
        </is>
      </c>
    </row>
    <row r="52">
      <c r="A52" s="43" t="inlineStr">
        <is>
          <t>Bază dobândă (dobândă + TVA nededusă)</t>
        </is>
      </c>
      <c r="B52" s="43">
        <f>B25+B46</f>
        <v>552.5</v>
      </c>
    </row>
    <row r="53">
      <c r="A53" s="43" t="inlineStr">
        <is>
          <t>Bază comision (comision + TVA nededusă)</t>
        </is>
      </c>
      <c r="B53" s="43">
        <f>B26+B47</f>
        <v>110.5</v>
      </c>
    </row>
    <row r="54">
      <c r="A54" s="43" t="inlineStr">
        <is>
          <t>Bază CASCO</t>
        </is>
      </c>
      <c r="B54" s="43">
        <f>B27</f>
        <v>20</v>
      </c>
    </row>
    <row r="55">
      <c r="A55" s="43" t="inlineStr">
        <is>
          <t>Dobândă nedeductibilă</t>
        </is>
      </c>
      <c r="B55" s="43">
        <f>ROUND(B52*(1-B20),2)</f>
        <v>276.25</v>
      </c>
    </row>
    <row r="56">
      <c r="A56" s="43" t="inlineStr">
        <is>
          <t>Comision nedeductibil</t>
        </is>
      </c>
      <c r="B56" s="43">
        <f>ROUND(B53*(1-B20),2)</f>
        <v>55.25</v>
      </c>
    </row>
    <row r="57">
      <c r="A57" s="43" t="inlineStr">
        <is>
          <t>CASCO nedeductibil</t>
        </is>
      </c>
      <c r="B57" s="43">
        <f>ROUND(B54*(1-B20),2)</f>
        <v>10</v>
      </c>
    </row>
    <row r="59">
      <c r="A59" s="42" t="inlineStr">
        <is>
          <t>9. Controale</t>
        </is>
      </c>
    </row>
    <row r="60">
      <c r="A60" s="43" t="inlineStr">
        <is>
          <t>Check valoare de intrare</t>
        </is>
      </c>
      <c r="B60" s="43">
        <f>B32</f>
        <v>155250</v>
      </c>
      <c r="C60" s="43" t="str">
        <f>IF(B19="MIXT",IF(ABS(B32-(B13+B30*0.5))&lt;0.01,"OK — include TVA nedeductibilă pe avans","EROARE"),"OK — regim cu deducere integrală, fără TVA capitalizată")</f>
        <v>OK — include TVA nedeductibilă pe avans</v>
      </c>
    </row>
    <row r="61">
      <c r="A61" s="43" t="inlineStr">
        <is>
          <t>Check cele trei limitări</t>
        </is>
      </c>
      <c r="B61" s="43">
        <f>B35+B48+B55+B56+B57</f>
        <v>1702</v>
      </c>
      <c r="C61" s="43" t="str">
        <f>"Nedeductibil lunar total: " &amp; TEXT(B35+B55+B56+B57,"0.00") &amp; " lei (din care amortizare " &amp; TEXT(B35,"0.00") &amp; ")"</f>
        <v>Nedeductibil lunar total: 1429.00 lei (din care amortizare 1087.50)</v>
      </c>
    </row>
    <row r="62">
      <c r="A62" s="43" t="inlineStr">
        <is>
          <t>Check plafon amortizare</t>
        </is>
      </c>
      <c r="B62" s="43">
        <f>B33</f>
        <v>2587.5</v>
      </c>
      <c r="C62" s="43" t="str">
        <f>IF(B33&gt;param_plafon_amo_auto,"ATENȚIE — amortizarea contabilă depășește plafonul de 1.500 lei/lună; diferența e nedeductibilă","OK — sub plafon")</f>
        <v>ATENȚIE — amortizarea contabilă depășește plafonul de 1.500 lei/lună; diferența e nedeductibilă</v>
      </c>
    </row>
    <row r="63">
      <c r="A63" s="43" t="inlineStr">
        <is>
          <t>Reminder: amortizarea NU se limitează cu 50%</t>
        </is>
      </c>
      <c r="B63" s="43" t="str">
        <f>"regulă"</f>
        <v>regulă</v>
      </c>
      <c r="C63" s="43" t="str">
        <f>"Amortizarea are propria plafonare (1.500 lei/lună). Nu se aplică și 50% peste ea — ar fi dublă limitare."</f>
        <v>Amortizarea are propria plafonare (1.500 lei/lună). Nu se aplică și 50% peste ea — ar fi dublă limitare.</v>
      </c>
    </row>
    <row r="64">
      <c r="A64" s="43" t="inlineStr">
        <is>
          <t>Reminder impozit local</t>
        </is>
      </c>
      <c r="B64" s="43" t="str">
        <f>B6</f>
        <v>LF-2026-001</v>
      </c>
      <c r="C64" s="43" t="str">
        <f>"Declarație la primărie în 30 de zile. La leasing financiar, impozitul pe mijlocul de transport e datorat de LOCATAR pe toată durata contractului."</f>
        <v>Declarație la primărie în 30 de zile. La leasing financiar, impozitul pe mijlocul de transport e datorat de LOCATAR pe toată durata contractului.</v>
      </c>
    </row>
    <row r="66">
      <c r="A66" s="42" t="inlineStr">
        <is>
          <t>10. Conturi</t>
        </is>
      </c>
    </row>
    <row r="67">
      <c r="A67" s="43" t="inlineStr">
        <is>
          <t>Cont avans imobilizări</t>
        </is>
      </c>
      <c r="B67" s="64" t="n">
        <v>4093</v>
      </c>
    </row>
    <row r="68">
      <c r="A68" s="43" t="inlineStr">
        <is>
          <t>Cont mijloc fix</t>
        </is>
      </c>
      <c r="B68" s="64" t="n">
        <v>2133</v>
      </c>
    </row>
    <row r="69">
      <c r="A69" s="43" t="inlineStr">
        <is>
          <t>Cont amortizare</t>
        </is>
      </c>
      <c r="B69" s="64" t="n">
        <v>2813</v>
      </c>
    </row>
    <row r="70">
      <c r="A70" s="43" t="inlineStr">
        <is>
          <t>Cont datorie leasing (analitic pe contract)</t>
        </is>
      </c>
      <c r="B70" s="64" t="inlineStr">
        <is>
          <t>167.LF-2026-001</t>
        </is>
      </c>
    </row>
    <row r="71">
      <c r="A71" s="43" t="inlineStr">
        <is>
          <t>Cont furnizor de imobilizări</t>
        </is>
      </c>
      <c r="B71" s="64" t="n">
        <v>404</v>
      </c>
    </row>
    <row r="72">
      <c r="A72" s="43" t="inlineStr">
        <is>
          <t>Cont TVA deductibilă</t>
        </is>
      </c>
      <c r="B72" s="64" t="n">
        <v>4426</v>
      </c>
    </row>
    <row r="73">
      <c r="A73" s="43" t="inlineStr">
        <is>
          <t>Cont dobândă</t>
        </is>
      </c>
      <c r="B73" s="64" t="n">
        <v>666</v>
      </c>
    </row>
    <row r="74">
      <c r="A74" s="43" t="inlineStr">
        <is>
          <t>Cont comision</t>
        </is>
      </c>
      <c r="B74" s="64" t="n">
        <v>628</v>
      </c>
      <c r="C74" s="44" t="inlineStr">
        <is>
          <t>Poate fi și 627 — fii consecvent cu politica firmei</t>
        </is>
      </c>
    </row>
    <row r="75">
      <c r="A75" s="43" t="inlineStr">
        <is>
          <t>Cont primă de asigurare</t>
        </is>
      </c>
      <c r="B75" s="64" t="n">
        <v>613</v>
      </c>
    </row>
    <row r="76">
      <c r="A76" s="43" t="inlineStr">
        <is>
          <t>Cont dobândă nedeductibilă</t>
        </is>
      </c>
      <c r="B76" s="64" t="inlineStr">
        <is>
          <t>666.NED</t>
        </is>
      </c>
    </row>
    <row r="77">
      <c r="A77" s="43" t="inlineStr">
        <is>
          <t>Cont comision nedeductibil</t>
        </is>
      </c>
      <c r="B77" s="64" t="inlineStr">
        <is>
          <t>628.NED</t>
        </is>
      </c>
    </row>
    <row r="78">
      <c r="A78" s="43" t="inlineStr">
        <is>
          <t>Cont CASCO nedeductibil</t>
        </is>
      </c>
      <c r="B78" s="64" t="inlineStr">
        <is>
          <t>613.NED</t>
        </is>
      </c>
      <c r="C78" s="44" t="inlineStr">
        <is>
          <t>⚠ NU 615 — acela e cheltuieli cu pregătirea personalului</t>
        </is>
      </c>
    </row>
    <row r="79">
      <c r="A79" s="43" t="inlineStr">
        <is>
          <t>Cont cheltuială pentru TVA nededusă pe rată</t>
        </is>
      </c>
      <c r="B79" s="64" t="n">
        <v>6588</v>
      </c>
    </row>
    <row r="80">
      <c r="A80" s="43" t="inlineStr">
        <is>
          <t>Cont cheltuială cu amortizarea</t>
        </is>
      </c>
      <c r="B80" s="64" t="n">
        <v>6811</v>
      </c>
    </row>
    <row r="82">
      <c r="A82" s="42" t="inlineStr">
        <is>
          <t>11. Sufix generat</t>
        </is>
      </c>
    </row>
    <row r="83">
      <c r="A83" s="43" t="inlineStr">
        <is>
          <t>Sufix</t>
        </is>
      </c>
      <c r="B83" s="43" t="str">
        <f>"— leasing " &amp; B6 &amp; " " &amp; B7</f>
        <v>— leasing LF-2026-001 2026-07</v>
      </c>
    </row>
    <row r="85">
      <c r="A85" s="43" t="inlineStr">
        <is>
          <t>Modul activ în CatalogModule?</t>
        </is>
      </c>
      <c r="B85" s="43" t="str">
        <f>IF(INDEX(CatalogModule!$A$1:$A$200,MATCH("MOD_LEASING_FIN",CatalogModule!$B$1:$B$200,0))="DA","ACTIV — jurnalele se generează","INACTIV — jurnalele rămân goale")</f>
        <v>INACTIV — jurnalele rămân goale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0" customWidth="1" style="40" min="1" max="1"/>
    <col width="18" customWidth="1" style="40" min="2" max="2"/>
    <col width="18" customWidth="1" style="40" min="3" max="3"/>
    <col width="36" customWidth="1" style="40" min="4" max="4"/>
    <col width="26" customWidth="1" style="40" min="5" max="5"/>
    <col width="60" customWidth="1" style="40" min="6" max="6"/>
  </cols>
  <sheetData>
    <row r="1">
      <c r="A1" s="41" t="inlineStr">
        <is>
          <t>MOD_LEASING_FIN — Reguli (tabele fixe)</t>
        </is>
      </c>
    </row>
    <row r="2">
      <c r="A2" s="44" t="inlineStr">
        <is>
          <t>Se editează doar când se schimbă legea.</t>
        </is>
      </c>
    </row>
    <row r="4">
      <c r="A4" s="42" t="inlineStr">
        <is>
          <t>Tabel A — Cele trei limitări fiscale (se aplică simultan, pe baze diferite)</t>
        </is>
      </c>
    </row>
    <row r="5">
      <c r="A5" s="65" t="inlineStr">
        <is>
          <t>#</t>
        </is>
      </c>
      <c r="B5" s="65" t="inlineStr">
        <is>
          <t>Limitare</t>
        </is>
      </c>
      <c r="C5" s="65" t="inlineStr">
        <is>
          <t>Bază de aplicare</t>
        </is>
      </c>
      <c r="D5" s="65" t="inlineStr">
        <is>
          <t>Procent / plafon</t>
        </is>
      </c>
      <c r="E5" s="65" t="inlineStr">
        <is>
          <t>Temei</t>
        </is>
      </c>
      <c r="F5" s="65" t="inlineStr">
        <is>
          <t>Observație</t>
        </is>
      </c>
    </row>
    <row r="6">
      <c r="A6" s="43" t="inlineStr">
        <is>
          <t>1</t>
        </is>
      </c>
      <c r="B6" s="43" t="inlineStr">
        <is>
          <t>TVA deductibilă</t>
        </is>
      </c>
      <c r="C6" s="43" t="inlineStr">
        <is>
          <t>TVA de pe TOATE facturile aferente vehiculului</t>
        </is>
      </c>
      <c r="D6" s="43" t="inlineStr">
        <is>
          <t>50%</t>
        </is>
      </c>
      <c r="E6" s="43" t="inlineStr">
        <is>
          <t>art. 298 CF</t>
        </is>
      </c>
      <c r="F6" s="43" t="inlineStr">
        <is>
          <t>Inclusiv avansul și factura lunară</t>
        </is>
      </c>
    </row>
    <row r="7">
      <c r="A7" s="43" t="inlineStr">
        <is>
          <t>2</t>
        </is>
      </c>
      <c r="B7" s="43" t="inlineStr">
        <is>
          <t>Cheltuieli deductibile</t>
        </is>
      </c>
      <c r="C7" s="43" t="inlineStr">
        <is>
          <t>combustibil, întreținere, piese, chirii, asigurări, dobânzi, comisioane, diferențe de curs, INCLUSIV TVA nedeductibilă trecută pe cheltuială</t>
        </is>
      </c>
      <c r="D7" s="43" t="inlineStr">
        <is>
          <t>50%</t>
        </is>
      </c>
      <c r="E7" s="43" t="inlineStr">
        <is>
          <t>art. 25 alin. (3) lit. l) CF</t>
        </is>
      </c>
      <c r="F7" s="43" t="inlineStr">
        <is>
          <t>Deductibilitate limitată la UN SINGUR autoturism per persoană cu funcție de conducere (art. 25 alin. 3 lit. m)</t>
        </is>
      </c>
    </row>
    <row r="8">
      <c r="A8" s="43" t="inlineStr">
        <is>
          <t>3</t>
        </is>
      </c>
      <c r="B8" s="43" t="inlineStr">
        <is>
          <t>Amortizare</t>
        </is>
      </c>
      <c r="C8" s="43" t="inlineStr">
        <is>
          <t>amortizarea contabilă a fiecărui autoturism</t>
        </is>
      </c>
      <c r="D8" s="43" t="inlineStr">
        <is>
          <t>max. 1.500 lei/lună</t>
        </is>
      </c>
      <c r="E8" s="43" t="inlineStr">
        <is>
          <t>art. 28 alin. (14) CF</t>
        </is>
      </c>
      <c r="F8" s="43" t="inlineStr">
        <is>
          <t>⚠ NU intră sub limitarea de 50% — cele două nu se cumulează</t>
        </is>
      </c>
    </row>
    <row r="10">
      <c r="A10" s="42" t="inlineStr">
        <is>
          <t>Tabel B — Operațional vs. financiar</t>
        </is>
      </c>
    </row>
    <row r="11">
      <c r="A11" s="65" t="inlineStr">
        <is>
          <t>Criteriu</t>
        </is>
      </c>
      <c r="B11" s="65" t="inlineStr">
        <is>
          <t>Operațional</t>
        </is>
      </c>
      <c r="C11" s="65" t="inlineStr">
        <is>
          <t>Financiar</t>
        </is>
      </c>
      <c r="D11" s="65" t="inlineStr"/>
      <c r="E11" s="65" t="inlineStr"/>
      <c r="F11" s="65" t="inlineStr">
        <is>
          <t>Observație</t>
        </is>
      </c>
    </row>
    <row r="12">
      <c r="A12" s="43" t="inlineStr">
        <is>
          <t>Bunul în bilanț</t>
        </is>
      </c>
      <c r="B12" s="43" t="inlineStr">
        <is>
          <t>NU — rămâne la locator</t>
        </is>
      </c>
      <c r="C12" s="43" t="inlineStr">
        <is>
          <t>DA — 2133</t>
        </is>
      </c>
      <c r="D12" s="43" t="inlineStr"/>
      <c r="E12" s="43" t="inlineStr"/>
      <c r="F12" s="43" t="inlineStr"/>
    </row>
    <row r="13">
      <c r="A13" s="43" t="inlineStr">
        <is>
          <t>Datoria</t>
        </is>
      </c>
      <c r="B13" s="43" t="inlineStr">
        <is>
          <t>nu se înregistrează</t>
        </is>
      </c>
      <c r="C13" s="43" t="inlineStr">
        <is>
          <t>167</t>
        </is>
      </c>
      <c r="D13" s="43" t="inlineStr"/>
      <c r="E13" s="43" t="inlineStr"/>
      <c r="F13" s="43" t="inlineStr">
        <is>
          <t>167 e 1:1 cu contractul (C-19)</t>
        </is>
      </c>
    </row>
    <row r="14">
      <c r="A14" s="43" t="inlineStr">
        <is>
          <t>Cheltuiala lunară</t>
        </is>
      </c>
      <c r="B14" s="43" t="inlineStr">
        <is>
          <t>612 chirie</t>
        </is>
      </c>
      <c r="C14" s="43" t="inlineStr">
        <is>
          <t>666 dobândă + amortizare</t>
        </is>
      </c>
      <c r="D14" s="43" t="inlineStr"/>
      <c r="E14" s="43" t="inlineStr"/>
      <c r="F14" s="43" t="inlineStr"/>
    </row>
    <row r="15">
      <c r="A15" s="43" t="inlineStr">
        <is>
          <t>Evidență extrabilanțieră</t>
        </is>
      </c>
      <c r="B15" s="43" t="inlineStr">
        <is>
          <t>8036</t>
        </is>
      </c>
      <c r="C15" s="43" t="inlineStr">
        <is>
          <t>—</t>
        </is>
      </c>
      <c r="D15" s="43" t="inlineStr"/>
      <c r="E15" s="43" t="inlineStr"/>
      <c r="F15" s="43" t="inlineStr"/>
    </row>
    <row r="16">
      <c r="A16" s="43" t="inlineStr">
        <is>
          <t>Impozit local</t>
        </is>
      </c>
      <c r="B16" s="43" t="inlineStr">
        <is>
          <t>plătit de locator</t>
        </is>
      </c>
      <c r="C16" s="43" t="inlineStr">
        <is>
          <t>plătit de LOCATAR, pe toată durata</t>
        </is>
      </c>
      <c r="D16" s="43" t="inlineStr"/>
      <c r="E16" s="43" t="inlineStr"/>
      <c r="F16" s="43" t="inlineStr">
        <is>
          <t>Declarație la primărie în 30 de zile</t>
        </is>
      </c>
    </row>
    <row r="17">
      <c r="A17" s="43" t="inlineStr">
        <is>
          <t>Valoarea reziduală</t>
        </is>
      </c>
      <c r="B17" s="43" t="inlineStr">
        <is>
          <t>achiziție nouă la final</t>
        </is>
      </c>
      <c r="C17" s="43" t="inlineStr">
        <is>
          <t>deja capitalizată</t>
        </is>
      </c>
      <c r="D17" s="43" t="inlineStr"/>
      <c r="E17" s="43" t="inlineStr"/>
      <c r="F17" s="43" t="inlineStr">
        <is>
          <t>La operațional, mijlocul fix apare abia la final</t>
        </is>
      </c>
    </row>
    <row r="19">
      <c r="A19" s="42" t="inlineStr">
        <is>
          <t>Tabel C — Excepții de la regimul de 50%</t>
        </is>
      </c>
    </row>
    <row r="20">
      <c r="A20" s="43" t="inlineStr">
        <is>
          <t>Urgență / pază / curierat · agenți de vânzări și achiziții · taxi · închiriere · școli de șoferi · transport de persoane cu plată.</t>
        </is>
      </c>
    </row>
    <row r="21">
      <c r="A21" s="43" t="inlineStr">
        <is>
          <t>Fără documentație (foi de parcurs, decizie internă), regimul prudent și conform este MIXT (50%).</t>
        </is>
      </c>
    </row>
    <row r="23">
      <c r="A23" s="42" t="inlineStr">
        <is>
          <t>Tabel D — Porți de calitate</t>
        </is>
      </c>
    </row>
    <row r="24">
      <c r="A24" s="43" t="inlineStr">
        <is>
          <t>• ΣDr = ΣCr pe fiecare bloc</t>
        </is>
      </c>
    </row>
    <row r="25">
      <c r="A25" s="43" t="inlineStr">
        <is>
          <t>• Valoarea de intrare include TVA nedeductibilă pe avans (taxe nerecuperabile în cost)</t>
        </is>
      </c>
    </row>
    <row r="26">
      <c r="A26" s="43" t="inlineStr">
        <is>
          <t>• Sold 167 pe contract = sold din scadențar, în valuta contractului (C-19)</t>
        </is>
      </c>
    </row>
    <row r="27">
      <c r="A27" s="43" t="inlineStr">
        <is>
          <t>• Avansul 4093 se închide integral în 167 la recepție</t>
        </is>
      </c>
    </row>
    <row r="28">
      <c r="A28" s="43" t="inlineStr">
        <is>
          <t>• Amortizarea contabilă se calculează pe valoarea de intrare COMPLETĂ, nu pe cea din contract</t>
        </is>
      </c>
    </row>
    <row r="29">
      <c r="A29" s="43" t="inlineStr">
        <is>
          <t>• Nedeductibilul lunar = amortizare peste plafon + 50% din dobândă/comision/CASCO</t>
        </is>
      </c>
    </row>
    <row r="30">
      <c r="A30" s="43" t="inlineStr">
        <is>
          <t>• Verifică rata de schimb de pe factură față de scadențar (altfel reevaluarea e greșită)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16" customWidth="1" style="40" min="2" max="2"/>
    <col width="14" customWidth="1" style="40" min="3" max="3"/>
    <col width="50" customWidth="1" style="40" min="4" max="4"/>
    <col width="16" customWidth="1" style="40" min="5" max="5"/>
    <col width="14" customWidth="1" style="40" min="6" max="6"/>
    <col width="50" customWidth="1" style="40" min="7" max="7"/>
  </cols>
  <sheetData>
    <row r="1">
      <c r="A1" s="41" t="inlineStr">
        <is>
          <t>MOD_LEASING_FIN — Jurnale (generate automat)</t>
        </is>
      </c>
    </row>
    <row r="2">
      <c r="A2" s="44" t="inlineStr">
        <is>
          <t>Blocurile 1–4 se rulează o singură dată, la deschiderea contractului. Blocurile 5–8 se rulează lunar.</t>
        </is>
      </c>
    </row>
    <row r="4">
      <c r="A4" s="42" t="inlineStr">
        <is>
          <t>Bloc 1 — Factura de avans</t>
        </is>
      </c>
    </row>
    <row r="5">
      <c r="A5" s="43" t="inlineStr">
        <is>
          <t>Data jurnal:</t>
        </is>
      </c>
      <c r="B5" s="43" t="str">
        <f>Declarații_LEASING_FIN!B8</f>
        <v>2026-07-01</v>
      </c>
    </row>
    <row r="7">
      <c r="A7" s="65" t="inlineStr">
        <is>
          <t>Nr</t>
        </is>
      </c>
      <c r="B7" s="65" t="inlineStr">
        <is>
          <t>Cont Dr</t>
        </is>
      </c>
      <c r="C7" s="65" t="inlineStr">
        <is>
          <t>Sumă Dr</t>
        </is>
      </c>
      <c r="D7" s="65" t="inlineStr">
        <is>
          <t>Descriere Dr</t>
        </is>
      </c>
      <c r="E7" s="65" t="inlineStr">
        <is>
          <t>Cont Cr</t>
        </is>
      </c>
      <c r="F7" s="65" t="inlineStr">
        <is>
          <t>Sumă Cr</t>
        </is>
      </c>
      <c r="G7" s="65" t="inlineStr">
        <is>
          <t>Descriere Cr</t>
        </is>
      </c>
    </row>
    <row r="8">
      <c r="A8" s="43" t="n">
        <v>1</v>
      </c>
      <c r="B8" s="43">
        <f>Declarații_LEASING_FIN!B67</f>
        <v>4093</v>
      </c>
      <c r="C8" s="43">
        <f>Declarații_LEASING_FIN!B14</f>
        <v>50000</v>
      </c>
      <c r="D8" s="43" t="str">
        <f>"Avans leasing " &amp; Declarații_LEASING_FIN!B83</f>
        <v>Avans leasing — leasing LF-2026-001 2026-07</v>
      </c>
      <c r="E8" s="43">
        <f>Declarații_LEASING_FIN!B71</f>
        <v>404</v>
      </c>
      <c r="F8" s="43">
        <f>Declarații_LEASING_FIN!B14</f>
        <v>50000</v>
      </c>
      <c r="G8" s="43" t="str">
        <f>"Datorie societate de leasing — avans " &amp; Declarații_LEASING_FIN!B83</f>
        <v>Datorie societate de leasing — avans — leasing LF-2026-001 2026-07</v>
      </c>
    </row>
    <row r="9">
      <c r="A9" s="43" t="n">
        <v>2</v>
      </c>
      <c r="B9" s="43">
        <f>Declarații_LEASING_FIN!B72</f>
        <v>4426</v>
      </c>
      <c r="C9" s="43">
        <f>Declarații_LEASING_FIN!B30</f>
        <v>10500</v>
      </c>
      <c r="D9" s="43" t="str">
        <f>"TVA pe avans " &amp; Declarații_LEASING_FIN!B83</f>
        <v>TVA pe avans — leasing LF-2026-001 2026-07</v>
      </c>
      <c r="E9" s="43">
        <f>Declarații_LEASING_FIN!B71</f>
        <v>404</v>
      </c>
      <c r="F9" s="43">
        <f>Declarații_LEASING_FIN!B30</f>
        <v>10500</v>
      </c>
      <c r="G9" s="43" t="str">
        <f>"Datorie — TVA avans " &amp; Declarații_LEASING_FIN!B83</f>
        <v>Datorie — TVA avans — leasing LF-2026-001 2026-07</v>
      </c>
    </row>
    <row r="11">
      <c r="A11" s="42" t="inlineStr">
        <is>
          <t>Bloc 2 — TVA nedeductibilă pe avans, capitalizată</t>
        </is>
      </c>
    </row>
    <row r="12">
      <c r="A12" s="65" t="inlineStr">
        <is>
          <t>Nr</t>
        </is>
      </c>
      <c r="B12" s="65" t="inlineStr">
        <is>
          <t>Cont Dr</t>
        </is>
      </c>
      <c r="C12" s="65" t="inlineStr">
        <is>
          <t>Sumă Dr</t>
        </is>
      </c>
      <c r="D12" s="65" t="inlineStr">
        <is>
          <t>Descriere Dr</t>
        </is>
      </c>
      <c r="E12" s="65" t="inlineStr">
        <is>
          <t>Cont Cr</t>
        </is>
      </c>
      <c r="F12" s="65" t="inlineStr">
        <is>
          <t>Sumă Cr</t>
        </is>
      </c>
      <c r="G12" s="65" t="inlineStr">
        <is>
          <t>Descriere Cr</t>
        </is>
      </c>
    </row>
    <row r="13">
      <c r="A13" s="43" t="n">
        <v>1</v>
      </c>
      <c r="B13" s="43">
        <f>Declarații_LEASING_FIN!B68</f>
        <v>2133</v>
      </c>
      <c r="C13" s="43">
        <f>Declarații_LEASING_FIN!B31</f>
        <v>5250</v>
      </c>
      <c r="D13" s="43" t="str">
        <f>"TVA nedeductibilă capitalizată în cost " &amp; Declarații_LEASING_FIN!B83</f>
        <v>TVA nedeductibilă capitalizată în cost — leasing LF-2026-001 2026-07</v>
      </c>
      <c r="E13" s="43">
        <f>Declarații_LEASING_FIN!B72</f>
        <v>4426</v>
      </c>
      <c r="F13" s="43">
        <f>Declarații_LEASING_FIN!B31</f>
        <v>5250</v>
      </c>
      <c r="G13" s="43" t="str">
        <f>"Stingere TVA nedeductibilă " &amp; Declarații_LEASING_FIN!B83</f>
        <v>Stingere TVA nedeductibilă — leasing LF-2026-001 2026-07</v>
      </c>
    </row>
    <row r="15">
      <c r="A15" s="42" t="inlineStr">
        <is>
          <t>Bloc 3 — Recepția bunului și nașterea datoriei</t>
        </is>
      </c>
    </row>
    <row r="16">
      <c r="A16" s="43" t="inlineStr">
        <is>
          <t>Data jurnal:</t>
        </is>
      </c>
      <c r="B16" s="43" t="str">
        <f>Declarații_LEASING_FIN!B9</f>
        <v>2026-07-10</v>
      </c>
    </row>
    <row r="18">
      <c r="A18" s="65" t="inlineStr">
        <is>
          <t>Nr</t>
        </is>
      </c>
      <c r="B18" s="65" t="inlineStr">
        <is>
          <t>Cont Dr</t>
        </is>
      </c>
      <c r="C18" s="65" t="inlineStr">
        <is>
          <t>Sumă Dr</t>
        </is>
      </c>
      <c r="D18" s="65" t="inlineStr">
        <is>
          <t>Descriere Dr</t>
        </is>
      </c>
      <c r="E18" s="65" t="inlineStr">
        <is>
          <t>Cont Cr</t>
        </is>
      </c>
      <c r="F18" s="65" t="inlineStr">
        <is>
          <t>Sumă Cr</t>
        </is>
      </c>
      <c r="G18" s="65" t="inlineStr">
        <is>
          <t>Descriere Cr</t>
        </is>
      </c>
    </row>
    <row r="19">
      <c r="A19" s="43" t="n">
        <v>1</v>
      </c>
      <c r="B19" s="43">
        <f>Declarații_LEASING_FIN!B68</f>
        <v>2133</v>
      </c>
      <c r="C19" s="43">
        <f>Declarații_LEASING_FIN!B13</f>
        <v>150000</v>
      </c>
      <c r="D19" s="43" t="str">
        <f>"Intrare autoturism în patrimoniu " &amp; Declarații_LEASING_FIN!B83</f>
        <v>Intrare autoturism în patrimoniu — leasing LF-2026-001 2026-07</v>
      </c>
      <c r="E19" s="43" t="str">
        <f>Declarații_LEASING_FIN!B70</f>
        <v>167.LF-2026-001</v>
      </c>
      <c r="F19" s="43">
        <f>Declarații_LEASING_FIN!B13</f>
        <v>150000</v>
      </c>
      <c r="G19" s="43" t="str">
        <f>"Datorie leasing financiar " &amp; Declarații_LEASING_FIN!B83</f>
        <v>Datorie leasing financiar — leasing LF-2026-001 2026-07</v>
      </c>
    </row>
    <row r="21">
      <c r="A21" s="42" t="inlineStr">
        <is>
          <t>Bloc 4 — Închiderea avansului</t>
        </is>
      </c>
    </row>
    <row r="22">
      <c r="A22" s="65" t="inlineStr">
        <is>
          <t>Nr</t>
        </is>
      </c>
      <c r="B22" s="65" t="inlineStr">
        <is>
          <t>Cont Dr</t>
        </is>
      </c>
      <c r="C22" s="65" t="inlineStr">
        <is>
          <t>Sumă Dr</t>
        </is>
      </c>
      <c r="D22" s="65" t="inlineStr">
        <is>
          <t>Descriere Dr</t>
        </is>
      </c>
      <c r="E22" s="65" t="inlineStr">
        <is>
          <t>Cont Cr</t>
        </is>
      </c>
      <c r="F22" s="65" t="inlineStr">
        <is>
          <t>Sumă Cr</t>
        </is>
      </c>
      <c r="G22" s="65" t="inlineStr">
        <is>
          <t>Descriere Cr</t>
        </is>
      </c>
    </row>
    <row r="23">
      <c r="A23" s="43" t="n">
        <v>1</v>
      </c>
      <c r="B23" s="43" t="str">
        <f>Declarații_LEASING_FIN!B70</f>
        <v>167.LF-2026-001</v>
      </c>
      <c r="C23" s="43">
        <f>Declarații_LEASING_FIN!B14</f>
        <v>50000</v>
      </c>
      <c r="D23" s="43" t="str">
        <f>"Închidere avans în datoria de leasing " &amp; Declarații_LEASING_FIN!B83</f>
        <v>Închidere avans în datoria de leasing — leasing LF-2026-001 2026-07</v>
      </c>
      <c r="E23" s="43">
        <f>Declarații_LEASING_FIN!B67</f>
        <v>4093</v>
      </c>
      <c r="F23" s="43">
        <f>Declarații_LEASING_FIN!B14</f>
        <v>50000</v>
      </c>
      <c r="G23" s="43" t="str">
        <f>"Stingere avans 4093 " &amp; Declarații_LEASING_FIN!B83</f>
        <v>Stingere avans 4093 — leasing LF-2026-001 2026-07</v>
      </c>
    </row>
    <row r="25">
      <c r="A25" s="42" t="inlineStr">
        <is>
          <t>Bloc 5 — Factura lunară de leasing (la valoarea ei, fără split)</t>
        </is>
      </c>
    </row>
    <row r="26">
      <c r="A26" s="43" t="inlineStr">
        <is>
          <t>Data jurnal:</t>
        </is>
      </c>
      <c r="B26" s="43" t="str">
        <f>Declarații_LEASING_FIN!B10</f>
        <v>2026-07-31</v>
      </c>
    </row>
    <row r="28">
      <c r="A28" s="65" t="inlineStr">
        <is>
          <t>Nr</t>
        </is>
      </c>
      <c r="B28" s="65" t="inlineStr">
        <is>
          <t>Cont Dr</t>
        </is>
      </c>
      <c r="C28" s="65" t="inlineStr">
        <is>
          <t>Sumă Dr</t>
        </is>
      </c>
      <c r="D28" s="65" t="inlineStr">
        <is>
          <t>Descriere Dr</t>
        </is>
      </c>
      <c r="E28" s="65" t="inlineStr">
        <is>
          <t>Cont Cr</t>
        </is>
      </c>
      <c r="F28" s="65" t="inlineStr">
        <is>
          <t>Sumă Cr</t>
        </is>
      </c>
      <c r="G28" s="65" t="inlineStr">
        <is>
          <t>Descriere Cr</t>
        </is>
      </c>
    </row>
    <row r="29">
      <c r="A29" s="43" t="n">
        <v>1</v>
      </c>
      <c r="B29" s="43" t="str">
        <f>Declarații_LEASING_FIN!B70</f>
        <v>167.LF-2026-001</v>
      </c>
      <c r="C29" s="43">
        <f>Declarații_LEASING_FIN!B24</f>
        <v>2000</v>
      </c>
      <c r="D29" s="43" t="str">
        <f>"Rata de capital " &amp; Declarații_LEASING_FIN!B83</f>
        <v>Rata de capital — leasing LF-2026-001 2026-07</v>
      </c>
      <c r="E29" s="43">
        <f>Declarații_LEASING_FIN!B71</f>
        <v>404</v>
      </c>
      <c r="F29" s="43">
        <f>Declarații_LEASING_FIN!B24</f>
        <v>2000</v>
      </c>
      <c r="G29" s="43" t="str">
        <f>"Factura lunară — capital " &amp; Declarații_LEASING_FIN!B83</f>
        <v>Factura lunară — capital — leasing LF-2026-001 2026-07</v>
      </c>
    </row>
    <row r="30">
      <c r="A30" s="43" t="n">
        <v>2</v>
      </c>
      <c r="B30" s="43">
        <f>Declarații_LEASING_FIN!B73</f>
        <v>666</v>
      </c>
      <c r="C30" s="43">
        <f>Declarații_LEASING_FIN!B25</f>
        <v>500</v>
      </c>
      <c r="D30" s="43" t="str">
        <f>"Dobândă de leasing " &amp; Declarații_LEASING_FIN!B83</f>
        <v>Dobândă de leasing — leasing LF-2026-001 2026-07</v>
      </c>
      <c r="E30" s="43">
        <f>Declarații_LEASING_FIN!B71</f>
        <v>404</v>
      </c>
      <c r="F30" s="43">
        <f>Declarații_LEASING_FIN!B25</f>
        <v>500</v>
      </c>
      <c r="G30" s="43" t="str">
        <f>"Factura lunară — dobândă " &amp; Declarații_LEASING_FIN!B83</f>
        <v>Factura lunară — dobândă — leasing LF-2026-001 2026-07</v>
      </c>
    </row>
    <row r="31">
      <c r="A31" s="43" t="n">
        <v>3</v>
      </c>
      <c r="B31" s="43">
        <f>Declarații_LEASING_FIN!B74</f>
        <v>628</v>
      </c>
      <c r="C31" s="43">
        <f>Declarații_LEASING_FIN!B26</f>
        <v>100</v>
      </c>
      <c r="D31" s="43" t="str">
        <f>"Comision de administrare " &amp; Declarații_LEASING_FIN!B83</f>
        <v>Comision de administrare — leasing LF-2026-001 2026-07</v>
      </c>
      <c r="E31" s="43">
        <f>Declarații_LEASING_FIN!B71</f>
        <v>404</v>
      </c>
      <c r="F31" s="43">
        <f>Declarații_LEASING_FIN!B26</f>
        <v>100</v>
      </c>
      <c r="G31" s="43" t="str">
        <f>"Factura lunară — comision " &amp; Declarații_LEASING_FIN!B83</f>
        <v>Factura lunară — comision — leasing LF-2026-001 2026-07</v>
      </c>
    </row>
    <row r="32">
      <c r="A32" s="43" t="n">
        <v>4</v>
      </c>
      <c r="B32" s="43">
        <f>Declarații_LEASING_FIN!B75</f>
        <v>613</v>
      </c>
      <c r="C32" s="43">
        <f>Declarații_LEASING_FIN!B27</f>
        <v>20</v>
      </c>
      <c r="D32" s="43" t="str">
        <f>"Primă CASCO " &amp; Declarații_LEASING_FIN!B83</f>
        <v>Primă CASCO — leasing LF-2026-001 2026-07</v>
      </c>
      <c r="E32" s="43">
        <f>Declarații_LEASING_FIN!B71</f>
        <v>404</v>
      </c>
      <c r="F32" s="43">
        <f>Declarații_LEASING_FIN!B27</f>
        <v>20</v>
      </c>
      <c r="G32" s="43" t="str">
        <f>"Factura lunară — CASCO " &amp; Declarații_LEASING_FIN!B83</f>
        <v>Factura lunară — CASCO — leasing LF-2026-001 2026-07</v>
      </c>
    </row>
    <row r="33">
      <c r="A33" s="43" t="n">
        <v>5</v>
      </c>
      <c r="B33" s="43">
        <f>Declarații_LEASING_FIN!B72</f>
        <v>4426</v>
      </c>
      <c r="C33" s="43">
        <f>Declarații_LEASING_FIN!B41</f>
        <v>546</v>
      </c>
      <c r="D33" s="43" t="str">
        <f>"TVA pe factura de leasing " &amp; Declarații_LEASING_FIN!B83</f>
        <v>TVA pe factura de leasing — leasing LF-2026-001 2026-07</v>
      </c>
      <c r="E33" s="43">
        <f>Declarații_LEASING_FIN!B71</f>
        <v>404</v>
      </c>
      <c r="F33" s="43">
        <f>Declarații_LEASING_FIN!B41</f>
        <v>546</v>
      </c>
      <c r="G33" s="43" t="str">
        <f>"Factura lunară — TVA " &amp; Declarații_LEASING_FIN!B83</f>
        <v>Factura lunară — TVA — leasing LF-2026-001 2026-07</v>
      </c>
    </row>
    <row r="35">
      <c r="A35" s="42" t="inlineStr">
        <is>
          <t>Bloc 6 — Corecția TVA nedeductibilă (limitarea 1: 50%)</t>
        </is>
      </c>
    </row>
    <row r="36">
      <c r="A36" s="65" t="inlineStr">
        <is>
          <t>Nr</t>
        </is>
      </c>
      <c r="B36" s="65" t="inlineStr">
        <is>
          <t>Cont Dr</t>
        </is>
      </c>
      <c r="C36" s="65" t="inlineStr">
        <is>
          <t>Sumă Dr</t>
        </is>
      </c>
      <c r="D36" s="65" t="inlineStr">
        <is>
          <t>Descriere Dr</t>
        </is>
      </c>
      <c r="E36" s="65" t="inlineStr">
        <is>
          <t>Cont Cr</t>
        </is>
      </c>
      <c r="F36" s="65" t="inlineStr">
        <is>
          <t>Sumă Cr</t>
        </is>
      </c>
      <c r="G36" s="65" t="inlineStr">
        <is>
          <t>Descriere Cr</t>
        </is>
      </c>
    </row>
    <row r="37">
      <c r="A37" s="43" t="n">
        <v>1</v>
      </c>
      <c r="B37" s="43">
        <f>IF(Declarații_LEASING_FIN!B21="CAPITALIZEAZA",Declarații_LEASING_FIN!B68,Declarații_LEASING_FIN!B79)</f>
        <v>2133</v>
      </c>
      <c r="C37" s="43">
        <f>Declarații_LEASING_FIN!B45</f>
        <v>210</v>
      </c>
      <c r="D37" s="43" t="str">
        <f>"TVA nededusă pe rata de capital — " &amp; IF(Declarații_LEASING_FIN!B21="CAPITALIZEAZA","capitalizată","pe cheltuială") &amp; " " &amp; Declarații_LEASING_FIN!B83</f>
        <v>TVA nededusă pe rata de capital — capitalizată — leasing LF-2026-001 2026-07</v>
      </c>
      <c r="E37" s="43">
        <f>Declarații_LEASING_FIN!B72</f>
        <v>4426</v>
      </c>
      <c r="F37" s="43">
        <f>Declarații_LEASING_FIN!B45</f>
        <v>210</v>
      </c>
      <c r="G37" s="43" t="str">
        <f>"Stingere TVA nededusă — rată " &amp; Declarații_LEASING_FIN!B83</f>
        <v>Stingere TVA nededusă — rată — leasing LF-2026-001 2026-07</v>
      </c>
    </row>
    <row r="38">
      <c r="A38" s="43" t="n">
        <v>2</v>
      </c>
      <c r="B38" s="43">
        <f>Declarații_LEASING_FIN!B73</f>
        <v>666</v>
      </c>
      <c r="C38" s="43">
        <f>Declarații_LEASING_FIN!B46</f>
        <v>52.5</v>
      </c>
      <c r="D38" s="43" t="str">
        <f>"TVA nededusă pe dobândă " &amp; Declarații_LEASING_FIN!B83</f>
        <v>TVA nededusă pe dobândă — leasing LF-2026-001 2026-07</v>
      </c>
      <c r="E38" s="43">
        <f>Declarații_LEASING_FIN!B72</f>
        <v>4426</v>
      </c>
      <c r="F38" s="43">
        <f>Declarații_LEASING_FIN!B46</f>
        <v>52.5</v>
      </c>
      <c r="G38" s="43" t="str">
        <f>"Stingere TVA nededusă — dobândă " &amp; Declarații_LEASING_FIN!B83</f>
        <v>Stingere TVA nededusă — dobândă — leasing LF-2026-001 2026-07</v>
      </c>
    </row>
    <row r="39">
      <c r="A39" s="43" t="n">
        <v>3</v>
      </c>
      <c r="B39" s="43">
        <f>Declarații_LEASING_FIN!B74</f>
        <v>628</v>
      </c>
      <c r="C39" s="43">
        <f>Declarații_LEASING_FIN!B47</f>
        <v>10.5</v>
      </c>
      <c r="D39" s="43" t="str">
        <f>"TVA nededusă pe comision " &amp; Declarații_LEASING_FIN!B83</f>
        <v>TVA nededusă pe comision — leasing LF-2026-001 2026-07</v>
      </c>
      <c r="E39" s="43">
        <f>Declarații_LEASING_FIN!B72</f>
        <v>4426</v>
      </c>
      <c r="F39" s="43">
        <f>Declarații_LEASING_FIN!B47</f>
        <v>10.5</v>
      </c>
      <c r="G39" s="43" t="str">
        <f>"Stingere TVA nededusă — comision " &amp; Declarații_LEASING_FIN!B83</f>
        <v>Stingere TVA nededusă — comision — leasing LF-2026-001 2026-07</v>
      </c>
    </row>
    <row r="41">
      <c r="A41" s="42" t="inlineStr">
        <is>
          <t>Bloc 7 — Limitarea de 50% a cheltuielilor (limitarea 2)</t>
        </is>
      </c>
    </row>
    <row r="42">
      <c r="A42" s="44" t="inlineStr">
        <is>
          <t>Reclasificare pe analitice nedeductibile. Amortizarea NU apare aici.</t>
        </is>
      </c>
    </row>
    <row r="43">
      <c r="A43" s="65" t="inlineStr">
        <is>
          <t>Nr</t>
        </is>
      </c>
      <c r="B43" s="65" t="inlineStr">
        <is>
          <t>Cont Dr</t>
        </is>
      </c>
      <c r="C43" s="65" t="inlineStr">
        <is>
          <t>Sumă Dr</t>
        </is>
      </c>
      <c r="D43" s="65" t="inlineStr">
        <is>
          <t>Descriere Dr</t>
        </is>
      </c>
      <c r="E43" s="65" t="inlineStr">
        <is>
          <t>Cont Cr</t>
        </is>
      </c>
      <c r="F43" s="65" t="inlineStr">
        <is>
          <t>Sumă Cr</t>
        </is>
      </c>
      <c r="G43" s="65" t="inlineStr">
        <is>
          <t>Descriere Cr</t>
        </is>
      </c>
    </row>
    <row r="44">
      <c r="A44" s="43" t="n">
        <v>1</v>
      </c>
      <c r="B44" s="43" t="str">
        <f>Declarații_LEASING_FIN!B76</f>
        <v>666.NED</v>
      </c>
      <c r="C44" s="43">
        <f>Declarații_LEASING_FIN!B55</f>
        <v>276.25</v>
      </c>
      <c r="D44" s="43" t="str">
        <f>"Dobândă nedeductibilă 50% " &amp; Declarații_LEASING_FIN!B83</f>
        <v>Dobândă nedeductibilă 50% — leasing LF-2026-001 2026-07</v>
      </c>
      <c r="E44" s="43">
        <f>Declarații_LEASING_FIN!B73</f>
        <v>666</v>
      </c>
      <c r="F44" s="43">
        <f>Declarații_LEASING_FIN!B55</f>
        <v>276.25</v>
      </c>
      <c r="G44" s="43" t="str">
        <f>"Reclasificare din 666 " &amp; Declarații_LEASING_FIN!B83</f>
        <v>Reclasificare din 666 — leasing LF-2026-001 2026-07</v>
      </c>
    </row>
    <row r="45">
      <c r="A45" s="43" t="n">
        <v>2</v>
      </c>
      <c r="B45" s="43" t="str">
        <f>Declarații_LEASING_FIN!B77</f>
        <v>628.NED</v>
      </c>
      <c r="C45" s="43">
        <f>Declarații_LEASING_FIN!B56</f>
        <v>55.25</v>
      </c>
      <c r="D45" s="43" t="str">
        <f>"Comision nedeductibil 50% " &amp; Declarații_LEASING_FIN!B83</f>
        <v>Comision nedeductibil 50% — leasing LF-2026-001 2026-07</v>
      </c>
      <c r="E45" s="43">
        <f>Declarații_LEASING_FIN!B74</f>
        <v>628</v>
      </c>
      <c r="F45" s="43">
        <f>Declarații_LEASING_FIN!B56</f>
        <v>55.25</v>
      </c>
      <c r="G45" s="43" t="str">
        <f>"Reclasificare din 628 " &amp; Declarații_LEASING_FIN!B83</f>
        <v>Reclasificare din 628 — leasing LF-2026-001 2026-07</v>
      </c>
    </row>
    <row r="46">
      <c r="A46" s="43" t="n">
        <v>3</v>
      </c>
      <c r="B46" s="43" t="str">
        <f>Declarații_LEASING_FIN!B78</f>
        <v>613.NED</v>
      </c>
      <c r="C46" s="43">
        <f>Declarații_LEASING_FIN!B57</f>
        <v>10</v>
      </c>
      <c r="D46" s="43" t="str">
        <f>"CASCO nedeductibil 50% " &amp; Declarații_LEASING_FIN!B83</f>
        <v>CASCO nedeductibil 50% — leasing LF-2026-001 2026-07</v>
      </c>
      <c r="E46" s="43">
        <f>Declarații_LEASING_FIN!B75</f>
        <v>613</v>
      </c>
      <c r="F46" s="43">
        <f>Declarații_LEASING_FIN!B57</f>
        <v>10</v>
      </c>
      <c r="G46" s="43" t="str">
        <f>"Reclasificare din 613 (NU 615) " &amp; Declarații_LEASING_FIN!B83</f>
        <v>Reclasificare din 613 (NU 615) — leasing LF-2026-001 2026-07</v>
      </c>
    </row>
    <row r="48">
      <c r="A48" s="42" t="inlineStr">
        <is>
          <t>Bloc 8 — Amortizarea lunară (limitarea 3: plafon 1.500 lei/lună)</t>
        </is>
      </c>
    </row>
    <row r="49">
      <c r="A49" s="65" t="inlineStr">
        <is>
          <t>Nr</t>
        </is>
      </c>
      <c r="B49" s="65" t="inlineStr">
        <is>
          <t>Cont Dr</t>
        </is>
      </c>
      <c r="C49" s="65" t="inlineStr">
        <is>
          <t>Sumă Dr</t>
        </is>
      </c>
      <c r="D49" s="65" t="inlineStr">
        <is>
          <t>Descriere Dr</t>
        </is>
      </c>
      <c r="E49" s="65" t="inlineStr">
        <is>
          <t>Cont Cr</t>
        </is>
      </c>
      <c r="F49" s="65" t="inlineStr">
        <is>
          <t>Sumă Cr</t>
        </is>
      </c>
      <c r="G49" s="65" t="inlineStr">
        <is>
          <t>Descriere Cr</t>
        </is>
      </c>
    </row>
    <row r="50">
      <c r="A50" s="43" t="n">
        <v>1</v>
      </c>
      <c r="B50" s="43">
        <f>Declarații_LEASING_FIN!B80</f>
        <v>6811</v>
      </c>
      <c r="C50" s="43">
        <f>Declarații_LEASING_FIN!B33</f>
        <v>2587.5</v>
      </c>
      <c r="D50" s="43" t="str">
        <f>"Amortizare contabilă (din care nedeductibil " &amp; TEXT(Declarații_LEASING_FIN!B35,"0.00") &amp; " lei) " &amp; Declarații_LEASING_FIN!B83</f>
        <v>Amortizare contabilă (din care nedeductibil 1087.50 lei) — leasing LF-2026-001 2026-07</v>
      </c>
      <c r="E50" s="43">
        <f>Declarații_LEASING_FIN!B69</f>
        <v>2813</v>
      </c>
      <c r="F50" s="43">
        <f>Declarații_LEASING_FIN!B33</f>
        <v>2587.5</v>
      </c>
      <c r="G50" s="43" t="str">
        <f>"Amortizare cumulată " &amp; Declarații_LEASING_FIN!B83</f>
        <v>Amortizare cumulată — leasing LF-2026-001 2026-07</v>
      </c>
    </row>
    <row r="52">
      <c r="A52" s="42" t="inlineStr">
        <is>
          <t>Sumar și controale</t>
        </is>
      </c>
    </row>
    <row r="53">
      <c r="A53" s="43" t="inlineStr">
        <is>
          <t>Total Dr</t>
        </is>
      </c>
      <c r="B53" s="43">
        <f>C8+C9+C13+C19+C23+C29+C30+C31+C32+C33+C37+C38+C39+C44+C45+C46+C50</f>
        <v>272118</v>
      </c>
    </row>
    <row r="54">
      <c r="A54" s="43" t="inlineStr">
        <is>
          <t>Total Cr</t>
        </is>
      </c>
      <c r="B54" s="43">
        <f>F8+F9+F13+F19+F23+F29+F30+F31+F32+F33+F37+F38+F39+F44+F45+F46+F50</f>
        <v>272118</v>
      </c>
    </row>
    <row r="55">
      <c r="A55" s="43" t="inlineStr">
        <is>
          <t>Check Σ (structural)</t>
        </is>
      </c>
      <c r="B55" s="43">
        <f>B53-B54</f>
        <v>0</v>
      </c>
      <c r="C55" s="43" t="str">
        <f>IF(ABS(B53-B54)&lt;0.01,"OK — notele se închid","EROARE")</f>
        <v>OK — notele se închid</v>
      </c>
    </row>
    <row r="56">
      <c r="A56" s="43" t="inlineStr">
        <is>
          <t>Check valoare de intrare a mijlocului fix</t>
        </is>
      </c>
      <c r="B56" s="43">
        <f>C13+C19-Declarații_LEASING_FIN!B32</f>
        <v>0</v>
      </c>
      <c r="C56" s="43" t="str">
        <f>IF(ABS(C13+C19-Declarații_LEASING_FIN!B32)&lt;0.01,"OK — 2133 = valoare contract + TVA nedeductibilă pe avans","EROARE")</f>
        <v>OK — 2133 = valoare contract + TVA nedeductibilă pe avans</v>
      </c>
    </row>
    <row r="57">
      <c r="A57" s="43" t="inlineStr">
        <is>
          <t>Check stingere avans (C-19)</t>
        </is>
      </c>
      <c r="B57" s="43">
        <f>C8-C23</f>
        <v>0</v>
      </c>
      <c r="C57" s="43" t="str">
        <f>IF(ABS(C8-C23)&lt;0.01,"OK — 4093 se închide integral în 167","EROARE — avansul rămâne cu sold")</f>
        <v>OK — 4093 se închide integral în 167</v>
      </c>
    </row>
    <row r="58">
      <c r="A58" s="43" t="inlineStr">
        <is>
          <t>Check TVA de pe factura lunară</t>
        </is>
      </c>
      <c r="B58" s="43">
        <f>C37+C38+C39-Declarații_LEASING_FIN!B48</f>
        <v>0</v>
      </c>
      <c r="C58" s="43" t="str">
        <f>IF(ABS(C37+C38+C39-Declarații_LEASING_FIN!B48)&lt;0.01,"OK — corecția acoperă exact TVA nedeductibilă","EROARE")</f>
        <v>OK — corecția acoperă exact TVA nedeductibilă</v>
      </c>
    </row>
    <row r="59">
      <c r="A59" s="43" t="inlineStr">
        <is>
          <t>Check limitarea 2 nu atinge amortizarea</t>
        </is>
      </c>
      <c r="B59" s="43">
        <f>C50</f>
        <v>2587.5</v>
      </c>
      <c r="C59" s="43" t="str">
        <f>IF(ABS(C44+C45+C46)&lt;C50,"OK — amortizarea are propria plafonare, nu se limitează cu 50%","VERIFICĂ — sume neobișnuite")</f>
        <v>OK — amortizarea are propria plafonare, nu se limitează cu 50%</v>
      </c>
    </row>
    <row r="60">
      <c r="A60" s="43" t="inlineStr">
        <is>
          <t>Nedeductibil lunar total (informativ)</t>
        </is>
      </c>
      <c r="B60" s="43">
        <f>Declarații_LEASING_FIN!B35+C44+C45+C46</f>
        <v>1429</v>
      </c>
      <c r="C60" s="43" t="str">
        <f>"Din care amortizare peste plafon: " &amp; TEXT(Declarații_LEASING_FIN!B35,"0.00") &amp; " lei"</f>
        <v>Din care amortizare peste plafon: 1087.50 lei</v>
      </c>
    </row>
    <row r="61">
      <c r="A61" s="44" t="inlineStr">
        <is>
          <t>Stare terminală așteptată: sold 4093 = 0; sold 167 pe contract = soldul din scadențar; 2133 = valoarea de intrare completă; nedeductibilul lunar urmărit pentru D101.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36" customWidth="1" style="40" min="2" max="2"/>
    <col width="12" customWidth="1" style="40" min="3" max="3"/>
    <col width="16" customWidth="1" style="40" min="4" max="4"/>
    <col width="16" customWidth="1" style="40" min="5" max="5"/>
    <col width="14" customWidth="1" style="40" min="6" max="6"/>
    <col width="52" customWidth="1" style="40" min="7" max="7"/>
    <col width="30" customWidth="1" style="40" min="8" max="8"/>
    <col width="10" customWidth="1" style="40" min="9" max="9"/>
  </cols>
  <sheetData>
    <row r="1">
      <c r="A1" s="41" t="inlineStr">
        <is>
          <t>MOD_LEASING_FIN — Notă pentru import (1 rând = 1 înregistrare)</t>
        </is>
      </c>
    </row>
    <row r="2">
      <c r="A2" s="44" t="inlineStr">
        <is>
          <t>Blocurile 1–4 se importă o singură dată, la deschiderea contractului. Blocurile 5–8, lunar. Filtrează pe Include = DA.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Bloc 1 — Avans</t>
        </is>
      </c>
      <c r="C5" s="43" t="str">
        <f>Declarații_LEASING_FIN!B8</f>
        <v>2026-07-01</v>
      </c>
      <c r="D5" s="43">
        <f>Jurnale_LEASING_FIN!B8</f>
        <v>4093</v>
      </c>
      <c r="E5" s="43">
        <f>Jurnale_LEASING_FIN!E8</f>
        <v>404</v>
      </c>
      <c r="F5" s="43">
        <f>Jurnale_LEASING_FIN!C8</f>
        <v>50000</v>
      </c>
      <c r="G5" s="43" t="str">
        <f>Jurnale_LEASING_FIN!D8</f>
        <v>Avans leasing — leasing LF-2026-001 2026-07</v>
      </c>
      <c r="H5" s="43" t="inlineStr">
        <is>
          <t>Factură de avans</t>
        </is>
      </c>
      <c r="I5" s="39" t="str">
        <f>IF(F5&gt;0.001,"DA","NU")</f>
        <v>DA</v>
      </c>
    </row>
    <row r="6">
      <c r="A6" s="43" t="n">
        <v>2</v>
      </c>
      <c r="B6" s="43" t="inlineStr">
        <is>
          <t>Bloc 1 — TVA avans</t>
        </is>
      </c>
      <c r="C6" s="43" t="str">
        <f>Declarații_LEASING_FIN!B8</f>
        <v>2026-07-01</v>
      </c>
      <c r="D6" s="43">
        <f>Jurnale_LEASING_FIN!B9</f>
        <v>4426</v>
      </c>
      <c r="E6" s="43">
        <f>Jurnale_LEASING_FIN!E9</f>
        <v>404</v>
      </c>
      <c r="F6" s="43">
        <f>Jurnale_LEASING_FIN!C9</f>
        <v>10500</v>
      </c>
      <c r="G6" s="43" t="str">
        <f>Jurnale_LEASING_FIN!D9</f>
        <v>TVA pe avans — leasing LF-2026-001 2026-07</v>
      </c>
      <c r="H6" s="43" t="inlineStr">
        <is>
          <t>Factură de avans</t>
        </is>
      </c>
      <c r="I6" s="39" t="str">
        <f>IF(F6&gt;0.001,"DA","NU")</f>
        <v>DA</v>
      </c>
    </row>
    <row r="7">
      <c r="A7" s="43" t="n">
        <v>3</v>
      </c>
      <c r="B7" s="43" t="inlineStr">
        <is>
          <t>Bloc 2 — TVA nededusă capitalizată</t>
        </is>
      </c>
      <c r="C7" s="43" t="str">
        <f>Declarații_LEASING_FIN!B8</f>
        <v>2026-07-01</v>
      </c>
      <c r="D7" s="43">
        <f>Jurnale_LEASING_FIN!B13</f>
        <v>2133</v>
      </c>
      <c r="E7" s="43">
        <f>Jurnale_LEASING_FIN!E13</f>
        <v>4426</v>
      </c>
      <c r="F7" s="43">
        <f>Jurnale_LEASING_FIN!C13</f>
        <v>5250</v>
      </c>
      <c r="G7" s="43" t="str">
        <f>Jurnale_LEASING_FIN!D13</f>
        <v>TVA nedeductibilă capitalizată în cost — leasing LF-2026-001 2026-07</v>
      </c>
      <c r="H7" s="43" t="inlineStr">
        <is>
          <t>Notă contabilă</t>
        </is>
      </c>
      <c r="I7" s="39" t="str">
        <f>IF(F7&gt;0.001,"DA","NU")</f>
        <v>DA</v>
      </c>
    </row>
    <row r="8">
      <c r="A8" s="43" t="n">
        <v>4</v>
      </c>
      <c r="B8" s="43" t="inlineStr">
        <is>
          <t>Bloc 3 — Intrare + 167</t>
        </is>
      </c>
      <c r="C8" s="43" t="str">
        <f>Declarații_LEASING_FIN!B9</f>
        <v>2026-07-10</v>
      </c>
      <c r="D8" s="43">
        <f>Jurnale_LEASING_FIN!B19</f>
        <v>2133</v>
      </c>
      <c r="E8" s="43" t="str">
        <f>Jurnale_LEASING_FIN!E19</f>
        <v>167.LF-2026-001</v>
      </c>
      <c r="F8" s="43">
        <f>Jurnale_LEASING_FIN!C19</f>
        <v>150000</v>
      </c>
      <c r="G8" s="43" t="str">
        <f>Jurnale_LEASING_FIN!D19</f>
        <v>Intrare autoturism în patrimoniu — leasing LF-2026-001 2026-07</v>
      </c>
      <c r="H8" s="43" t="inlineStr">
        <is>
          <t>Proces-verbal de recepție</t>
        </is>
      </c>
      <c r="I8" s="39" t="str">
        <f>IF(F8&gt;0.001,"DA","NU")</f>
        <v>DA</v>
      </c>
    </row>
    <row r="9">
      <c r="A9" s="43" t="n">
        <v>5</v>
      </c>
      <c r="B9" s="43" t="inlineStr">
        <is>
          <t>Bloc 4 — Stingere avans</t>
        </is>
      </c>
      <c r="C9" s="43" t="str">
        <f>Declarații_LEASING_FIN!B9</f>
        <v>2026-07-10</v>
      </c>
      <c r="D9" s="43" t="str">
        <f>Jurnale_LEASING_FIN!B23</f>
        <v>167.LF-2026-001</v>
      </c>
      <c r="E9" s="43">
        <f>Jurnale_LEASING_FIN!E23</f>
        <v>4093</v>
      </c>
      <c r="F9" s="43">
        <f>Jurnale_LEASING_FIN!C23</f>
        <v>50000</v>
      </c>
      <c r="G9" s="43" t="str">
        <f>Jurnale_LEASING_FIN!D23</f>
        <v>Închidere avans în datoria de leasing — leasing LF-2026-001 2026-07</v>
      </c>
      <c r="H9" s="43" t="inlineStr">
        <is>
          <t>Notă contabilă</t>
        </is>
      </c>
      <c r="I9" s="39" t="str">
        <f>IF(F9&gt;0.001,"DA","NU")</f>
        <v>DA</v>
      </c>
    </row>
    <row r="10">
      <c r="A10" s="43" t="n">
        <v>6</v>
      </c>
      <c r="B10" s="43" t="inlineStr">
        <is>
          <t>Bloc 5 — Rata de capital</t>
        </is>
      </c>
      <c r="C10" s="43" t="str">
        <f>Declarații_LEASING_FIN!B10</f>
        <v>2026-07-31</v>
      </c>
      <c r="D10" s="43" t="str">
        <f>Jurnale_LEASING_FIN!B29</f>
        <v>167.LF-2026-001</v>
      </c>
      <c r="E10" s="43">
        <f>Jurnale_LEASING_FIN!E29</f>
        <v>404</v>
      </c>
      <c r="F10" s="43">
        <f>Jurnale_LEASING_FIN!C29</f>
        <v>2000</v>
      </c>
      <c r="G10" s="43" t="str">
        <f>Jurnale_LEASING_FIN!D29</f>
        <v>Rata de capital — leasing LF-2026-001 2026-07</v>
      </c>
      <c r="H10" s="43" t="inlineStr">
        <is>
          <t>Factură lunară</t>
        </is>
      </c>
      <c r="I10" s="39" t="str">
        <f>IF(F10&gt;0.001,"DA","NU")</f>
        <v>DA</v>
      </c>
    </row>
    <row r="11">
      <c r="A11" s="43" t="n">
        <v>7</v>
      </c>
      <c r="B11" s="43" t="inlineStr">
        <is>
          <t>Bloc 5 — Dobândă</t>
        </is>
      </c>
      <c r="C11" s="43" t="str">
        <f>Declarații_LEASING_FIN!B10</f>
        <v>2026-07-31</v>
      </c>
      <c r="D11" s="43">
        <f>Jurnale_LEASING_FIN!B30</f>
        <v>666</v>
      </c>
      <c r="E11" s="43">
        <f>Jurnale_LEASING_FIN!E30</f>
        <v>404</v>
      </c>
      <c r="F11" s="43">
        <f>Jurnale_LEASING_FIN!C30</f>
        <v>500</v>
      </c>
      <c r="G11" s="43" t="str">
        <f>Jurnale_LEASING_FIN!D30</f>
        <v>Dobândă de leasing — leasing LF-2026-001 2026-07</v>
      </c>
      <c r="H11" s="43" t="inlineStr">
        <is>
          <t>Factură lunară</t>
        </is>
      </c>
      <c r="I11" s="39" t="str">
        <f>IF(F11&gt;0.001,"DA","NU")</f>
        <v>DA</v>
      </c>
    </row>
    <row r="12">
      <c r="A12" s="43" t="n">
        <v>8</v>
      </c>
      <c r="B12" s="43" t="inlineStr">
        <is>
          <t>Bloc 5 — Comision</t>
        </is>
      </c>
      <c r="C12" s="43" t="str">
        <f>Declarații_LEASING_FIN!B10</f>
        <v>2026-07-31</v>
      </c>
      <c r="D12" s="43">
        <f>Jurnale_LEASING_FIN!B31</f>
        <v>628</v>
      </c>
      <c r="E12" s="43">
        <f>Jurnale_LEASING_FIN!E31</f>
        <v>404</v>
      </c>
      <c r="F12" s="43">
        <f>Jurnale_LEASING_FIN!C31</f>
        <v>100</v>
      </c>
      <c r="G12" s="43" t="str">
        <f>Jurnale_LEASING_FIN!D31</f>
        <v>Comision de administrare — leasing LF-2026-001 2026-07</v>
      </c>
      <c r="H12" s="43" t="inlineStr">
        <is>
          <t>Factură lunară</t>
        </is>
      </c>
      <c r="I12" s="39" t="str">
        <f>IF(F12&gt;0.001,"DA","NU")</f>
        <v>DA</v>
      </c>
    </row>
    <row r="13">
      <c r="A13" s="43" t="n">
        <v>9</v>
      </c>
      <c r="B13" s="43" t="inlineStr">
        <is>
          <t>Bloc 5 — CASCO</t>
        </is>
      </c>
      <c r="C13" s="43" t="str">
        <f>Declarații_LEASING_FIN!B10</f>
        <v>2026-07-31</v>
      </c>
      <c r="D13" s="43">
        <f>Jurnale_LEASING_FIN!B32</f>
        <v>613</v>
      </c>
      <c r="E13" s="43">
        <f>Jurnale_LEASING_FIN!E32</f>
        <v>404</v>
      </c>
      <c r="F13" s="43">
        <f>Jurnale_LEASING_FIN!C32</f>
        <v>20</v>
      </c>
      <c r="G13" s="43" t="str">
        <f>Jurnale_LEASING_FIN!D32</f>
        <v>Primă CASCO — leasing LF-2026-001 2026-07</v>
      </c>
      <c r="H13" s="43" t="inlineStr">
        <is>
          <t>Factură lunară</t>
        </is>
      </c>
      <c r="I13" s="39" t="str">
        <f>IF(F13&gt;0.001,"DA","NU")</f>
        <v>DA</v>
      </c>
    </row>
    <row r="14">
      <c r="A14" s="43" t="n">
        <v>10</v>
      </c>
      <c r="B14" s="43" t="inlineStr">
        <is>
          <t>Bloc 5 — TVA</t>
        </is>
      </c>
      <c r="C14" s="43" t="str">
        <f>Declarații_LEASING_FIN!B10</f>
        <v>2026-07-31</v>
      </c>
      <c r="D14" s="43">
        <f>Jurnale_LEASING_FIN!B33</f>
        <v>4426</v>
      </c>
      <c r="E14" s="43">
        <f>Jurnale_LEASING_FIN!E33</f>
        <v>404</v>
      </c>
      <c r="F14" s="43">
        <f>Jurnale_LEASING_FIN!C33</f>
        <v>546</v>
      </c>
      <c r="G14" s="43" t="str">
        <f>Jurnale_LEASING_FIN!D33</f>
        <v>TVA pe factura de leasing — leasing LF-2026-001 2026-07</v>
      </c>
      <c r="H14" s="43" t="inlineStr">
        <is>
          <t>Factură lunară</t>
        </is>
      </c>
      <c r="I14" s="39" t="str">
        <f>IF(F14&gt;0.001,"DA","NU")</f>
        <v>DA</v>
      </c>
    </row>
    <row r="15">
      <c r="A15" s="43" t="n">
        <v>11</v>
      </c>
      <c r="B15" s="43" t="inlineStr">
        <is>
          <t>Bloc 6 — TVA nededusă rată</t>
        </is>
      </c>
      <c r="C15" s="43" t="str">
        <f>Declarații_LEASING_FIN!B10</f>
        <v>2026-07-31</v>
      </c>
      <c r="D15" s="43">
        <f>Jurnale_LEASING_FIN!B37</f>
        <v>2133</v>
      </c>
      <c r="E15" s="43">
        <f>Jurnale_LEASING_FIN!E37</f>
        <v>4426</v>
      </c>
      <c r="F15" s="43">
        <f>Jurnale_LEASING_FIN!C37</f>
        <v>210</v>
      </c>
      <c r="G15" s="43" t="str">
        <f>Jurnale_LEASING_FIN!D37</f>
        <v>TVA nededusă pe rata de capital — capitalizată — leasing LF-2026-001 2026-07</v>
      </c>
      <c r="H15" s="43" t="inlineStr">
        <is>
          <t>Notă contabilă</t>
        </is>
      </c>
      <c r="I15" s="39" t="str">
        <f>IF(F15&gt;0.001,"DA","NU")</f>
        <v>DA</v>
      </c>
    </row>
    <row r="16">
      <c r="A16" s="43" t="n">
        <v>12</v>
      </c>
      <c r="B16" s="43" t="inlineStr">
        <is>
          <t>Bloc 6 — TVA nededusă dobândă</t>
        </is>
      </c>
      <c r="C16" s="43" t="str">
        <f>Declarații_LEASING_FIN!B10</f>
        <v>2026-07-31</v>
      </c>
      <c r="D16" s="43">
        <f>Jurnale_LEASING_FIN!B38</f>
        <v>666</v>
      </c>
      <c r="E16" s="43">
        <f>Jurnale_LEASING_FIN!E38</f>
        <v>4426</v>
      </c>
      <c r="F16" s="43">
        <f>Jurnale_LEASING_FIN!C38</f>
        <v>52.5</v>
      </c>
      <c r="G16" s="43" t="str">
        <f>Jurnale_LEASING_FIN!D38</f>
        <v>TVA nededusă pe dobândă — leasing LF-2026-001 2026-07</v>
      </c>
      <c r="H16" s="43" t="inlineStr">
        <is>
          <t>Notă contabilă</t>
        </is>
      </c>
      <c r="I16" s="39" t="str">
        <f>IF(F16&gt;0.001,"DA","NU")</f>
        <v>DA</v>
      </c>
    </row>
    <row r="17">
      <c r="A17" s="43" t="n">
        <v>13</v>
      </c>
      <c r="B17" s="43" t="inlineStr">
        <is>
          <t>Bloc 6 — TVA nededusă comision</t>
        </is>
      </c>
      <c r="C17" s="43" t="str">
        <f>Declarații_LEASING_FIN!B10</f>
        <v>2026-07-31</v>
      </c>
      <c r="D17" s="43">
        <f>Jurnale_LEASING_FIN!B39</f>
        <v>628</v>
      </c>
      <c r="E17" s="43">
        <f>Jurnale_LEASING_FIN!E39</f>
        <v>4426</v>
      </c>
      <c r="F17" s="43">
        <f>Jurnale_LEASING_FIN!C39</f>
        <v>10.5</v>
      </c>
      <c r="G17" s="43" t="str">
        <f>Jurnale_LEASING_FIN!D39</f>
        <v>TVA nededusă pe comision — leasing LF-2026-001 2026-07</v>
      </c>
      <c r="H17" s="43" t="inlineStr">
        <is>
          <t>Notă contabilă</t>
        </is>
      </c>
      <c r="I17" s="39" t="str">
        <f>IF(F17&gt;0.001,"DA","NU")</f>
        <v>DA</v>
      </c>
    </row>
    <row r="18">
      <c r="A18" s="43" t="n">
        <v>14</v>
      </c>
      <c r="B18" s="43" t="inlineStr">
        <is>
          <t>Bloc 7 — Dobândă nedeductibilă</t>
        </is>
      </c>
      <c r="C18" s="43" t="str">
        <f>Declarații_LEASING_FIN!B10</f>
        <v>2026-07-31</v>
      </c>
      <c r="D18" s="43" t="str">
        <f>Jurnale_LEASING_FIN!B44</f>
        <v>666.NED</v>
      </c>
      <c r="E18" s="43">
        <f>Jurnale_LEASING_FIN!E44</f>
        <v>666</v>
      </c>
      <c r="F18" s="43">
        <f>Jurnale_LEASING_FIN!C44</f>
        <v>276.25</v>
      </c>
      <c r="G18" s="43" t="str">
        <f>Jurnale_LEASING_FIN!D44</f>
        <v>Dobândă nedeductibilă 50% — leasing LF-2026-001 2026-07</v>
      </c>
      <c r="H18" s="43" t="inlineStr">
        <is>
          <t>Notă contabilă</t>
        </is>
      </c>
      <c r="I18" s="39" t="str">
        <f>IF(F18&gt;0.001,"DA","NU")</f>
        <v>DA</v>
      </c>
    </row>
    <row r="19">
      <c r="A19" s="43" t="n">
        <v>15</v>
      </c>
      <c r="B19" s="43" t="inlineStr">
        <is>
          <t>Bloc 7 — Comision nedeductibil</t>
        </is>
      </c>
      <c r="C19" s="43" t="str">
        <f>Declarații_LEASING_FIN!B10</f>
        <v>2026-07-31</v>
      </c>
      <c r="D19" s="43" t="str">
        <f>Jurnale_LEASING_FIN!B45</f>
        <v>628.NED</v>
      </c>
      <c r="E19" s="43">
        <f>Jurnale_LEASING_FIN!E45</f>
        <v>628</v>
      </c>
      <c r="F19" s="43">
        <f>Jurnale_LEASING_FIN!C45</f>
        <v>55.25</v>
      </c>
      <c r="G19" s="43" t="str">
        <f>Jurnale_LEASING_FIN!D45</f>
        <v>Comision nedeductibil 50% — leasing LF-2026-001 2026-07</v>
      </c>
      <c r="H19" s="43" t="inlineStr">
        <is>
          <t>Notă contabilă</t>
        </is>
      </c>
      <c r="I19" s="39" t="str">
        <f>IF(F19&gt;0.001,"DA","NU")</f>
        <v>DA</v>
      </c>
    </row>
    <row r="20">
      <c r="A20" s="43" t="n">
        <v>16</v>
      </c>
      <c r="B20" s="43" t="inlineStr">
        <is>
          <t>Bloc 7 — CASCO nedeductibil</t>
        </is>
      </c>
      <c r="C20" s="43" t="str">
        <f>Declarații_LEASING_FIN!B10</f>
        <v>2026-07-31</v>
      </c>
      <c r="D20" s="43" t="str">
        <f>Jurnale_LEASING_FIN!B46</f>
        <v>613.NED</v>
      </c>
      <c r="E20" s="43">
        <f>Jurnale_LEASING_FIN!E46</f>
        <v>613</v>
      </c>
      <c r="F20" s="43">
        <f>Jurnale_LEASING_FIN!C46</f>
        <v>10</v>
      </c>
      <c r="G20" s="43" t="str">
        <f>Jurnale_LEASING_FIN!D46</f>
        <v>CASCO nedeductibil 50% — leasing LF-2026-001 2026-07</v>
      </c>
      <c r="H20" s="43" t="inlineStr">
        <is>
          <t>Notă contabilă</t>
        </is>
      </c>
      <c r="I20" s="39" t="str">
        <f>IF(F20&gt;0.001,"DA","NU")</f>
        <v>DA</v>
      </c>
    </row>
    <row r="21">
      <c r="A21" s="43" t="n">
        <v>17</v>
      </c>
      <c r="B21" s="43" t="inlineStr">
        <is>
          <t>Bloc 8 — Amortizare</t>
        </is>
      </c>
      <c r="C21" s="43" t="str">
        <f>Declarații_LEASING_FIN!B10</f>
        <v>2026-07-31</v>
      </c>
      <c r="D21" s="43">
        <f>Jurnale_LEASING_FIN!B50</f>
        <v>6811</v>
      </c>
      <c r="E21" s="43">
        <f>Jurnale_LEASING_FIN!E50</f>
        <v>2813</v>
      </c>
      <c r="F21" s="43">
        <f>Jurnale_LEASING_FIN!C50</f>
        <v>2587.5</v>
      </c>
      <c r="G21" s="43" t="str">
        <f>Jurnale_LEASING_FIN!D50</f>
        <v>Amortizare contabilă (din care nedeductibil 1087.50 lei) — leasing LF-2026-001 2026-07</v>
      </c>
      <c r="H21" s="43" t="inlineStr">
        <is>
          <t>Notă de amortizare</t>
        </is>
      </c>
      <c r="I21" s="39" t="str">
        <f>IF(F21&gt;0.001,"DA","NU")</f>
        <v>DA</v>
      </c>
    </row>
    <row r="23">
      <c r="A23" s="43" t="inlineStr">
        <is>
          <t>Rânduri de importat (Include=DA)</t>
        </is>
      </c>
      <c r="B23" s="43">
        <f>COUNTIF(I5:I21,"DA")</f>
        <v>17</v>
      </c>
    </row>
    <row r="24">
      <c r="A24" s="43" t="inlineStr">
        <is>
          <t>Check global (trebuie 0)</t>
        </is>
      </c>
      <c r="B24" s="43">
        <f>Jurnale_LEASING_FIN!B53-Jurnale_LEASING_FIN!B54</f>
        <v>0</v>
      </c>
      <c r="C24" s="43" t="str">
        <f>IF(ABS(Jurnale_LEASING_FIN!B53-Jurnale_LEASING_FIN!B54)&lt;0.01,"OK","EROARE")</f>
        <v>OK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50" customWidth="1" style="40" min="1" max="1"/>
    <col width="20" customWidth="1" style="40" min="2" max="2"/>
    <col width="62" customWidth="1" style="40" min="3" max="3"/>
  </cols>
  <sheetData>
    <row r="1">
      <c r="A1" s="41" t="inlineStr">
        <is>
          <t>MOD_DIVIDENDE — Declarații (input)</t>
        </is>
      </c>
    </row>
    <row r="2">
      <c r="A2" s="44" t="inlineStr">
        <is>
          <t>Valorile implicite reproduc monografiile din F-109 (30.000 lei, trei asociați în cote egale) și F-110 (interimare de 80.000 pe un 121 de 80.000, regularizate la un profit final de 70.000).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CUI</t>
        </is>
      </c>
      <c r="B6" s="43" t="str">
        <f>Parametri!B6</f>
        <v>RO00000000</v>
      </c>
    </row>
    <row r="7">
      <c r="A7" s="43" t="inlineStr">
        <is>
          <t>Exercițiul repartizat (AAAA)</t>
        </is>
      </c>
      <c r="B7" s="64" t="inlineStr">
        <is>
          <t>2025</t>
        </is>
      </c>
    </row>
    <row r="8">
      <c r="A8" s="43" t="inlineStr">
        <is>
          <t>Hotărârea AGA (număr și dată)</t>
        </is>
      </c>
      <c r="B8" s="64" t="inlineStr">
        <is>
          <t>12 / 2026-04-20</t>
        </is>
      </c>
    </row>
    <row r="9">
      <c r="A9" s="43" t="inlineStr">
        <is>
          <t>Data notei contabile</t>
        </is>
      </c>
      <c r="B9" s="64" t="inlineStr">
        <is>
          <t>2026-04-30</t>
        </is>
      </c>
    </row>
    <row r="11">
      <c r="A11" s="42" t="inlineStr">
        <is>
          <t>2. Blocul A — Repartizarea dividendelor certe</t>
        </is>
      </c>
    </row>
    <row r="12">
      <c r="A12" s="43" t="inlineStr">
        <is>
          <t>Se aplică? (DA/NU)</t>
        </is>
      </c>
      <c r="B12" s="64" t="inlineStr">
        <is>
          <t>DA</t>
        </is>
      </c>
    </row>
    <row r="13">
      <c r="A13" s="43" t="inlineStr">
        <is>
          <t>Sold 1171 pe exercițiul repartizat (creditor)</t>
        </is>
      </c>
      <c r="B13" s="64" t="n">
        <v>30000</v>
      </c>
      <c r="C13" s="44" t="inlineStr">
        <is>
          <t>Sold DEBITOR = pierdere neacoperită: nu se distribuie nimic</t>
        </is>
      </c>
    </row>
    <row r="14">
      <c r="A14" s="43" t="inlineStr">
        <is>
          <t>Total repartizat prin hotărârea AGA</t>
        </is>
      </c>
      <c r="B14" s="64" t="n">
        <v>30000</v>
      </c>
    </row>
    <row r="16">
      <c r="A16" s="44" t="inlineStr">
        <is>
          <t>Cotele se citesc din DENUMIRILE analiticelor lui 1012, nu din hotărâre. Sumele se introduc așa cum apar în hotărâre; modulul le recalculează alături și compară — de-aia sunt intrare, nu formulă.</t>
        </is>
      </c>
    </row>
    <row r="17">
      <c r="A17" s="42" t="inlineStr">
        <is>
          <t>2.1 Asociatul 1</t>
        </is>
      </c>
    </row>
    <row r="18">
      <c r="A18" s="43" t="inlineStr">
        <is>
          <t>Nume (din 1012)</t>
        </is>
      </c>
      <c r="B18" s="64" t="inlineStr">
        <is>
          <t>Ionescu</t>
        </is>
      </c>
    </row>
    <row r="19">
      <c r="A19" s="43" t="inlineStr">
        <is>
          <t>Cota de participare (din denumirea analiticului)</t>
        </is>
      </c>
      <c r="B19" s="64" t="n">
        <v>0.3333</v>
      </c>
    </row>
    <row r="20">
      <c r="A20" s="43" t="inlineStr">
        <is>
          <t>Sumă din hotărârea AGA</t>
        </is>
      </c>
      <c r="B20" s="64" t="n">
        <v>10000</v>
      </c>
    </row>
    <row r="21">
      <c r="A21" s="43" t="inlineStr">
        <is>
          <t>Recalculat: cotă × total</t>
        </is>
      </c>
      <c r="B21" s="43">
        <f>ROUND(B19*B14,2)</f>
        <v>9999</v>
      </c>
    </row>
    <row r="22">
      <c r="A22" s="42" t="inlineStr">
        <is>
          <t>2.2 Asociatul 2</t>
        </is>
      </c>
    </row>
    <row r="23">
      <c r="A23" s="43" t="inlineStr">
        <is>
          <t>Nume (din 1012)</t>
        </is>
      </c>
      <c r="B23" s="64" t="inlineStr">
        <is>
          <t>Popescu</t>
        </is>
      </c>
    </row>
    <row r="24">
      <c r="A24" s="43" t="inlineStr">
        <is>
          <t>Cota de participare</t>
        </is>
      </c>
      <c r="B24" s="64" t="n">
        <v>0.3333</v>
      </c>
    </row>
    <row r="25">
      <c r="A25" s="43" t="inlineStr">
        <is>
          <t>Sumă din hotărârea AGA</t>
        </is>
      </c>
      <c r="B25" s="64" t="n">
        <v>10000</v>
      </c>
    </row>
    <row r="26">
      <c r="A26" s="43" t="inlineStr">
        <is>
          <t>Recalculat: cotă × total</t>
        </is>
      </c>
      <c r="B26" s="43">
        <f>ROUND(B24*B14,2)</f>
        <v>9999</v>
      </c>
    </row>
    <row r="27">
      <c r="A27" s="42" t="inlineStr">
        <is>
          <t>2.3 Asociatul 3</t>
        </is>
      </c>
    </row>
    <row r="28">
      <c r="A28" s="43" t="inlineStr">
        <is>
          <t>Nume (din 1012)</t>
        </is>
      </c>
      <c r="B28" s="64" t="inlineStr">
        <is>
          <t>Xulescu</t>
        </is>
      </c>
    </row>
    <row r="29">
      <c r="A29" s="43" t="inlineStr">
        <is>
          <t>Cota de participare</t>
        </is>
      </c>
      <c r="B29" s="64" t="n">
        <v>0.3334</v>
      </c>
    </row>
    <row r="30">
      <c r="A30" s="43" t="inlineStr">
        <is>
          <t>Sumă din hotărârea AGA</t>
        </is>
      </c>
      <c r="B30" s="64" t="n">
        <v>10000</v>
      </c>
    </row>
    <row r="31">
      <c r="A31" s="43" t="inlineStr">
        <is>
          <t>Recalculat: cotă × total</t>
        </is>
      </c>
      <c r="B31" s="43">
        <f>ROUND(B29*B14,2)</f>
        <v>10002</v>
      </c>
    </row>
    <row r="32">
      <c r="A32" s="43" t="inlineStr">
        <is>
          <t>Toleranța de rotunjire a cotelor (auto)</t>
        </is>
      </c>
      <c r="B32" s="43">
        <f>ROUND(B14*0.0001,2)</f>
        <v>3</v>
      </c>
      <c r="C32" s="44" t="inlineStr">
        <is>
          <t>O sutime de procent din total — precizia cu care se scrie cota în denumirea analiticului</t>
        </is>
      </c>
    </row>
    <row r="34">
      <c r="A34" s="42" t="inlineStr">
        <is>
          <t>3. Blocul B — Impozitul pe dividende</t>
        </is>
      </c>
    </row>
    <row r="35">
      <c r="A35" s="43" t="inlineStr">
        <is>
          <t>Cota de impozit</t>
        </is>
      </c>
      <c r="B35" s="43">
        <f>param_cota_impozit_dividend</f>
        <v>0.16</v>
      </c>
    </row>
    <row r="36">
      <c r="A36" s="43" t="inlineStr">
        <is>
          <t>Impozit reținut, din nota contabilă</t>
        </is>
      </c>
      <c r="B36" s="64" t="n">
        <v>4800</v>
      </c>
    </row>
    <row r="37">
      <c r="A37" s="43" t="inlineStr">
        <is>
          <t>Recalculat, calea 1: Σ (16% × brutul fiecărui asociat)</t>
        </is>
      </c>
      <c r="B37" s="43">
        <f>ROUND(B20*B35,2)+ROUND(B25*B35,2)+ROUND(B30*B35,2)</f>
        <v>4800</v>
      </c>
    </row>
    <row r="38">
      <c r="A38" s="43" t="inlineStr">
        <is>
          <t>Recalculat, calea 2: 16% × totalul din hotărâre</t>
        </is>
      </c>
      <c r="B38" s="43">
        <f>ROUND(B14*B35,2)</f>
        <v>4800</v>
      </c>
    </row>
    <row r="39">
      <c r="A39" s="43" t="inlineStr">
        <is>
          <t>S-au ridicat dividendele? (DA/NU)</t>
        </is>
      </c>
      <c r="B39" s="64" t="inlineStr">
        <is>
          <t>DA</t>
        </is>
      </c>
      <c r="C39" s="44" t="inlineStr">
        <is>
          <t>NU → 457 rămâne cu sold, dar impozitul se plătește oricum</t>
        </is>
      </c>
    </row>
    <row r="41">
      <c r="A41" s="42" t="inlineStr">
        <is>
          <t>4. Blocul C — Dividende interimare</t>
        </is>
      </c>
    </row>
    <row r="42">
      <c r="A42" s="43" t="inlineStr">
        <is>
          <t>Se aplică? (DA/NU)</t>
        </is>
      </c>
      <c r="B42" s="64" t="inlineStr">
        <is>
          <t>DA</t>
        </is>
      </c>
    </row>
    <row r="43">
      <c r="A43" s="43" t="inlineStr">
        <is>
          <t>S-a făcut inventarierea? (DA/NU)</t>
        </is>
      </c>
      <c r="B43" s="64" t="inlineStr">
        <is>
          <t>DA</t>
        </is>
      </c>
    </row>
    <row r="44">
      <c r="A44" s="43" t="inlineStr">
        <is>
          <t>S-a întocmit bilanțul interimar? (DA/NU)</t>
        </is>
      </c>
      <c r="B44" s="64" t="inlineStr">
        <is>
          <t>DA</t>
        </is>
      </c>
    </row>
    <row r="45">
      <c r="A45" s="43" t="inlineStr">
        <is>
          <t>Sold creditor 121 la data bilanțului interimar</t>
        </is>
      </c>
      <c r="B45" s="64" t="n">
        <v>80000</v>
      </c>
      <c r="C45" s="44" t="inlineStr">
        <is>
          <t>Din BALANȚĂ, după înregistrarea impozitului — nu din extras</t>
        </is>
      </c>
    </row>
    <row r="46">
      <c r="A46" s="43" t="inlineStr">
        <is>
          <t>Suma cerută de administrator</t>
        </is>
      </c>
      <c r="B46" s="64" t="n">
        <v>100000</v>
      </c>
    </row>
    <row r="47">
      <c r="A47" s="43" t="inlineStr">
        <is>
          <t>Suma efectiv repartizată</t>
        </is>
      </c>
      <c r="B47" s="64" t="n">
        <v>80000</v>
      </c>
    </row>
    <row r="48">
      <c r="A48" s="43" t="inlineStr">
        <is>
          <t>Impozit pe interimare, din nota contabilă</t>
        </is>
      </c>
      <c r="B48" s="64" t="n">
        <v>12800</v>
      </c>
    </row>
    <row r="49">
      <c r="A49" s="43" t="inlineStr">
        <is>
          <t>Recalculat: 16% × repartizat</t>
        </is>
      </c>
      <c r="B49" s="43">
        <f>ROUND(B47*B35,2)</f>
        <v>12800</v>
      </c>
    </row>
    <row r="51">
      <c r="A51" s="42" t="inlineStr">
        <is>
          <t>5. Blocul D — Regularizarea la 31.12</t>
        </is>
      </c>
    </row>
    <row r="52">
      <c r="A52" s="43" t="inlineStr">
        <is>
          <t>Se aplică? (DA/NU)</t>
        </is>
      </c>
      <c r="B52" s="64" t="inlineStr">
        <is>
          <t>DA</t>
        </is>
      </c>
    </row>
    <row r="53">
      <c r="A53" s="43" t="inlineStr">
        <is>
          <t>Profit realizat la 31.12 (sold 121)</t>
        </is>
      </c>
      <c r="B53" s="64" t="n">
        <v>70000</v>
      </c>
    </row>
    <row r="54">
      <c r="A54" s="43" t="inlineStr">
        <is>
          <t>Diferența de stornat (auto)</t>
        </is>
      </c>
      <c r="B54" s="43">
        <f>MAX(0,B47-B53)</f>
        <v>10000</v>
      </c>
    </row>
    <row r="55">
      <c r="A55" s="43" t="inlineStr">
        <is>
          <t>Storno de impozit (auto)</t>
        </is>
      </c>
      <c r="B55" s="43">
        <f>ROUND(B54*B35,2)</f>
        <v>1600</v>
      </c>
    </row>
    <row r="57">
      <c r="A57" s="42" t="inlineStr">
        <is>
          <t>6. Conturi</t>
        </is>
      </c>
    </row>
    <row r="58">
      <c r="A58" s="43" t="inlineStr">
        <is>
          <t>Cont rezultat reportat</t>
        </is>
      </c>
      <c r="B58" s="64" t="inlineStr">
        <is>
          <t>1171</t>
        </is>
      </c>
    </row>
    <row r="59">
      <c r="A59" s="43" t="inlineStr">
        <is>
          <t>Cont dividende asociat 1</t>
        </is>
      </c>
      <c r="B59" s="64" t="inlineStr">
        <is>
          <t>457.1</t>
        </is>
      </c>
    </row>
    <row r="60">
      <c r="A60" s="43" t="inlineStr">
        <is>
          <t>Cont dividende asociat 2</t>
        </is>
      </c>
      <c r="B60" s="64" t="inlineStr">
        <is>
          <t>457.2</t>
        </is>
      </c>
    </row>
    <row r="61">
      <c r="A61" s="43" t="inlineStr">
        <is>
          <t>Cont dividende asociat 3</t>
        </is>
      </c>
      <c r="B61" s="64" t="inlineStr">
        <is>
          <t>457.3</t>
        </is>
      </c>
    </row>
    <row r="62">
      <c r="A62" s="43" t="inlineStr">
        <is>
          <t>Cont impozit pe dividende</t>
        </is>
      </c>
      <c r="B62" s="64" t="inlineStr">
        <is>
          <t>446.dividende</t>
        </is>
      </c>
    </row>
    <row r="63">
      <c r="A63" s="43" t="inlineStr">
        <is>
          <t>Cont dividende interimare</t>
        </is>
      </c>
      <c r="B63" s="64" t="inlineStr">
        <is>
          <t>463</t>
        </is>
      </c>
    </row>
    <row r="64">
      <c r="A64" s="43" t="inlineStr">
        <is>
          <t>Cont decontări cu asociații</t>
        </is>
      </c>
      <c r="B64" s="64" t="inlineStr">
        <is>
          <t>456</t>
        </is>
      </c>
    </row>
    <row r="65">
      <c r="A65" s="43" t="inlineStr">
        <is>
          <t>Cont trezorerie</t>
        </is>
      </c>
      <c r="B65" s="64" t="inlineStr">
        <is>
          <t>5121</t>
        </is>
      </c>
    </row>
    <row r="67">
      <c r="A67" s="42" t="inlineStr">
        <is>
          <t>7. Sufix</t>
        </is>
      </c>
    </row>
    <row r="68">
      <c r="A68" s="43" t="inlineStr">
        <is>
          <t>Sufix</t>
        </is>
      </c>
      <c r="B68" s="43" t="str">
        <f>"— AGA " &amp; B8 &amp; ", exercițiul " &amp; B7</f>
        <v>— AGA 12 / 2026-04-20, exercițiul 2025</v>
      </c>
    </row>
    <row r="70">
      <c r="A70" s="42" t="inlineStr">
        <is>
          <t>8. Control</t>
        </is>
      </c>
    </row>
    <row r="71">
      <c r="A71" s="43" t="inlineStr">
        <is>
          <t>Modul activ?</t>
        </is>
      </c>
      <c r="B71" s="43" t="str">
        <f>IF(INDEX(CatalogModule!$A$1:$A$200,MATCH("MOD_DIVIDENDE",CatalogModule!$B$1:$B$200,0))="DA","ACTIV","INACTIV")</f>
        <v>INACTIV</v>
      </c>
    </row>
    <row r="72">
      <c r="A72" s="43" t="inlineStr">
        <is>
          <t>Verificare: Σ cotelor de participare = 100%</t>
        </is>
      </c>
      <c r="B72" s="43" t="str">
        <f>IF(OR(B12&lt;&gt;"DA",ABS(B19+B24+B29-1)&lt;0.0001),"OK — cotele acoperă exact capitalul","EROARE — Σ cote = " &amp; TEXT(B19+B24+B29,"0.00%") &amp; "; un asociat lipsește din 1012 sau un procent e greșit")</f>
        <v>OK — cotele acoperă exact capitalul</v>
      </c>
    </row>
    <row r="73">
      <c r="A73" s="43" t="inlineStr">
        <is>
          <t>Verificare: sumele din AGA = cotă × total</t>
        </is>
      </c>
      <c r="B73" s="43" t="str">
        <f>IF(OR(B12&lt;&gt;"DA",AND(ABS(B20-B21)&lt;=B32,ABS(B25-B26)&lt;=B32,ABS(B30-B31)&lt;=B32)),"OK — repartizarea din hotărâre urmează cotele din 1012, în limita rotunjirii procentelor","EROARE — hotărârea repartizează altfel decât spun cotele din balanță: abateri de " &amp; TEXT(B20-B21,"#,##0.00") &amp; " / " &amp; TEXT(B25-B26,"#,##0.00") &amp; " / " &amp; TEXT(B30-B31,"#,##0.00") &amp; " lei, peste toleranța de " &amp; TEXT(B32,"#,##0.00"))</f>
        <v>OK — repartizarea din hotărâre urmează cotele din 1012, în limita rotunjirii procentelor</v>
      </c>
    </row>
    <row r="74">
      <c r="A74" s="43" t="inlineStr">
        <is>
          <t>Verificare: Σ sumelor repartizate = totalul din hotărâre</t>
        </is>
      </c>
      <c r="B74" s="43" t="str">
        <f>IF(OR(B12&lt;&gt;"DA",ABS(B20+B25+B30-B14)&lt;0.01),"OK","EROARE — Σ pe asociați diferă de total cu " &amp; TEXT(B20+B25+B30-B14,"#,##0.00") &amp; " lei")</f>
        <v>OK</v>
      </c>
    </row>
    <row r="75">
      <c r="A75" s="43" t="inlineStr">
        <is>
          <t>Verificare: există sursă în 1171 pentru ce se repartizează</t>
        </is>
      </c>
      <c r="B75" s="43" t="str">
        <f>IF(OR(B12&lt;&gt;"DA",B13&gt;=B14),"OK",IF(B13&lt;0,"BLOCAT — 1171 are sold debitor: cu pierdere neacoperită nu se distribuie nimic (art. 69 L. 31/1990)","EROARE — se repartizează mai mult decât are 1171, lipsă " &amp; TEXT(B14-B13,"#,##0.00") &amp; " lei"))</f>
        <v>OK</v>
      </c>
    </row>
    <row r="76">
      <c r="A76" s="43" t="inlineStr">
        <is>
          <t>Verificare: impozitul reținut, pe două căi</t>
        </is>
      </c>
      <c r="B76" s="43" t="str">
        <f>IF(B12&lt;&gt;"DA","—",IF(AND(ABS(B36-B37)&lt;0.01,ABS(B36-B38)&lt;0.02),"OK — 16% verificat și pe asociat, și pe total","EROARE — impozit " &amp; TEXT(B36,"#,##0.00") &amp; " vs. " &amp; TEXT(B37,"#,##0.00") &amp; " pe asociat și " &amp; TEXT(B38,"#,##0.00") &amp; " pe total"))</f>
        <v>OK — 16% verificat și pe asociat, și pe total</v>
      </c>
    </row>
    <row r="77">
      <c r="A77" s="43" t="inlineStr">
        <is>
          <t>Verificare: interimarele nu depășesc soldul lui 121</t>
        </is>
      </c>
      <c r="B77" s="43" t="str">
        <f>IF(B42&lt;&gt;"DA","—",IF(B47&lt;=B45,"OK — sub plafon, rezervă de " &amp; TEXT(B45-B47,"#,##0.00") &amp; " lei","EROARE — depășire de " &amp; TEXT(B47-B45,"#,##0.00") &amp; " lei, care se va storna la 31.12 și se va restitui"))</f>
        <v>OK — sub plafon, rezervă de 0,.00 lei</v>
      </c>
    </row>
    <row r="78">
      <c r="A78" s="43" t="inlineStr">
        <is>
          <t>Verificare: condițiile legale ale interimarelor</t>
        </is>
      </c>
      <c r="B78" s="43" t="str">
        <f>IF(B42&lt;&gt;"DA","—",IF(AND(B43="DA",B44="DA"),"OK — inventariere și bilanț interimar făcute","BLOCAT — interimarele cer INVENTARIERE și bilanț interimar; sunt condiții legale, nu formalități"))</f>
        <v>OK — inventariere și bilanț interimar făcute</v>
      </c>
    </row>
    <row r="79">
      <c r="A79" s="43" t="inlineStr">
        <is>
          <t>Informativ: cât a cerut administratorul vs. cât poate ridica net</t>
        </is>
      </c>
      <c r="B79" s="43" t="str">
        <f>IF(B42&lt;&gt;"DA","—","Cerut " &amp; TEXT(B46,"#,##0") &amp; " lei; repartizabil " &amp; TEXT(MIN(B46,B45),"#,##0") &amp; "; ridicat net " &amp; TEXT(B47-B48,"#,##0") &amp; " lei")</f>
        <v>Cerut 100,000 lei; repartizabil 80,000; ridicat net 67,200 lei</v>
      </c>
    </row>
    <row r="80">
      <c r="A80" s="43" t="inlineStr">
        <is>
          <t>Verificare: după storno, 463 rămâne la nivelul profitului realizat</t>
        </is>
      </c>
      <c r="B80" s="43" t="str">
        <f>IF(B52&lt;&gt;"DA","—",IF(ABS((B47-B54)-MIN(B47,B53))&lt;0.01,"OK — 463 = " &amp; TEXT(B47-B54,"#,##0.00") &amp; " lei, adică profitul realizat","EROARE — stornarea nu aduce 463 la profitul realizat"))</f>
        <v>OK — 463 = 70,000.00 lei, adică profitul realizat</v>
      </c>
    </row>
    <row r="81">
      <c r="A81" s="43" t="inlineStr">
        <is>
          <t>Termenul care surprinde</t>
        </is>
      </c>
      <c r="B81" s="43" t="inlineStr">
        <is>
          <t>Impozitul pe dividende se plătește până la 25.01 a anului următor repartizării, CHIAR DACĂ dividendele nu au fost ridicate. Obligația e față de buget, nu față de asociat.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6" customWidth="1" style="40" min="1" max="1"/>
    <col width="18" customWidth="1" style="40" min="2" max="2"/>
    <col width="42" customWidth="1" style="40" min="3" max="3"/>
    <col width="52" customWidth="1" style="40" min="4" max="4"/>
  </cols>
  <sheetData>
    <row r="1">
      <c r="A1" s="41" t="inlineStr">
        <is>
          <t>MOD_DIVIDENDE — Reguli (tabele fixe)</t>
        </is>
      </c>
    </row>
    <row r="2">
      <c r="A2" s="44" t="inlineStr">
        <is>
          <t>Ce e regulă dată, nu formulă: tipurile de dividend, declarațiile și calendarul interimarelor.</t>
        </is>
      </c>
    </row>
    <row r="4">
      <c r="A4" s="42" t="inlineStr">
        <is>
          <t>Tabel A — Cele două feluri de dividende</t>
        </is>
      </c>
    </row>
    <row r="5">
      <c r="A5" s="65" t="inlineStr">
        <is>
          <t>Tip</t>
        </is>
      </c>
      <c r="B5" s="65" t="inlineStr">
        <is>
          <t>Cont</t>
        </is>
      </c>
      <c r="C5" s="65" t="inlineStr">
        <is>
          <t>Din ce se repartizează</t>
        </is>
      </c>
      <c r="D5" s="65" t="inlineStr">
        <is>
          <t>Ce document cere</t>
        </is>
      </c>
    </row>
    <row r="6">
      <c r="A6" s="43" t="inlineStr">
        <is>
          <t>Certe</t>
        </is>
      </c>
      <c r="B6" s="43" t="inlineStr">
        <is>
          <t>457</t>
        </is>
      </c>
      <c r="C6" s="43" t="inlineStr">
        <is>
          <t>Din rezultatul unui exercițiu ÎNCHEIAT (1171)</t>
        </is>
      </c>
      <c r="D6" s="43" t="inlineStr">
        <is>
          <t>Hotărâre AGA. Condiție: 1171 fără sold debitor pe niciun an</t>
        </is>
      </c>
    </row>
    <row r="7">
      <c r="A7" s="43" t="inlineStr">
        <is>
          <t>Interimare</t>
        </is>
      </c>
      <c r="B7" s="43" t="inlineStr">
        <is>
          <t>463 → 456</t>
        </is>
      </c>
      <c r="C7" s="43" t="inlineStr">
        <is>
          <t>Din profitul anului CURENT, doar trimestrial</t>
        </is>
      </c>
      <c r="D7" s="43" t="inlineStr">
        <is>
          <t>Hotărâre AGA + INVENTARIERE + bilanț interimar</t>
        </is>
      </c>
    </row>
    <row r="9">
      <c r="A9" s="42" t="inlineStr">
        <is>
          <t>Tabel B — Declarațiile</t>
        </is>
      </c>
    </row>
    <row r="10">
      <c r="A10" s="65" t="inlineStr">
        <is>
          <t>Declarație</t>
        </is>
      </c>
      <c r="B10" s="65" t="inlineStr">
        <is>
          <t>Cadență</t>
        </is>
      </c>
      <c r="C10" s="65" t="inlineStr">
        <is>
          <t>Ce conține</t>
        </is>
      </c>
    </row>
    <row r="11">
      <c r="A11" s="43" t="inlineStr">
        <is>
          <t>D100</t>
        </is>
      </c>
      <c r="B11" s="43" t="inlineStr">
        <is>
          <t>Ori de câte ori e impozit de plată</t>
        </is>
      </c>
      <c r="C11" s="43" t="inlineStr">
        <is>
          <t>Impozitul pe dividende. Atenție la rubrica separată pentru persoane fizice — nu se confundă cu impozitul datorat de persoane juridice</t>
        </is>
      </c>
    </row>
    <row r="12">
      <c r="A12" s="43" t="inlineStr">
        <is>
          <t>D205</t>
        </is>
      </c>
      <c r="B12" s="43" t="inlineStr">
        <is>
          <t>Anual, cumulativ</t>
        </is>
      </c>
      <c r="C12" s="43" t="inlineStr">
        <is>
          <t>Declarație informativă. Două rubrici distincte: dividende DISTRIBUITE și dividende RIDICATE. Se confruntă cu D100 și cu fișa contului 446</t>
        </is>
      </c>
    </row>
    <row r="13">
      <c r="A13" s="43" t="inlineStr">
        <is>
          <t>Declarația Unică</t>
        </is>
      </c>
      <c r="B13" s="43" t="inlineStr">
        <is>
          <t>Anual, de către asociat</t>
        </is>
      </c>
      <c r="C13" s="43" t="inlineStr">
        <is>
          <t>CASS. ❓ Notițele spun că se datorează la dividendele RIDICATE, nu la cele distribuite — de confirmat cu formatorul</t>
        </is>
      </c>
    </row>
    <row r="14">
      <c r="A14" s="43" t="inlineStr">
        <is>
          <t>D710</t>
        </is>
      </c>
      <c r="B14" s="43" t="inlineStr">
        <is>
          <t>La regularizarea de la 31.12</t>
        </is>
      </c>
      <c r="C14" s="43" t="inlineStr">
        <is>
          <t>Rectificativa lui D100. Apare suma plătită inițial și cea corectată; diferența plătită în plus se compensează sau se restituie la cerere</t>
        </is>
      </c>
    </row>
    <row r="16">
      <c r="A16" s="42" t="inlineStr">
        <is>
          <t>Tabel C — Calendarul interimarelor</t>
        </is>
      </c>
    </row>
    <row r="17">
      <c r="A17" s="44" t="inlineStr">
        <is>
          <t>Nu e intuitiv: hotărârea se ia într-o lună, înregistrarea se face în alta.</t>
        </is>
      </c>
    </row>
    <row r="18">
      <c r="A18" s="65" t="inlineStr">
        <is>
          <t>Momentul</t>
        </is>
      </c>
      <c r="B18" s="65" t="inlineStr">
        <is>
          <t>Ce se întâmplă</t>
        </is>
      </c>
    </row>
    <row r="19">
      <c r="A19" s="43" t="inlineStr">
        <is>
          <t>30.06</t>
        </is>
      </c>
      <c r="B19" s="43" t="inlineStr">
        <is>
          <t>Închiderea a șase luni. Soldul lui 121 la data asta E plafonul</t>
        </is>
      </c>
    </row>
    <row r="20">
      <c r="A20" s="43" t="inlineStr">
        <is>
          <t>iunie</t>
        </is>
      </c>
      <c r="B20" s="43" t="inlineStr">
        <is>
          <t>LUNA în care se face înregistrarea contabilă — bilanțul interimar are rubrică separată pentru 463, deci acolo vede ANAF ce s-a repartizat</t>
        </is>
      </c>
    </row>
    <row r="21">
      <c r="A21" s="43" t="inlineStr">
        <is>
          <t>iulie</t>
        </is>
      </c>
      <c r="B21" s="43" t="inlineStr">
        <is>
          <t>LUNA în care se ia hotărârea AGA: are nevoie de balanța închisă</t>
        </is>
      </c>
    </row>
    <row r="22">
      <c r="A22" s="43" t="inlineStr">
        <is>
          <t>31.07</t>
        </is>
      </c>
      <c r="B22" s="43" t="inlineStr">
        <is>
          <t>Termenul de depunere a bilanțului interimar</t>
        </is>
      </c>
    </row>
    <row r="23">
      <c r="A23" s="43" t="inlineStr">
        <is>
          <t>31.12</t>
        </is>
      </c>
      <c r="B23" s="43" t="inlineStr">
        <is>
          <t>Comparația cu profitul realizat. Dacă e mai mic, se stornează diferența</t>
        </is>
      </c>
    </row>
    <row r="24">
      <c r="A24" s="43" t="inlineStr">
        <is>
          <t>25.01</t>
        </is>
      </c>
      <c r="B24" s="43" t="inlineStr">
        <is>
          <t>Termenul de plată a impozitului, indiferent dacă s-a ridicat sau nu</t>
        </is>
      </c>
    </row>
    <row r="26">
      <c r="A26" s="42" t="inlineStr">
        <is>
          <t>Tabel D — Porți de calitate</t>
        </is>
      </c>
    </row>
    <row r="27">
      <c r="A27" s="44" t="inlineStr">
        <is>
          <t>• Cotele se citesc din DENUMIRILE analiticelor lui 1012; hotărârea AGA se contraverifică cu ele, nu invers</t>
        </is>
      </c>
    </row>
    <row r="28">
      <c r="A28" s="44" t="inlineStr">
        <is>
          <t>• Fără hotărâre AGA nu se înregistrează dividende — nici certe, nici interimare</t>
        </is>
      </c>
    </row>
    <row r="29">
      <c r="A29" s="44" t="inlineStr">
        <is>
          <t>• Cu sold debitor pe 1171 (pierdere neacoperită) nu se distribuie nimic</t>
        </is>
      </c>
    </row>
    <row r="30">
      <c r="A30" s="44" t="inlineStr">
        <is>
          <t>• Interimarele cer inventariere ȘI bilanț interimar, și se acordă doar trimestrial</t>
        </is>
      </c>
    </row>
    <row r="31">
      <c r="A31" s="44" t="inlineStr">
        <is>
          <t>• Plafonul interimarelor e soldul lui 121, nu disponibilul din bancă</t>
        </is>
      </c>
    </row>
    <row r="32">
      <c r="A32" s="44" t="inlineStr">
        <is>
          <t>• Impozitul se datorează la DISTRIBUIRE; termenul de 25.01 nu depinde de ridicare</t>
        </is>
      </c>
    </row>
    <row r="33">
      <c r="A33" s="44" t="inlineStr">
        <is>
          <t>• 457 se stinge doar prin 446 sau prin trezorerie — nu prin 4551 sau 461 (vezi C-34)</t>
        </is>
      </c>
    </row>
    <row r="34">
      <c r="A34" s="44" t="inlineStr">
        <is>
          <t>• D205 se confruntă cu D100 și cu fișa contului 446: se caută o plată făcută fără declarație</t>
        </is>
      </c>
    </row>
    <row r="36">
      <c r="A36" s="42" t="inlineStr">
        <is>
          <t>Temei legal</t>
        </is>
      </c>
    </row>
    <row r="37">
      <c r="A37" s="65" t="inlineStr">
        <is>
          <t>Ce se sprijină pe el</t>
        </is>
      </c>
      <c r="B37" s="65" t="inlineStr">
        <is>
          <t>Temei</t>
        </is>
      </c>
    </row>
    <row r="38">
      <c r="A38" s="43" t="inlineStr">
        <is>
          <t>Dividendele se repartizează proporțional cu cota de participare la capitalul social</t>
        </is>
      </c>
      <c r="B38" s="43" t="inlineStr">
        <is>
          <t>art. 67 alin. (2) Legea 31/1990</t>
        </is>
      </c>
    </row>
    <row r="39">
      <c r="A39" s="43" t="inlineStr">
        <is>
          <t>Cota de impozit pe dividende, 16% pentru distribuirile de la 01.01.2026</t>
        </is>
      </c>
      <c r="B39" s="43" t="inlineStr">
        <is>
          <t>art. 43 Cod fiscal, astfel cum a fost modificat prin Legea 141/2025</t>
        </is>
      </c>
    </row>
    <row r="40">
      <c r="A40" s="43" t="inlineStr">
        <is>
          <t>Termenul de plată: 25 ianuarie a anului următor celui în care s-a aprobat repartizarea, dacă dividendele nu au fost ridicate</t>
        </is>
      </c>
      <c r="B40" s="43" t="inlineStr">
        <is>
          <t>art. 43 alin. (3) Cod fiscal</t>
        </is>
      </c>
    </row>
    <row r="41">
      <c r="A41" s="43" t="inlineStr">
        <is>
          <t>Dividendele interimare, trimestrial, pe baza situațiilor financiare interimare</t>
        </is>
      </c>
      <c r="B41" s="43" t="inlineStr">
        <is>
          <t>art. 67 alin. (2) și (4) Legea 31/1990 — cu inventariere prealabilă</t>
        </is>
      </c>
    </row>
    <row r="42">
      <c r="A42" s="43" t="inlineStr">
        <is>
          <t>Regularizarea la 31.12 și restituirea diferenței distribuite în plus</t>
        </is>
      </c>
      <c r="B42" s="43" t="inlineStr">
        <is>
          <t>art. 67 alin. (4) Legea 31/1990</t>
        </is>
      </c>
    </row>
    <row r="43">
      <c r="A43" s="43" t="inlineStr">
        <is>
          <t>Nu se distribuie dividende cât timp există pierdere contabilă reportată neacoperită</t>
        </is>
      </c>
      <c r="B43" s="43" t="inlineStr">
        <is>
          <t>art. 69 Legea 31/1990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0" customWidth="1" style="40" min="1" max="1"/>
    <col width="18" customWidth="1" style="40" min="2" max="2"/>
    <col width="14" customWidth="1" style="40" min="3" max="3"/>
    <col width="52" customWidth="1" style="40" min="4" max="4"/>
    <col width="18" customWidth="1" style="40" min="5" max="5"/>
    <col width="14" customWidth="1" style="40" min="6" max="6"/>
    <col width="52" customWidth="1" style="40" min="7" max="7"/>
  </cols>
  <sheetData>
    <row r="1">
      <c r="A1" s="41" t="inlineStr">
        <is>
          <t>MOD_DIVIDENDE — Jurnale (generate automat)</t>
        </is>
      </c>
    </row>
    <row r="2">
      <c r="A2" s="44" t="inlineStr">
        <is>
          <t>Blocurile neactivate ies cu zero. Blocul D produce sume NEGATIVE: e stornare, nu o înregistrare inversă.</t>
        </is>
      </c>
    </row>
    <row r="4">
      <c r="A4" s="42" t="inlineStr">
        <is>
          <t>Bloc A — Repartizarea pe asociați</t>
        </is>
      </c>
    </row>
    <row r="5">
      <c r="A5" s="43" t="inlineStr">
        <is>
          <t>Data:</t>
        </is>
      </c>
      <c r="B5" s="43" t="str">
        <f>Declarații_DIVIDENDE!B9</f>
        <v>2026-04-30</v>
      </c>
    </row>
    <row r="6">
      <c r="A6" s="65" t="inlineStr">
        <is>
          <t>Nr</t>
        </is>
      </c>
      <c r="B6" s="65" t="inlineStr">
        <is>
          <t>Cont Dr</t>
        </is>
      </c>
      <c r="C6" s="65" t="inlineStr">
        <is>
          <t>Sumă Dr</t>
        </is>
      </c>
      <c r="D6" s="65" t="inlineStr">
        <is>
          <t>Descriere Dr</t>
        </is>
      </c>
      <c r="E6" s="65" t="inlineStr">
        <is>
          <t>Cont Cr</t>
        </is>
      </c>
      <c r="F6" s="65" t="inlineStr">
        <is>
          <t>Sumă Cr</t>
        </is>
      </c>
      <c r="G6" s="65" t="inlineStr">
        <is>
          <t>Descriere Cr</t>
        </is>
      </c>
    </row>
    <row r="7">
      <c r="A7" s="43" t="n">
        <v>1</v>
      </c>
      <c r="B7" s="43" t="str">
        <f>Declarații_DIVIDENDE!B58</f>
        <v>1171</v>
      </c>
      <c r="C7" s="43">
        <f>IF(Declarații_DIVIDENDE!B12="DA",Declarații_DIVIDENDE!B20,0)</f>
        <v>10000</v>
      </c>
      <c r="D7" s="43" t="str">
        <f>"Repartizare dividende " &amp; Declarații_DIVIDENDE!B18 &amp; " " &amp; Declarații_DIVIDENDE!B68</f>
        <v>Repartizare dividende Ionescu — AGA 12 / 2026-04-20, exercițiul 2025</v>
      </c>
      <c r="E7" s="43" t="str">
        <f>Declarații_DIVIDENDE!B59</f>
        <v>457.1</v>
      </c>
      <c r="F7" s="43">
        <f>IF(Declarații_DIVIDENDE!B12="DA",Declarații_DIVIDENDE!B20,0)</f>
        <v>10000</v>
      </c>
      <c r="G7" s="43" t="str">
        <f>"Dividende de plată " &amp; Declarații_DIVIDENDE!B18 &amp; " " &amp; Declarații_DIVIDENDE!B68</f>
        <v>Dividende de plată Ionescu — AGA 12 / 2026-04-20, exercițiul 2025</v>
      </c>
    </row>
    <row r="8">
      <c r="A8" s="43" t="n">
        <v>2</v>
      </c>
      <c r="B8" s="43" t="str">
        <f>Declarații_DIVIDENDE!B58</f>
        <v>1171</v>
      </c>
      <c r="C8" s="43">
        <f>IF(Declarații_DIVIDENDE!B12="DA",Declarații_DIVIDENDE!B25,0)</f>
        <v>10000</v>
      </c>
      <c r="D8" s="43" t="str">
        <f>"Repartizare dividende " &amp; Declarații_DIVIDENDE!B23 &amp; " " &amp; Declarații_DIVIDENDE!B68</f>
        <v>Repartizare dividende Popescu — AGA 12 / 2026-04-20, exercițiul 2025</v>
      </c>
      <c r="E8" s="43" t="str">
        <f>Declarații_DIVIDENDE!B60</f>
        <v>457.2</v>
      </c>
      <c r="F8" s="43">
        <f>IF(Declarații_DIVIDENDE!B12="DA",Declarații_DIVIDENDE!B25,0)</f>
        <v>10000</v>
      </c>
      <c r="G8" s="43" t="str">
        <f>"Dividende de plată " &amp; Declarații_DIVIDENDE!B23 &amp; " " &amp; Declarații_DIVIDENDE!B68</f>
        <v>Dividende de plată Popescu — AGA 12 / 2026-04-20, exercițiul 2025</v>
      </c>
    </row>
    <row r="9">
      <c r="A9" s="43" t="n">
        <v>3</v>
      </c>
      <c r="B9" s="43" t="str">
        <f>Declarații_DIVIDENDE!B58</f>
        <v>1171</v>
      </c>
      <c r="C9" s="43">
        <f>IF(Declarații_DIVIDENDE!B12="DA",Declarații_DIVIDENDE!B30,0)</f>
        <v>10000</v>
      </c>
      <c r="D9" s="43" t="str">
        <f>"Repartizare dividende " &amp; Declarații_DIVIDENDE!B28 &amp; " " &amp; Declarații_DIVIDENDE!B68</f>
        <v>Repartizare dividende Xulescu — AGA 12 / 2026-04-20, exercițiul 2025</v>
      </c>
      <c r="E9" s="43" t="str">
        <f>Declarații_DIVIDENDE!B61</f>
        <v>457.3</v>
      </c>
      <c r="F9" s="43">
        <f>IF(Declarații_DIVIDENDE!B12="DA",Declarații_DIVIDENDE!B30,0)</f>
        <v>10000</v>
      </c>
      <c r="G9" s="43" t="str">
        <f>"Dividende de plată " &amp; Declarații_DIVIDENDE!B28 &amp; " " &amp; Declarații_DIVIDENDE!B68</f>
        <v>Dividende de plată Xulescu — AGA 12 / 2026-04-20, exercițiul 2025</v>
      </c>
    </row>
    <row r="10">
      <c r="A10" s="43" t="inlineStr">
        <is>
          <t>Check A (Σ pe asociați = totalul din hotărâre)</t>
        </is>
      </c>
      <c r="B10" s="43">
        <f>C7+C8+C9-IF(Declarații_DIVIDENDE!B12="DA",Declarații_DIVIDENDE!B14,0)</f>
        <v>0</v>
      </c>
      <c r="C10" s="43" t="str">
        <f>IF(ABS(B10)&lt;0.01,"OK — repartizarea acoperă exact totalul din AGA","EROARE — Σ pe asociați ≠ total")</f>
        <v>OK — repartizarea acoperă exact totalul din AGA</v>
      </c>
    </row>
    <row r="12">
      <c r="A12" s="42" t="inlineStr">
        <is>
          <t>Bloc B — Impozitul de 16%</t>
        </is>
      </c>
    </row>
    <row r="13">
      <c r="A13" s="65" t="inlineStr">
        <is>
          <t>Nr</t>
        </is>
      </c>
      <c r="B13" s="65" t="inlineStr">
        <is>
          <t>Cont Dr</t>
        </is>
      </c>
      <c r="C13" s="65" t="inlineStr">
        <is>
          <t>Sumă Dr</t>
        </is>
      </c>
      <c r="D13" s="65" t="inlineStr">
        <is>
          <t>Descriere Dr</t>
        </is>
      </c>
      <c r="E13" s="65" t="inlineStr">
        <is>
          <t>Cont Cr</t>
        </is>
      </c>
      <c r="F13" s="65" t="inlineStr">
        <is>
          <t>Sumă Cr</t>
        </is>
      </c>
      <c r="G13" s="65" t="inlineStr">
        <is>
          <t>Descriere Cr</t>
        </is>
      </c>
    </row>
    <row r="14">
      <c r="A14" s="43" t="n">
        <v>1</v>
      </c>
      <c r="B14" s="43" t="str">
        <f>Declarații_DIVIDENDE!B59</f>
        <v>457.1</v>
      </c>
      <c r="C14" s="43">
        <f>IF(Declarații_DIVIDENDE!B12="DA",ROUND(Declarații_DIVIDENDE!B20*Declarații_DIVIDENDE!B35,2),0)</f>
        <v>1600</v>
      </c>
      <c r="D14" s="43" t="str">
        <f>"Impozit 16% dividende " &amp; Declarații_DIVIDENDE!B18 &amp; " " &amp; Declarații_DIVIDENDE!B68</f>
        <v>Impozit 16% dividende Ionescu — AGA 12 / 2026-04-20, exercițiul 2025</v>
      </c>
      <c r="E14" s="43" t="str">
        <f>Declarații_DIVIDENDE!B62</f>
        <v>446.dividende</v>
      </c>
      <c r="F14" s="43">
        <f>IF(Declarații_DIVIDENDE!B12="DA",ROUND(Declarații_DIVIDENDE!B20*Declarații_DIVIDENDE!B35,2),0)</f>
        <v>1600</v>
      </c>
      <c r="G14" s="43" t="str">
        <f>"Impozit pe dividende de plată " &amp; Declarații_DIVIDENDE!B68</f>
        <v>Impozit pe dividende de plată — AGA 12 / 2026-04-20, exercițiul 2025</v>
      </c>
    </row>
    <row r="15">
      <c r="A15" s="43" t="n">
        <v>2</v>
      </c>
      <c r="B15" s="43" t="str">
        <f>Declarații_DIVIDENDE!B60</f>
        <v>457.2</v>
      </c>
      <c r="C15" s="43">
        <f>IF(Declarații_DIVIDENDE!B12="DA",ROUND(Declarații_DIVIDENDE!B25*Declarații_DIVIDENDE!B35,2),0)</f>
        <v>1600</v>
      </c>
      <c r="D15" s="43" t="str">
        <f>"Impozit 16% dividende " &amp; Declarații_DIVIDENDE!B23 &amp; " " &amp; Declarații_DIVIDENDE!B68</f>
        <v>Impozit 16% dividende Popescu — AGA 12 / 2026-04-20, exercițiul 2025</v>
      </c>
      <c r="E15" s="43" t="str">
        <f>Declarații_DIVIDENDE!B62</f>
        <v>446.dividende</v>
      </c>
      <c r="F15" s="43">
        <f>IF(Declarații_DIVIDENDE!B12="DA",ROUND(Declarații_DIVIDENDE!B25*Declarații_DIVIDENDE!B35,2),0)</f>
        <v>1600</v>
      </c>
      <c r="G15" s="43" t="str">
        <f>"Impozit pe dividende de plată " &amp; Declarații_DIVIDENDE!B68</f>
        <v>Impozit pe dividende de plată — AGA 12 / 2026-04-20, exercițiul 2025</v>
      </c>
    </row>
    <row r="16">
      <c r="A16" s="43" t="n">
        <v>3</v>
      </c>
      <c r="B16" s="43" t="str">
        <f>Declarații_DIVIDENDE!B61</f>
        <v>457.3</v>
      </c>
      <c r="C16" s="43">
        <f>IF(Declarații_DIVIDENDE!B12="DA",ROUND(Declarații_DIVIDENDE!B30*Declarații_DIVIDENDE!B35,2),0)</f>
        <v>1600</v>
      </c>
      <c r="D16" s="43" t="str">
        <f>"Impozit 16% dividende " &amp; Declarații_DIVIDENDE!B28 &amp; " " &amp; Declarații_DIVIDENDE!B68</f>
        <v>Impozit 16% dividende Xulescu — AGA 12 / 2026-04-20, exercițiul 2025</v>
      </c>
      <c r="E16" s="43" t="str">
        <f>Declarații_DIVIDENDE!B62</f>
        <v>446.dividende</v>
      </c>
      <c r="F16" s="43">
        <f>IF(Declarații_DIVIDENDE!B12="DA",ROUND(Declarații_DIVIDENDE!B30*Declarații_DIVIDENDE!B35,2),0)</f>
        <v>1600</v>
      </c>
      <c r="G16" s="43" t="str">
        <f>"Impozit pe dividende de plată " &amp; Declarații_DIVIDENDE!B68</f>
        <v>Impozit pe dividende de plată — AGA 12 / 2026-04-20, exercițiul 2025</v>
      </c>
    </row>
    <row r="17">
      <c r="A17" s="43" t="n">
        <v>4</v>
      </c>
      <c r="B17" s="43" t="str">
        <f>Declarații_DIVIDENDE!B62</f>
        <v>446.dividende</v>
      </c>
      <c r="C17" s="43">
        <f>IF(Declarații_DIVIDENDE!B12="DA",Declarații_DIVIDENDE!B36,0)</f>
        <v>4800</v>
      </c>
      <c r="D17" s="43" t="str">
        <f>"Plata impozitului pe dividende (termen 25.01) " &amp; Declarații_DIVIDENDE!B68</f>
        <v>Plata impozitului pe dividende (termen 25.01) — AGA 12 / 2026-04-20, exercițiul 2025</v>
      </c>
      <c r="E17" s="43" t="str">
        <f>Declarații_DIVIDENDE!B65</f>
        <v>5121</v>
      </c>
      <c r="F17" s="43">
        <f>IF(Declarații_DIVIDENDE!B12="DA",Declarații_DIVIDENDE!B36,0)</f>
        <v>4800</v>
      </c>
      <c r="G17" s="43" t="str">
        <f>"Ieșire trezorerie " &amp; Declarații_DIVIDENDE!B68</f>
        <v>Ieșire trezorerie — AGA 12 / 2026-04-20, exercițiul 2025</v>
      </c>
    </row>
    <row r="18">
      <c r="A18" s="43" t="inlineStr">
        <is>
          <t>Check B (impozitul din notă = Σ reținerilor pe asociat)</t>
        </is>
      </c>
      <c r="B18" s="43">
        <f>Declarații_DIVIDENDE!B36*IF(Declarații_DIVIDENDE!B12="DA",1,0)-C14-C15-C16</f>
        <v>0</v>
      </c>
      <c r="C18" s="43" t="str">
        <f>IF(ABS(B18)&lt;0.01,"OK — 16% pe fiecare analitic de 457","EROARE — impozitul plătit nu e suma reținerilor")</f>
        <v>OK — 16% pe fiecare analitic de 457</v>
      </c>
    </row>
    <row r="20">
      <c r="A20" s="42" t="inlineStr">
        <is>
          <t>Bloc B2 — Plata dividendelor nete</t>
        </is>
      </c>
    </row>
    <row r="21">
      <c r="A21" s="65" t="inlineStr">
        <is>
          <t>Nr</t>
        </is>
      </c>
      <c r="B21" s="65" t="inlineStr">
        <is>
          <t>Cont Dr</t>
        </is>
      </c>
      <c r="C21" s="65" t="inlineStr">
        <is>
          <t>Sumă Dr</t>
        </is>
      </c>
      <c r="D21" s="65" t="inlineStr">
        <is>
          <t>Descriere Dr</t>
        </is>
      </c>
      <c r="E21" s="65" t="inlineStr">
        <is>
          <t>Cont Cr</t>
        </is>
      </c>
      <c r="F21" s="65" t="inlineStr">
        <is>
          <t>Sumă Cr</t>
        </is>
      </c>
      <c r="G21" s="65" t="inlineStr">
        <is>
          <t>Descriere Cr</t>
        </is>
      </c>
    </row>
    <row r="22">
      <c r="A22" s="43" t="n">
        <v>1</v>
      </c>
      <c r="B22" s="43" t="str">
        <f>Declarații_DIVIDENDE!B59</f>
        <v>457.1</v>
      </c>
      <c r="C22" s="43">
        <f>IF(AND(Declarații_DIVIDENDE!B12="DA",Declarații_DIVIDENDE!B39="DA"),Declarații_DIVIDENDE!B20-ROUND(Declarații_DIVIDENDE!B20*Declarații_DIVIDENDE!B35,2),0)</f>
        <v>8400</v>
      </c>
      <c r="D22" s="43" t="str">
        <f>"Plată dividend net " &amp; Declarații_DIVIDENDE!B18 &amp; " " &amp; Declarații_DIVIDENDE!B68</f>
        <v>Plată dividend net Ionescu — AGA 12 / 2026-04-20, exercițiul 2025</v>
      </c>
      <c r="E22" s="43" t="str">
        <f>Declarații_DIVIDENDE!B65</f>
        <v>5121</v>
      </c>
      <c r="F22" s="43">
        <f>IF(AND(Declarații_DIVIDENDE!B12="DA",Declarații_DIVIDENDE!B39="DA"),Declarații_DIVIDENDE!B20-ROUND(Declarații_DIVIDENDE!B20*Declarații_DIVIDENDE!B35,2),0)</f>
        <v>8400</v>
      </c>
      <c r="G22" s="43" t="str">
        <f>"Ieșire trezorerie " &amp; Declarații_DIVIDENDE!B68</f>
        <v>Ieșire trezorerie — AGA 12 / 2026-04-20, exercițiul 2025</v>
      </c>
    </row>
    <row r="23">
      <c r="A23" s="43" t="n">
        <v>2</v>
      </c>
      <c r="B23" s="43" t="str">
        <f>Declarații_DIVIDENDE!B60</f>
        <v>457.2</v>
      </c>
      <c r="C23" s="43">
        <f>IF(AND(Declarații_DIVIDENDE!B12="DA",Declarații_DIVIDENDE!B39="DA"),Declarații_DIVIDENDE!B25-ROUND(Declarații_DIVIDENDE!B25*Declarații_DIVIDENDE!B35,2),0)</f>
        <v>8400</v>
      </c>
      <c r="D23" s="43" t="str">
        <f>"Plată dividend net " &amp; Declarații_DIVIDENDE!B23 &amp; " " &amp; Declarații_DIVIDENDE!B68</f>
        <v>Plată dividend net Popescu — AGA 12 / 2026-04-20, exercițiul 2025</v>
      </c>
      <c r="E23" s="43" t="str">
        <f>Declarații_DIVIDENDE!B65</f>
        <v>5121</v>
      </c>
      <c r="F23" s="43">
        <f>IF(AND(Declarații_DIVIDENDE!B12="DA",Declarații_DIVIDENDE!B39="DA"),Declarații_DIVIDENDE!B25-ROUND(Declarații_DIVIDENDE!B25*Declarații_DIVIDENDE!B35,2),0)</f>
        <v>8400</v>
      </c>
      <c r="G23" s="43" t="str">
        <f>"Ieșire trezorerie " &amp; Declarații_DIVIDENDE!B68</f>
        <v>Ieșire trezorerie — AGA 12 / 2026-04-20, exercițiul 2025</v>
      </c>
    </row>
    <row r="24">
      <c r="A24" s="43" t="n">
        <v>3</v>
      </c>
      <c r="B24" s="43" t="str">
        <f>Declarații_DIVIDENDE!B61</f>
        <v>457.3</v>
      </c>
      <c r="C24" s="43">
        <f>IF(AND(Declarații_DIVIDENDE!B12="DA",Declarații_DIVIDENDE!B39="DA"),Declarații_DIVIDENDE!B30-ROUND(Declarații_DIVIDENDE!B30*Declarații_DIVIDENDE!B35,2),0)</f>
        <v>8400</v>
      </c>
      <c r="D24" s="43" t="str">
        <f>"Plată dividend net " &amp; Declarații_DIVIDENDE!B28 &amp; " " &amp; Declarații_DIVIDENDE!B68</f>
        <v>Plată dividend net Xulescu — AGA 12 / 2026-04-20, exercițiul 2025</v>
      </c>
      <c r="E24" s="43" t="str">
        <f>Declarații_DIVIDENDE!B65</f>
        <v>5121</v>
      </c>
      <c r="F24" s="43">
        <f>IF(AND(Declarații_DIVIDENDE!B12="DA",Declarații_DIVIDENDE!B39="DA"),Declarații_DIVIDENDE!B30-ROUND(Declarații_DIVIDENDE!B30*Declarații_DIVIDENDE!B35,2),0)</f>
        <v>8400</v>
      </c>
      <c r="G24" s="43" t="str">
        <f>"Ieșire trezorerie " &amp; Declarații_DIVIDENDE!B68</f>
        <v>Ieșire trezorerie — AGA 12 / 2026-04-20, exercițiul 2025</v>
      </c>
    </row>
    <row r="25">
      <c r="A25" s="43" t="inlineStr">
        <is>
          <t>Check B2 (457 se stinge integral după plată)</t>
        </is>
      </c>
      <c r="B25" s="43">
        <f>C7+C8+C9-C14-C15-C16-C22-C23-C24</f>
        <v>0</v>
      </c>
      <c r="C25" s="43" t="str">
        <f>IF(ABS(B25)&lt;0.01,"OK — 457 = 0 pe fiecare analitic",IF(Declarații_DIVIDENDE!B39&lt;&gt;"DA","AȘTEPTARE — dividende neridicate: 457 rămâne cu sold, impozitul e plătit","EROARE — 457 nu se stinge"))</f>
        <v>OK — 457 = 0 pe fiecare analitic</v>
      </c>
    </row>
    <row r="27">
      <c r="A27" s="42" t="inlineStr">
        <is>
          <t>Bloc C — Dividende interimare</t>
        </is>
      </c>
    </row>
    <row r="28">
      <c r="A28" s="65" t="inlineStr">
        <is>
          <t>Nr</t>
        </is>
      </c>
      <c r="B28" s="65" t="inlineStr">
        <is>
          <t>Cont Dr</t>
        </is>
      </c>
      <c r="C28" s="65" t="inlineStr">
        <is>
          <t>Sumă Dr</t>
        </is>
      </c>
      <c r="D28" s="65" t="inlineStr">
        <is>
          <t>Descriere Dr</t>
        </is>
      </c>
      <c r="E28" s="65" t="inlineStr">
        <is>
          <t>Cont Cr</t>
        </is>
      </c>
      <c r="F28" s="65" t="inlineStr">
        <is>
          <t>Sumă Cr</t>
        </is>
      </c>
      <c r="G28" s="65" t="inlineStr">
        <is>
          <t>Descriere Cr</t>
        </is>
      </c>
    </row>
    <row r="29">
      <c r="A29" s="43" t="n">
        <v>1</v>
      </c>
      <c r="B29" s="43" t="str">
        <f>Declarații_DIVIDENDE!B63</f>
        <v>463</v>
      </c>
      <c r="C29" s="43">
        <f>IF(Declarații_DIVIDENDE!B42="DA",Declarații_DIVIDENDE!B47,0)</f>
        <v>80000</v>
      </c>
      <c r="D29" s="43" t="str">
        <f>"Dividende interimare repartizate " &amp; Declarații_DIVIDENDE!B68</f>
        <v>Dividende interimare repartizate — AGA 12 / 2026-04-20, exercițiul 2025</v>
      </c>
      <c r="E29" s="43" t="str">
        <f>Declarații_DIVIDENDE!B64</f>
        <v>456</v>
      </c>
      <c r="F29" s="43">
        <f>IF(Declarații_DIVIDENDE!B42="DA",Declarații_DIVIDENDE!B47,0)</f>
        <v>80000</v>
      </c>
      <c r="G29" s="43" t="str">
        <f>"Datorie față de asociat, interimar " &amp; Declarații_DIVIDENDE!B68</f>
        <v>Datorie față de asociat, interimar — AGA 12 / 2026-04-20, exercițiul 2025</v>
      </c>
    </row>
    <row r="30">
      <c r="A30" s="43" t="n">
        <v>2</v>
      </c>
      <c r="B30" s="43" t="str">
        <f>Declarații_DIVIDENDE!B64</f>
        <v>456</v>
      </c>
      <c r="C30" s="43">
        <f>IF(Declarații_DIVIDENDE!B42="DA",Declarații_DIVIDENDE!B48,0)</f>
        <v>12800</v>
      </c>
      <c r="D30" s="43" t="str">
        <f>"Impozit 16% pe dividende interimare " &amp; Declarații_DIVIDENDE!B68</f>
        <v>Impozit 16% pe dividende interimare — AGA 12 / 2026-04-20, exercițiul 2025</v>
      </c>
      <c r="E30" s="43" t="str">
        <f>Declarații_DIVIDENDE!B62</f>
        <v>446.dividende</v>
      </c>
      <c r="F30" s="43">
        <f>IF(Declarații_DIVIDENDE!B42="DA",Declarații_DIVIDENDE!B48,0)</f>
        <v>12800</v>
      </c>
      <c r="G30" s="43" t="str">
        <f>"Impozit de plată " &amp; Declarații_DIVIDENDE!B68</f>
        <v>Impozit de plată — AGA 12 / 2026-04-20, exercițiul 2025</v>
      </c>
    </row>
    <row r="31">
      <c r="A31" s="43" t="n">
        <v>3</v>
      </c>
      <c r="B31" s="43" t="str">
        <f>Declarații_DIVIDENDE!B64</f>
        <v>456</v>
      </c>
      <c r="C31" s="43">
        <f>IF(Declarații_DIVIDENDE!B42="DA",Declarații_DIVIDENDE!B47-Declarații_DIVIDENDE!B48,0)</f>
        <v>67200</v>
      </c>
      <c r="D31" s="43" t="str">
        <f>"Plata dividendelor interimare " &amp; Declarații_DIVIDENDE!B68</f>
        <v>Plata dividendelor interimare — AGA 12 / 2026-04-20, exercițiul 2025</v>
      </c>
      <c r="E31" s="43" t="str">
        <f>Declarații_DIVIDENDE!B65</f>
        <v>5121</v>
      </c>
      <c r="F31" s="43">
        <f>IF(Declarații_DIVIDENDE!B42="DA",Declarații_DIVIDENDE!B47-Declarații_DIVIDENDE!B48,0)</f>
        <v>67200</v>
      </c>
      <c r="G31" s="43" t="str">
        <f>"Ieșire trezorerie " &amp; Declarații_DIVIDENDE!B68</f>
        <v>Ieșire trezorerie — AGA 12 / 2026-04-20, exercițiul 2025</v>
      </c>
    </row>
    <row r="32">
      <c r="A32" s="43" t="inlineStr">
        <is>
          <t>Check C (456 se stinge integral)</t>
        </is>
      </c>
      <c r="B32" s="43">
        <f>F29-C30-C31</f>
        <v>0</v>
      </c>
      <c r="C32" s="43" t="str">
        <f>IF(ABS(B32)&lt;0.01,"OK — 456 = 0; 463 rămâne creanță până la 31.12","EROARE — 456 nu se stinge")</f>
        <v>OK — 456 = 0; 463 rămâne creanță până la 31.12</v>
      </c>
    </row>
    <row r="33">
      <c r="A33" s="43" t="inlineStr">
        <is>
          <t>Check C2 (repartizat ≤ sold 121)</t>
        </is>
      </c>
      <c r="B33" s="43">
        <f>IF(Declarații_DIVIDENDE!B42="DA",MAX(0,Declarații_DIVIDENDE!B47-Declarații_DIVIDENDE!B45),0)</f>
        <v>0</v>
      </c>
      <c r="C33" s="43" t="str">
        <f>IF(B33&lt;0.01,"OK — sub plafonul profitului realizat","EROARE — depășire de " &amp; TEXT(B33,"#,##0.00") &amp; " lei")</f>
        <v>OK — sub plafonul profitului realizat</v>
      </c>
    </row>
    <row r="35">
      <c r="A35" s="42" t="inlineStr">
        <is>
          <t>Bloc D — Regularizarea la 31.12 (storno)</t>
        </is>
      </c>
    </row>
    <row r="36">
      <c r="A36" s="44" t="inlineStr">
        <is>
          <t>Sumele sunt NEGATIVE: stornarea se face în roșu, nu prin înregistrare inversă. Cele două rânduri se echilibrează fiecare în parte.</t>
        </is>
      </c>
    </row>
    <row r="37">
      <c r="A37" s="65" t="inlineStr">
        <is>
          <t>Nr</t>
        </is>
      </c>
      <c r="B37" s="65" t="inlineStr">
        <is>
          <t>Cont Dr</t>
        </is>
      </c>
      <c r="C37" s="65" t="inlineStr">
        <is>
          <t>Sumă Dr</t>
        </is>
      </c>
      <c r="D37" s="65" t="inlineStr">
        <is>
          <t>Descriere Dr</t>
        </is>
      </c>
      <c r="E37" s="65" t="inlineStr">
        <is>
          <t>Cont Cr</t>
        </is>
      </c>
      <c r="F37" s="65" t="inlineStr">
        <is>
          <t>Sumă Cr</t>
        </is>
      </c>
      <c r="G37" s="65" t="inlineStr">
        <is>
          <t>Descriere Cr</t>
        </is>
      </c>
    </row>
    <row r="38">
      <c r="A38" s="43" t="n">
        <v>1</v>
      </c>
      <c r="B38" s="43" t="str">
        <f>Declarații_DIVIDENDE!B63</f>
        <v>463</v>
      </c>
      <c r="C38" s="43">
        <f>IF(Declarații_DIVIDENDE!B52="DA",-Declarații_DIVIDENDE!B54,0)</f>
        <v>-10000</v>
      </c>
      <c r="D38" s="43" t="str">
        <f>"Storno dividende interimare nerealizate " &amp; Declarații_DIVIDENDE!B68</f>
        <v>Storno dividende interimare nerealizate — AGA 12 / 2026-04-20, exercițiul 2025</v>
      </c>
      <c r="E38" s="43" t="str">
        <f>Declarații_DIVIDENDE!B64</f>
        <v>456</v>
      </c>
      <c r="F38" s="43">
        <f>IF(Declarații_DIVIDENDE!B52="DA",-Declarații_DIVIDENDE!B54,0)</f>
        <v>-10000</v>
      </c>
      <c r="G38" s="43" t="str">
        <f>"Storno datorie față de asociat " &amp; Declarații_DIVIDENDE!B68</f>
        <v>Storno datorie față de asociat — AGA 12 / 2026-04-20, exercițiul 2025</v>
      </c>
    </row>
    <row r="39">
      <c r="A39" s="43" t="n">
        <v>2</v>
      </c>
      <c r="B39" s="43" t="str">
        <f>Declarații_DIVIDENDE!B64</f>
        <v>456</v>
      </c>
      <c r="C39" s="43">
        <f>IF(Declarații_DIVIDENDE!B52="DA",-Declarații_DIVIDENDE!B55,0)</f>
        <v>-1600</v>
      </c>
      <c r="D39" s="43" t="str">
        <f>"Storno impozit pe partea nerealizată " &amp; Declarații_DIVIDENDE!B68</f>
        <v>Storno impozit pe partea nerealizată — AGA 12 / 2026-04-20, exercițiul 2025</v>
      </c>
      <c r="E39" s="43" t="str">
        <f>Declarații_DIVIDENDE!B62</f>
        <v>446.dividende</v>
      </c>
      <c r="F39" s="43">
        <f>IF(Declarații_DIVIDENDE!B52="DA",-Declarații_DIVIDENDE!B55,0)</f>
        <v>-1600</v>
      </c>
      <c r="G39" s="43" t="str">
        <f>"Storno impozit de plată (rectificativă D710) " &amp; Declarații_DIVIDENDE!B68</f>
        <v>Storno impozit de plată (rectificativă D710) — AGA 12 / 2026-04-20, exercițiul 2025</v>
      </c>
    </row>
    <row r="40">
      <c r="A40" s="43" t="n">
        <v>3</v>
      </c>
      <c r="B40" s="43" t="str">
        <f>Declarații_DIVIDENDE!B63</f>
        <v>463</v>
      </c>
      <c r="C40" s="43" t="n">
        <v>0</v>
      </c>
      <c r="D40" s="43" t="inlineStr">
        <is>
          <t>"Anul următor, la AGA: 121 = 1171, apoi 1171 = 463 pe partea rămasă"</t>
        </is>
      </c>
      <c r="E40" s="43" t="str">
        <f>Declarații_DIVIDENDE!B63</f>
        <v>463</v>
      </c>
      <c r="F40" s="43" t="n">
        <v>0</v>
      </c>
      <c r="G40" s="43" t="inlineStr">
        <is>
          <t>"Vezi F-110 pașii de închidere"</t>
        </is>
      </c>
    </row>
    <row r="41">
      <c r="A41" s="43" t="inlineStr">
        <is>
          <t>Check D (storno = repartizat − profit realizat)</t>
        </is>
      </c>
      <c r="B41" s="43">
        <f>IF(Declarații_DIVIDENDE!B52="DA",ABS(C38)-MAX(0,Declarații_DIVIDENDE!B47-Declarații_DIVIDENDE!B53),0)</f>
        <v>0</v>
      </c>
      <c r="C41" s="43" t="str">
        <f>IF(ABS(B41)&lt;0.01,"OK — se stornează exact partea nerealizată","EROARE — stornarea nu corespunde diferenței")</f>
        <v>OK — se stornează exact partea nerealizată</v>
      </c>
    </row>
    <row r="43">
      <c r="A43" s="43" t="inlineStr">
        <is>
          <t>Check global</t>
        </is>
      </c>
      <c r="B43" s="43">
        <f>ABS(B10)+ABS(B18)+ABS(B25)+ABS(B32)+ABS(B33)+ABS(B41)</f>
        <v>0</v>
      </c>
      <c r="C43" s="43" t="str">
        <f>IF(B43&lt;0.01,"OK — toate blocurile se închid","EROARE — cel puțin un bloc nu se închide")</f>
        <v>OK — toate blocurile se închid</v>
      </c>
    </row>
    <row r="45">
      <c r="A45" s="42" t="inlineStr">
        <is>
          <t>Stare terminală</t>
        </is>
      </c>
    </row>
    <row r="46">
      <c r="A46" s="44" t="inlineStr">
        <is>
          <t>După blocul B2: 1171 repartizat integral, 446 = 0, 457 = 0 pe fiecare analitic (dacă s-a ridicat). După blocul D: 463 rămâne la nivelul profitului realizat și se soldează anul următor, prin 1171. Rămâne de depus D710 și de recuperat de la asociat diferența stornată.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30" customWidth="1" style="40" min="2" max="2"/>
    <col width="14" customWidth="1" style="40" min="3" max="3"/>
    <col width="14" customWidth="1" style="40" min="4" max="4"/>
    <col width="14" customWidth="1" style="40" min="5" max="5"/>
    <col width="14" customWidth="1" style="40" min="6" max="6"/>
    <col width="52" customWidth="1" style="40" min="7" max="7"/>
    <col width="26" customWidth="1" style="40" min="8" max="8"/>
    <col width="10" customWidth="1" style="40" min="9" max="9"/>
  </cols>
  <sheetData>
    <row r="1">
      <c r="A1" s="41" t="inlineStr">
        <is>
          <t>MOD_DIVIDENDE — Notă pentru import</t>
        </is>
      </c>
    </row>
    <row r="2">
      <c r="A2" s="44" t="inlineStr">
        <is>
          <t>Filtrează Include=DA. Rândurile de storno au sumă negativă și se importă ca atare — includerea lor se decide după sumă ≠ 0, nu după semn.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A Repartizare asociat 1</t>
        </is>
      </c>
      <c r="C5" s="43" t="str">
        <f>Declarații_DIVIDENDE!B9</f>
        <v>2026-04-30</v>
      </c>
      <c r="D5" s="43" t="str">
        <f>Jurnale_DIVIDENDE!B7</f>
        <v>1171</v>
      </c>
      <c r="E5" s="43" t="str">
        <f>Jurnale_DIVIDENDE!E7</f>
        <v>457.1</v>
      </c>
      <c r="F5" s="43">
        <f>Jurnale_DIVIDENDE!C7</f>
        <v>10000</v>
      </c>
      <c r="G5" s="43" t="str">
        <f>Jurnale_DIVIDENDE!D7</f>
        <v>Repartizare dividende Ionescu — AGA 12 / 2026-04-20, exercițiul 2025</v>
      </c>
      <c r="H5" s="43" t="inlineStr">
        <is>
          <t>Hotărâre AGA</t>
        </is>
      </c>
      <c r="I5" s="43" t="str">
        <f>IF(AND(ISNUMBER(F5),ABS(F5)&gt;0),"DA","NU")</f>
        <v>DA</v>
      </c>
    </row>
    <row r="6">
      <c r="A6" s="43" t="n">
        <v>2</v>
      </c>
      <c r="B6" s="43" t="inlineStr">
        <is>
          <t>A Repartizare asociat 2</t>
        </is>
      </c>
      <c r="C6" s="43" t="str">
        <f>Declarații_DIVIDENDE!B9</f>
        <v>2026-04-30</v>
      </c>
      <c r="D6" s="43" t="str">
        <f>Jurnale_DIVIDENDE!B8</f>
        <v>1171</v>
      </c>
      <c r="E6" s="43" t="str">
        <f>Jurnale_DIVIDENDE!E8</f>
        <v>457.2</v>
      </c>
      <c r="F6" s="43">
        <f>Jurnale_DIVIDENDE!C8</f>
        <v>10000</v>
      </c>
      <c r="G6" s="43" t="str">
        <f>Jurnale_DIVIDENDE!D8</f>
        <v>Repartizare dividende Popescu — AGA 12 / 2026-04-20, exercițiul 2025</v>
      </c>
      <c r="H6" s="43" t="inlineStr">
        <is>
          <t>Hotărâre AGA</t>
        </is>
      </c>
      <c r="I6" s="43" t="str">
        <f>IF(AND(ISNUMBER(F6),ABS(F6)&gt;0),"DA","NU")</f>
        <v>DA</v>
      </c>
    </row>
    <row r="7">
      <c r="A7" s="43" t="n">
        <v>3</v>
      </c>
      <c r="B7" s="43" t="inlineStr">
        <is>
          <t>A Repartizare asociat 3</t>
        </is>
      </c>
      <c r="C7" s="43" t="str">
        <f>Declarații_DIVIDENDE!B9</f>
        <v>2026-04-30</v>
      </c>
      <c r="D7" s="43" t="str">
        <f>Jurnale_DIVIDENDE!B9</f>
        <v>1171</v>
      </c>
      <c r="E7" s="43" t="str">
        <f>Jurnale_DIVIDENDE!E9</f>
        <v>457.3</v>
      </c>
      <c r="F7" s="43">
        <f>Jurnale_DIVIDENDE!C9</f>
        <v>10000</v>
      </c>
      <c r="G7" s="43" t="str">
        <f>Jurnale_DIVIDENDE!D9</f>
        <v>Repartizare dividende Xulescu — AGA 12 / 2026-04-20, exercițiul 2025</v>
      </c>
      <c r="H7" s="43" t="inlineStr">
        <is>
          <t>Hotărâre AGA</t>
        </is>
      </c>
      <c r="I7" s="43" t="str">
        <f>IF(AND(ISNUMBER(F7),ABS(F7)&gt;0),"DA","NU")</f>
        <v>DA</v>
      </c>
    </row>
    <row r="8">
      <c r="A8" s="43" t="n">
        <v>4</v>
      </c>
      <c r="B8" s="43" t="inlineStr">
        <is>
          <t>B Impozit asociat 1</t>
        </is>
      </c>
      <c r="C8" s="43" t="str">
        <f>Declarații_DIVIDENDE!B9</f>
        <v>2026-04-30</v>
      </c>
      <c r="D8" s="43" t="str">
        <f>Jurnale_DIVIDENDE!B14</f>
        <v>457.1</v>
      </c>
      <c r="E8" s="43" t="str">
        <f>Jurnale_DIVIDENDE!E14</f>
        <v>446.dividende</v>
      </c>
      <c r="F8" s="43">
        <f>Jurnale_DIVIDENDE!C14</f>
        <v>1600</v>
      </c>
      <c r="G8" s="43" t="str">
        <f>Jurnale_DIVIDENDE!D14</f>
        <v>Impozit 16% dividende Ionescu — AGA 12 / 2026-04-20, exercițiul 2025</v>
      </c>
      <c r="H8" s="43" t="inlineStr">
        <is>
          <t>Notă contabilă</t>
        </is>
      </c>
      <c r="I8" s="43" t="str">
        <f>IF(AND(ISNUMBER(F8),ABS(F8)&gt;0),"DA","NU")</f>
        <v>DA</v>
      </c>
    </row>
    <row r="9">
      <c r="A9" s="43" t="n">
        <v>5</v>
      </c>
      <c r="B9" s="43" t="inlineStr">
        <is>
          <t>B Impozit asociat 2</t>
        </is>
      </c>
      <c r="C9" s="43" t="str">
        <f>Declarații_DIVIDENDE!B9</f>
        <v>2026-04-30</v>
      </c>
      <c r="D9" s="43" t="str">
        <f>Jurnale_DIVIDENDE!B15</f>
        <v>457.2</v>
      </c>
      <c r="E9" s="43" t="str">
        <f>Jurnale_DIVIDENDE!E15</f>
        <v>446.dividende</v>
      </c>
      <c r="F9" s="43">
        <f>Jurnale_DIVIDENDE!C15</f>
        <v>1600</v>
      </c>
      <c r="G9" s="43" t="str">
        <f>Jurnale_DIVIDENDE!D15</f>
        <v>Impozit 16% dividende Popescu — AGA 12 / 2026-04-20, exercițiul 2025</v>
      </c>
      <c r="H9" s="43" t="inlineStr">
        <is>
          <t>Notă contabilă</t>
        </is>
      </c>
      <c r="I9" s="43" t="str">
        <f>IF(AND(ISNUMBER(F9),ABS(F9)&gt;0),"DA","NU")</f>
        <v>DA</v>
      </c>
    </row>
    <row r="10">
      <c r="A10" s="43" t="n">
        <v>6</v>
      </c>
      <c r="B10" s="43" t="inlineStr">
        <is>
          <t>B Impozit asociat 3</t>
        </is>
      </c>
      <c r="C10" s="43" t="str">
        <f>Declarații_DIVIDENDE!B9</f>
        <v>2026-04-30</v>
      </c>
      <c r="D10" s="43" t="str">
        <f>Jurnale_DIVIDENDE!B16</f>
        <v>457.3</v>
      </c>
      <c r="E10" s="43" t="str">
        <f>Jurnale_DIVIDENDE!E16</f>
        <v>446.dividende</v>
      </c>
      <c r="F10" s="43">
        <f>Jurnale_DIVIDENDE!C16</f>
        <v>1600</v>
      </c>
      <c r="G10" s="43" t="str">
        <f>Jurnale_DIVIDENDE!D16</f>
        <v>Impozit 16% dividende Xulescu — AGA 12 / 2026-04-20, exercițiul 2025</v>
      </c>
      <c r="H10" s="43" t="inlineStr">
        <is>
          <t>Notă contabilă</t>
        </is>
      </c>
      <c r="I10" s="43" t="str">
        <f>IF(AND(ISNUMBER(F10),ABS(F10)&gt;0),"DA","NU")</f>
        <v>DA</v>
      </c>
    </row>
    <row r="11">
      <c r="A11" s="43" t="n">
        <v>7</v>
      </c>
      <c r="B11" s="43" t="inlineStr">
        <is>
          <t>B Plata impozitului</t>
        </is>
      </c>
      <c r="C11" s="43" t="str">
        <f>Declarații_DIVIDENDE!B9</f>
        <v>2026-04-30</v>
      </c>
      <c r="D11" s="43" t="str">
        <f>Jurnale_DIVIDENDE!B17</f>
        <v>446.dividende</v>
      </c>
      <c r="E11" s="43" t="str">
        <f>Jurnale_DIVIDENDE!E17</f>
        <v>5121</v>
      </c>
      <c r="F11" s="43">
        <f>Jurnale_DIVIDENDE!C17</f>
        <v>4800</v>
      </c>
      <c r="G11" s="43" t="str">
        <f>Jurnale_DIVIDENDE!D17</f>
        <v>Plata impozitului pe dividende (termen 25.01) — AGA 12 / 2026-04-20, exercițiul 2025</v>
      </c>
      <c r="H11" s="43" t="inlineStr">
        <is>
          <t>Ordin de plată</t>
        </is>
      </c>
      <c r="I11" s="43" t="str">
        <f>IF(AND(ISNUMBER(F11),ABS(F11)&gt;0),"DA","NU")</f>
        <v>DA</v>
      </c>
    </row>
    <row r="12">
      <c r="A12" s="43" t="n">
        <v>8</v>
      </c>
      <c r="B12" s="43" t="inlineStr">
        <is>
          <t>B2 Plată net asociat 1</t>
        </is>
      </c>
      <c r="C12" s="43" t="str">
        <f>Declarații_DIVIDENDE!B9</f>
        <v>2026-04-30</v>
      </c>
      <c r="D12" s="43" t="str">
        <f>Jurnale_DIVIDENDE!B22</f>
        <v>457.1</v>
      </c>
      <c r="E12" s="43" t="str">
        <f>Jurnale_DIVIDENDE!E22</f>
        <v>5121</v>
      </c>
      <c r="F12" s="43">
        <f>Jurnale_DIVIDENDE!C22</f>
        <v>8400</v>
      </c>
      <c r="G12" s="43" t="str">
        <f>Jurnale_DIVIDENDE!D22</f>
        <v>Plată dividend net Ionescu — AGA 12 / 2026-04-20, exercițiul 2025</v>
      </c>
      <c r="H12" s="43" t="inlineStr">
        <is>
          <t>Ordin de plată</t>
        </is>
      </c>
      <c r="I12" s="43" t="str">
        <f>IF(AND(ISNUMBER(F12),ABS(F12)&gt;0),"DA","NU")</f>
        <v>DA</v>
      </c>
    </row>
    <row r="13">
      <c r="A13" s="43" t="n">
        <v>9</v>
      </c>
      <c r="B13" s="43" t="inlineStr">
        <is>
          <t>B2 Plată net asociat 2</t>
        </is>
      </c>
      <c r="C13" s="43" t="str">
        <f>Declarații_DIVIDENDE!B9</f>
        <v>2026-04-30</v>
      </c>
      <c r="D13" s="43" t="str">
        <f>Jurnale_DIVIDENDE!B23</f>
        <v>457.2</v>
      </c>
      <c r="E13" s="43" t="str">
        <f>Jurnale_DIVIDENDE!E23</f>
        <v>5121</v>
      </c>
      <c r="F13" s="43">
        <f>Jurnale_DIVIDENDE!C23</f>
        <v>8400</v>
      </c>
      <c r="G13" s="43" t="str">
        <f>Jurnale_DIVIDENDE!D23</f>
        <v>Plată dividend net Popescu — AGA 12 / 2026-04-20, exercițiul 2025</v>
      </c>
      <c r="H13" s="43" t="inlineStr">
        <is>
          <t>Ordin de plată</t>
        </is>
      </c>
      <c r="I13" s="43" t="str">
        <f>IF(AND(ISNUMBER(F13),ABS(F13)&gt;0),"DA","NU")</f>
        <v>DA</v>
      </c>
    </row>
    <row r="14">
      <c r="A14" s="43" t="n">
        <v>10</v>
      </c>
      <c r="B14" s="43" t="inlineStr">
        <is>
          <t>B2 Plată net asociat 3</t>
        </is>
      </c>
      <c r="C14" s="43" t="str">
        <f>Declarații_DIVIDENDE!B9</f>
        <v>2026-04-30</v>
      </c>
      <c r="D14" s="43" t="str">
        <f>Jurnale_DIVIDENDE!B24</f>
        <v>457.3</v>
      </c>
      <c r="E14" s="43" t="str">
        <f>Jurnale_DIVIDENDE!E24</f>
        <v>5121</v>
      </c>
      <c r="F14" s="43">
        <f>Jurnale_DIVIDENDE!C24</f>
        <v>8400</v>
      </c>
      <c r="G14" s="43" t="str">
        <f>Jurnale_DIVIDENDE!D24</f>
        <v>Plată dividend net Xulescu — AGA 12 / 2026-04-20, exercițiul 2025</v>
      </c>
      <c r="H14" s="43" t="inlineStr">
        <is>
          <t>Ordin de plată</t>
        </is>
      </c>
      <c r="I14" s="43" t="str">
        <f>IF(AND(ISNUMBER(F14),ABS(F14)&gt;0),"DA","NU")</f>
        <v>DA</v>
      </c>
    </row>
    <row r="15">
      <c r="A15" s="43" t="n">
        <v>11</v>
      </c>
      <c r="B15" s="43" t="inlineStr">
        <is>
          <t>C Interimare — repartizare</t>
        </is>
      </c>
      <c r="C15" s="43" t="str">
        <f>Declarații_DIVIDENDE!B9</f>
        <v>2026-04-30</v>
      </c>
      <c r="D15" s="43" t="str">
        <f>Jurnale_DIVIDENDE!B29</f>
        <v>463</v>
      </c>
      <c r="E15" s="43" t="str">
        <f>Jurnale_DIVIDENDE!E29</f>
        <v>456</v>
      </c>
      <c r="F15" s="43">
        <f>Jurnale_DIVIDENDE!C29</f>
        <v>80000</v>
      </c>
      <c r="G15" s="43" t="str">
        <f>Jurnale_DIVIDENDE!D29</f>
        <v>Dividende interimare repartizate — AGA 12 / 2026-04-20, exercițiul 2025</v>
      </c>
      <c r="H15" s="43" t="inlineStr">
        <is>
          <t>Hotărâre AGA + bilanț interimar</t>
        </is>
      </c>
      <c r="I15" s="43" t="str">
        <f>IF(AND(ISNUMBER(F15),ABS(F15)&gt;0),"DA","NU")</f>
        <v>DA</v>
      </c>
    </row>
    <row r="16">
      <c r="A16" s="43" t="n">
        <v>12</v>
      </c>
      <c r="B16" s="43" t="inlineStr">
        <is>
          <t>C Interimare — impozit</t>
        </is>
      </c>
      <c r="C16" s="43" t="str">
        <f>Declarații_DIVIDENDE!B9</f>
        <v>2026-04-30</v>
      </c>
      <c r="D16" s="43" t="str">
        <f>Jurnale_DIVIDENDE!B30</f>
        <v>456</v>
      </c>
      <c r="E16" s="43" t="str">
        <f>Jurnale_DIVIDENDE!E30</f>
        <v>446.dividende</v>
      </c>
      <c r="F16" s="43">
        <f>Jurnale_DIVIDENDE!C30</f>
        <v>12800</v>
      </c>
      <c r="G16" s="43" t="str">
        <f>Jurnale_DIVIDENDE!D30</f>
        <v>Impozit 16% pe dividende interimare — AGA 12 / 2026-04-20, exercițiul 2025</v>
      </c>
      <c r="H16" s="43" t="inlineStr">
        <is>
          <t>Notă contabilă</t>
        </is>
      </c>
      <c r="I16" s="43" t="str">
        <f>IF(AND(ISNUMBER(F16),ABS(F16)&gt;0),"DA","NU")</f>
        <v>DA</v>
      </c>
    </row>
    <row r="17">
      <c r="A17" s="43" t="n">
        <v>13</v>
      </c>
      <c r="B17" s="43" t="inlineStr">
        <is>
          <t>C Interimare — plată</t>
        </is>
      </c>
      <c r="C17" s="43" t="str">
        <f>Declarații_DIVIDENDE!B9</f>
        <v>2026-04-30</v>
      </c>
      <c r="D17" s="43" t="str">
        <f>Jurnale_DIVIDENDE!B31</f>
        <v>456</v>
      </c>
      <c r="E17" s="43" t="str">
        <f>Jurnale_DIVIDENDE!E31</f>
        <v>5121</v>
      </c>
      <c r="F17" s="43">
        <f>Jurnale_DIVIDENDE!C31</f>
        <v>67200</v>
      </c>
      <c r="G17" s="43" t="str">
        <f>Jurnale_DIVIDENDE!D31</f>
        <v>Plata dividendelor interimare — AGA 12 / 2026-04-20, exercițiul 2025</v>
      </c>
      <c r="H17" s="43" t="inlineStr">
        <is>
          <t>Ordin de plată</t>
        </is>
      </c>
      <c r="I17" s="43" t="str">
        <f>IF(AND(ISNUMBER(F17),ABS(F17)&gt;0),"DA","NU")</f>
        <v>DA</v>
      </c>
    </row>
    <row r="18">
      <c r="A18" s="43" t="n">
        <v>14</v>
      </c>
      <c r="B18" s="43" t="inlineStr">
        <is>
          <t>D Storno interimare</t>
        </is>
      </c>
      <c r="C18" s="43" t="str">
        <f>Declarații_DIVIDENDE!B9</f>
        <v>2026-04-30</v>
      </c>
      <c r="D18" s="43" t="str">
        <f>Jurnale_DIVIDENDE!B38</f>
        <v>463</v>
      </c>
      <c r="E18" s="43" t="str">
        <f>Jurnale_DIVIDENDE!E38</f>
        <v>456</v>
      </c>
      <c r="F18" s="43">
        <f>Jurnale_DIVIDENDE!C38</f>
        <v>-10000</v>
      </c>
      <c r="G18" s="43" t="str">
        <f>Jurnale_DIVIDENDE!D38</f>
        <v>Storno dividende interimare nerealizate — AGA 12 / 2026-04-20, exercițiul 2025</v>
      </c>
      <c r="H18" s="43" t="inlineStr">
        <is>
          <t>Notă contabilă 31.12</t>
        </is>
      </c>
      <c r="I18" s="43" t="str">
        <f>IF(AND(ISNUMBER(F18),ABS(F18)&gt;0),"DA","NU")</f>
        <v>DA</v>
      </c>
    </row>
    <row r="19">
      <c r="A19" s="43" t="n">
        <v>15</v>
      </c>
      <c r="B19" s="43" t="inlineStr">
        <is>
          <t>D Storno impozit</t>
        </is>
      </c>
      <c r="C19" s="43" t="str">
        <f>Declarații_DIVIDENDE!B9</f>
        <v>2026-04-30</v>
      </c>
      <c r="D19" s="43" t="str">
        <f>Jurnale_DIVIDENDE!B39</f>
        <v>456</v>
      </c>
      <c r="E19" s="43" t="str">
        <f>Jurnale_DIVIDENDE!E39</f>
        <v>446.dividende</v>
      </c>
      <c r="F19" s="43">
        <f>Jurnale_DIVIDENDE!C39</f>
        <v>-1600</v>
      </c>
      <c r="G19" s="43" t="str">
        <f>Jurnale_DIVIDENDE!D39</f>
        <v>Storno impozit pe partea nerealizată — AGA 12 / 2026-04-20, exercițiul 2025</v>
      </c>
      <c r="H19" s="43" t="inlineStr">
        <is>
          <t>Notă contabilă + D710</t>
        </is>
      </c>
      <c r="I19" s="43" t="str">
        <f>IF(AND(ISNUMBER(F19),ABS(F19)&gt;0),"DA","NU")</f>
        <v>DA</v>
      </c>
    </row>
    <row r="20">
      <c r="A20" s="43" t="n">
        <v>16</v>
      </c>
      <c r="B20" s="43" t="inlineStr">
        <is>
          <t>D Închidere anul următor</t>
        </is>
      </c>
      <c r="C20" s="43" t="str">
        <f>Declarații_DIVIDENDE!B9</f>
        <v>2026-04-30</v>
      </c>
      <c r="D20" s="43" t="str">
        <f>Jurnale_DIVIDENDE!B40</f>
        <v>463</v>
      </c>
      <c r="E20" s="43" t="str">
        <f>Jurnale_DIVIDENDE!E40</f>
        <v>463</v>
      </c>
      <c r="F20" s="43">
        <f>Jurnale_DIVIDENDE!C40</f>
        <v>0</v>
      </c>
      <c r="G20" s="43" t="str">
        <f>Jurnale_DIVIDENDE!D40</f>
        <v>"Anul următor, la AGA: 121 = 1171, apoi 1171 = 463 pe partea rămasă"</v>
      </c>
      <c r="H20" s="43" t="inlineStr">
        <is>
          <t>Hotărâre AGA anul următor</t>
        </is>
      </c>
      <c r="I20" s="43" t="str">
        <f>IF(AND(ISNUMBER(F20),ABS(F20)&gt;0),"DA","NU")</f>
        <v>NU</v>
      </c>
    </row>
    <row r="22">
      <c r="A22" s="43" t="inlineStr">
        <is>
          <t>Rânduri de importat</t>
        </is>
      </c>
      <c r="B22" s="43">
        <f>COUNTIF(I5:I20,"DA")</f>
        <v>15</v>
      </c>
    </row>
    <row r="23">
      <c r="A23" s="43" t="inlineStr">
        <is>
          <t>Check global</t>
        </is>
      </c>
      <c r="B23" s="43">
        <f>Jurnale_DIVIDENDE!B43</f>
        <v>0</v>
      </c>
      <c r="C23" s="43" t="str">
        <f>IF(ABS(B23)&lt;0.01,"OK","EROARE")</f>
        <v>OK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6" customWidth="1" style="40" min="1" max="1"/>
    <col width="22" customWidth="1" style="40" min="2" max="2"/>
    <col width="58" customWidth="1" style="40" min="3" max="3"/>
  </cols>
  <sheetData>
    <row r="1">
      <c r="A1" s="41" t="inlineStr">
        <is>
          <t>MOD_IMOBILIZARI — Declarații (input)</t>
        </is>
      </c>
    </row>
    <row r="2">
      <c r="A2" s="44" t="inlineStr">
        <is>
          <t>Completează doar celulele galbene. Regimul de TVA activează singur blocul potrivit.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Denumire mijloc fix</t>
        </is>
      </c>
      <c r="B6" s="64" t="inlineStr">
        <is>
          <t>Echipament tehnologic</t>
        </is>
      </c>
    </row>
    <row r="7">
      <c r="A7" s="43" t="inlineStr">
        <is>
          <t>Luna</t>
        </is>
      </c>
      <c r="B7" s="64" t="inlineStr">
        <is>
          <t>2026-07</t>
        </is>
      </c>
    </row>
    <row r="8">
      <c r="A8" s="43" t="inlineStr">
        <is>
          <t>Data facturii</t>
        </is>
      </c>
      <c r="B8" s="64" t="inlineStr">
        <is>
          <t>2026-07-05</t>
        </is>
      </c>
    </row>
    <row r="9">
      <c r="A9" s="43" t="inlineStr">
        <is>
          <t>Data punerii în funcțiune</t>
        </is>
      </c>
      <c r="B9" s="64" t="inlineStr">
        <is>
          <t>2026-07-20</t>
        </is>
      </c>
    </row>
    <row r="11">
      <c r="A11" s="42" t="inlineStr">
        <is>
          <t>2. Valori</t>
        </is>
      </c>
    </row>
    <row r="12">
      <c r="A12" s="43" t="inlineStr">
        <is>
          <t>Valoare din factură / DVI (fără TVA)</t>
        </is>
      </c>
      <c r="B12" s="64" t="n">
        <v>100000</v>
      </c>
    </row>
    <row r="13">
      <c r="A13" s="43" t="inlineStr">
        <is>
          <t>Taxe vamale (0 dacă nu e import)</t>
        </is>
      </c>
      <c r="B13" s="64" t="n">
        <v>0</v>
      </c>
      <c r="C13" s="44" t="inlineStr">
        <is>
          <t>Se CAPITALIZEAZĂ, nu se trec pe 635</t>
        </is>
      </c>
    </row>
    <row r="14">
      <c r="A14" s="43" t="inlineStr">
        <is>
          <t>Transport și manipulare până la recepție</t>
        </is>
      </c>
      <c r="B14" s="64" t="n">
        <v>0</v>
      </c>
      <c r="C14" s="44" t="inlineStr">
        <is>
          <t>Intră tot în costul de achiziție</t>
        </is>
      </c>
    </row>
    <row r="15">
      <c r="A15" s="43" t="inlineStr">
        <is>
          <t>Cotă TVA</t>
        </is>
      </c>
      <c r="B15" s="43">
        <f>Parametri!B10</f>
        <v>0.21</v>
      </c>
    </row>
    <row r="17">
      <c r="A17" s="42" t="inlineStr">
        <is>
          <t>3. Regim și clasificare</t>
        </is>
      </c>
    </row>
    <row r="18">
      <c r="A18" s="43" t="inlineStr">
        <is>
          <t>Regim TVA (INTERN / TAXARE_INVERSA / IMPORT)</t>
        </is>
      </c>
      <c r="B18" s="64" t="inlineStr">
        <is>
          <t>INTERN</t>
        </is>
      </c>
    </row>
    <row r="19">
      <c r="A19" s="43" t="inlineStr">
        <is>
          <t>Bunul a fost recepționat? (DA / NU)</t>
        </is>
      </c>
      <c r="B19" s="64" t="inlineStr">
        <is>
          <t>DA</t>
        </is>
      </c>
      <c r="C19" s="44" t="inlineStr">
        <is>
          <t>NU → intrarea se face pe 223/224 (tranzit), vezi F-207</t>
        </is>
      </c>
    </row>
    <row r="20">
      <c r="A20" s="43" t="inlineStr">
        <is>
          <t>Cod de clasificare din catalog</t>
        </is>
      </c>
      <c r="B20" s="64" t="inlineStr">
        <is>
          <t>2.1.16.4.1</t>
        </is>
      </c>
    </row>
    <row r="21">
      <c r="A21" s="43" t="inlineStr">
        <is>
          <t>Durată de amortizare (luni)</t>
        </is>
      </c>
      <c r="B21" s="64" t="n">
        <v>120</v>
      </c>
      <c r="C21" s="44" t="inlineStr">
        <is>
          <t>Din catalogul de clasificare; merge în D406/SAF-T</t>
        </is>
      </c>
    </row>
    <row r="23">
      <c r="A23" s="42" t="inlineStr">
        <is>
          <t>4. Calcul automat (nu edita)</t>
        </is>
      </c>
    </row>
    <row r="24">
      <c r="A24" s="43" t="inlineStr">
        <is>
          <t>Valoare de intrare (cost complet)</t>
        </is>
      </c>
      <c r="B24" s="43">
        <f>B12+B13+B14</f>
        <v>100000</v>
      </c>
    </row>
    <row r="25">
      <c r="A25" s="43" t="inlineStr">
        <is>
          <t>TVA aferentă</t>
        </is>
      </c>
      <c r="B25" s="43">
        <f>B12*B15</f>
        <v>21000</v>
      </c>
    </row>
    <row r="26">
      <c r="A26" s="43" t="inlineStr">
        <is>
          <t>Amortizare lunară</t>
        </is>
      </c>
      <c r="B26" s="43">
        <f>ROUND(B24/B21,2)</f>
        <v>833.33</v>
      </c>
    </row>
    <row r="27">
      <c r="A27" s="43" t="inlineStr">
        <is>
          <t>Test prag mijloc fix</t>
        </is>
      </c>
      <c r="B27" s="43">
        <f>B24</f>
        <v>100000</v>
      </c>
      <c r="C27" s="43" t="str">
        <f>IF(B24&gt;=param_prag_mf,"OK — mijloc fix, se amortizează","ATENȚIE — sub prag: obiect de inventar (303), nu mijloc fix")</f>
        <v>OK — mijloc fix, se amortizează</v>
      </c>
    </row>
    <row r="28">
      <c r="A28" s="43" t="inlineStr">
        <is>
          <t>Test recepție</t>
        </is>
      </c>
      <c r="B28" s="43" t="str">
        <f>B19</f>
        <v>DA</v>
      </c>
      <c r="C28" s="43" t="str">
        <f>IF(B19="DA","OK — intrare directă în contul de imobilizare","TRANZIT — se înregistrează pe 223/224 până la recepție (F-207)")</f>
        <v>OK — intrare directă în contul de imobilizare</v>
      </c>
    </row>
    <row r="29">
      <c r="A29" s="43" t="inlineStr">
        <is>
          <t>Test regim TVA</t>
        </is>
      </c>
      <c r="B29" s="43" t="str">
        <f>B18</f>
        <v>INTERN</v>
      </c>
      <c r="C29" s="43" t="str">
        <f>IF(OR(B18="INTERN",B18="TAXARE_INVERSA",B18="IMPORT"),"OK — regim recunoscut","EROARE — regim necunoscut")</f>
        <v>OK — regim recunoscut</v>
      </c>
    </row>
    <row r="31">
      <c r="A31" s="42" t="inlineStr">
        <is>
          <t>5. Conturi</t>
        </is>
      </c>
    </row>
    <row r="32">
      <c r="A32" s="43" t="inlineStr">
        <is>
          <t>Cont imobilizare (21x)</t>
        </is>
      </c>
      <c r="B32" s="64" t="inlineStr">
        <is>
          <t>2131</t>
        </is>
      </c>
    </row>
    <row r="33">
      <c r="A33" s="43" t="inlineStr">
        <is>
          <t>Cont amortizare (28x) — oglinda</t>
        </is>
      </c>
      <c r="B33" s="64" t="inlineStr">
        <is>
          <t>2813</t>
        </is>
      </c>
      <c r="C33" s="44" t="inlineStr">
        <is>
          <t>C-14: 212↔2812, 213x↔2813, 214↔2814, 215↔2815</t>
        </is>
      </c>
    </row>
    <row r="34">
      <c r="A34" s="43" t="inlineStr">
        <is>
          <t>Cont tranzit dacă nerecepționat</t>
        </is>
      </c>
      <c r="B34" s="64" t="inlineStr">
        <is>
          <t>223</t>
        </is>
      </c>
    </row>
    <row r="35">
      <c r="A35" s="43" t="inlineStr">
        <is>
          <t>Cont furnizor de imobilizări</t>
        </is>
      </c>
      <c r="B35" s="64" t="inlineStr">
        <is>
          <t>404</t>
        </is>
      </c>
    </row>
    <row r="36">
      <c r="A36" s="43" t="inlineStr">
        <is>
          <t>Cont TVA deductibilă</t>
        </is>
      </c>
      <c r="B36" s="64" t="n">
        <v>4426</v>
      </c>
    </row>
    <row r="37">
      <c r="A37" s="43" t="inlineStr">
        <is>
          <t>Cont TVA colectată (taxare inversă)</t>
        </is>
      </c>
      <c r="B37" s="64" t="n">
        <v>4427</v>
      </c>
    </row>
    <row r="38">
      <c r="A38" s="43" t="inlineStr">
        <is>
          <t>Cont taxe vamale</t>
        </is>
      </c>
      <c r="B38" s="64" t="inlineStr">
        <is>
          <t>446.VAMA</t>
        </is>
      </c>
    </row>
    <row r="39">
      <c r="A39" s="43" t="inlineStr">
        <is>
          <t>Cont bancă</t>
        </is>
      </c>
      <c r="B39" s="64" t="inlineStr">
        <is>
          <t>5121</t>
        </is>
      </c>
    </row>
    <row r="40">
      <c r="A40" s="43" t="inlineStr">
        <is>
          <t>Cont cheltuială cu amortizarea</t>
        </is>
      </c>
      <c r="B40" s="64" t="n">
        <v>6811</v>
      </c>
    </row>
    <row r="42">
      <c r="A42" s="42" t="inlineStr">
        <is>
          <t>6. Sufix generat</t>
        </is>
      </c>
    </row>
    <row r="43">
      <c r="A43" s="43" t="inlineStr">
        <is>
          <t>Sufix</t>
        </is>
      </c>
      <c r="B43" s="43" t="str">
        <f>"— " &amp; B6 &amp; " " &amp; B7</f>
        <v>— Echipament tehnologic 2026-07</v>
      </c>
    </row>
    <row r="45">
      <c r="A45" s="43" t="inlineStr">
        <is>
          <t>Modul activ în CatalogModule?</t>
        </is>
      </c>
      <c r="B45" s="43" t="str">
        <f>IF(INDEX(CatalogModule!$A$1:$A$200,MATCH("MOD_IMOBILIZARI",CatalogModule!$B$1:$B$200,0))="DA","ACTIV — jurnalele se generează","INACTIV — jurnalele rămân goale")</f>
        <v>INACTIV — jurnalele rămân goale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0" customWidth="1" style="40" min="1" max="1"/>
    <col width="16" customWidth="1" style="40" min="2" max="2"/>
    <col width="16" customWidth="1" style="40" min="3" max="3"/>
    <col width="34" customWidth="1" style="40" min="4" max="4"/>
    <col width="26" customWidth="1" style="40" min="5" max="5"/>
    <col width="56" customWidth="1" style="40" min="6" max="6"/>
  </cols>
  <sheetData>
    <row r="1">
      <c r="A1" s="41" t="inlineStr">
        <is>
          <t>MOD_IMOBILIZARI — Reguli (tabele fixe)</t>
        </is>
      </c>
    </row>
    <row r="2">
      <c r="A2" s="44" t="inlineStr">
        <is>
          <t>Se editează doar când se schimbă legea sau catalogul de clasificare.</t>
        </is>
      </c>
    </row>
    <row r="4">
      <c r="A4" s="42" t="inlineStr">
        <is>
          <t>Tabel A — Regimuri de TVA la intrare</t>
        </is>
      </c>
    </row>
    <row r="5">
      <c r="A5" s="65" t="inlineStr">
        <is>
          <t>Regim</t>
        </is>
      </c>
      <c r="B5" s="65" t="inlineStr">
        <is>
          <t>Cont Dr</t>
        </is>
      </c>
      <c r="C5" s="65" t="inlineStr">
        <is>
          <t>Cont Cr</t>
        </is>
      </c>
      <c r="D5" s="65" t="inlineStr">
        <is>
          <t>Sumă</t>
        </is>
      </c>
      <c r="E5" s="65" t="inlineStr">
        <is>
          <t>Condiție</t>
        </is>
      </c>
      <c r="F5" s="65" t="inlineStr">
        <is>
          <t>Temei / observație</t>
        </is>
      </c>
    </row>
    <row r="6">
      <c r="A6" s="43" t="inlineStr">
        <is>
          <t>INTERN</t>
        </is>
      </c>
      <c r="B6" s="43" t="inlineStr">
        <is>
          <t>4426</t>
        </is>
      </c>
      <c r="C6" s="43" t="inlineStr">
        <is>
          <t>404</t>
        </is>
      </c>
      <c r="D6" s="43" t="inlineStr">
        <is>
          <t>valoare × cotă</t>
        </is>
      </c>
      <c r="E6" s="43" t="inlineStr">
        <is>
          <t>Furnizor român plătitor</t>
        </is>
      </c>
      <c r="F6" s="43" t="inlineStr">
        <is>
          <t>TVA deductibilă normală</t>
        </is>
      </c>
    </row>
    <row r="7">
      <c r="A7" s="43" t="inlineStr">
        <is>
          <t>TAXARE_INVERSA</t>
        </is>
      </c>
      <c r="B7" s="43" t="inlineStr">
        <is>
          <t>4426</t>
        </is>
      </c>
      <c r="C7" s="43" t="inlineStr">
        <is>
          <t>4427</t>
        </is>
      </c>
      <c r="D7" s="43" t="inlineStr">
        <is>
          <t>valoare × cota din România</t>
        </is>
      </c>
      <c r="E7" s="43" t="inlineStr">
        <is>
          <t>Achiziție intracomunitară SAU art. 331 intern</t>
        </is>
      </c>
      <c r="F7" s="43" t="inlineStr">
        <is>
          <t>IC: cere VIES valid + dovada transportului. Clădiri: cod 27 în D394, altfel decontul nu recunoaște operațiunea</t>
        </is>
      </c>
    </row>
    <row r="8">
      <c r="A8" s="43" t="inlineStr">
        <is>
          <t>IMPORT</t>
        </is>
      </c>
      <c r="B8" s="43" t="inlineStr">
        <is>
          <t>4426</t>
        </is>
      </c>
      <c r="C8" s="43" t="inlineStr">
        <is>
          <t>5121</t>
        </is>
      </c>
      <c r="D8" s="43" t="inlineStr">
        <is>
          <t>TVA plătit efectiv în vamă</t>
        </is>
      </c>
      <c r="E8" s="43" t="inlineStr">
        <is>
          <t>Import din afara UE</t>
        </is>
      </c>
      <c r="F8" s="43" t="inlineStr">
        <is>
          <t>Document de bază: DVI, nu factura furnizorului. Cu certificat de amânare: 4426 = 4427</t>
        </is>
      </c>
    </row>
    <row r="10">
      <c r="A10" s="42" t="inlineStr">
        <is>
          <t>Tabel B — Ce intră în costul de achiziție</t>
        </is>
      </c>
    </row>
    <row r="11">
      <c r="A11" s="65" t="inlineStr">
        <is>
          <t>Element</t>
        </is>
      </c>
      <c r="B11" s="65" t="inlineStr">
        <is>
          <t>Tratament</t>
        </is>
      </c>
      <c r="C11" s="65" t="inlineStr"/>
      <c r="D11" s="65" t="inlineStr"/>
      <c r="E11" s="65" t="inlineStr"/>
      <c r="F11" s="65" t="inlineStr">
        <is>
          <t>Temei</t>
        </is>
      </c>
    </row>
    <row r="12">
      <c r="A12" s="43" t="inlineStr">
        <is>
          <t>Preț din factură / DVI</t>
        </is>
      </c>
      <c r="B12" s="43" t="inlineStr">
        <is>
          <t>capitalizat</t>
        </is>
      </c>
      <c r="C12" s="43" t="inlineStr"/>
      <c r="D12" s="43" t="inlineStr"/>
      <c r="E12" s="43" t="inlineStr"/>
      <c r="F12" s="43" t="inlineStr">
        <is>
          <t>OMFP 1802/2014</t>
        </is>
      </c>
    </row>
    <row r="13">
      <c r="A13" s="43" t="inlineStr">
        <is>
          <t>Taxe vamale nerecuperabile</t>
        </is>
      </c>
      <c r="B13" s="43" t="inlineStr">
        <is>
          <t>CAPITALIZAT — nu pe 635</t>
        </is>
      </c>
      <c r="C13" s="43" t="inlineStr"/>
      <c r="D13" s="43" t="inlineStr"/>
      <c r="E13" s="43" t="inlineStr"/>
      <c r="F13" s="43" t="inlineStr">
        <is>
          <t>OMFP 1802/2014</t>
        </is>
      </c>
    </row>
    <row r="14">
      <c r="A14" s="43" t="inlineStr">
        <is>
          <t>Transport și manipulare până la recepție</t>
        </is>
      </c>
      <c r="B14" s="43" t="inlineStr">
        <is>
          <t>capitalizat</t>
        </is>
      </c>
      <c r="C14" s="43" t="inlineStr"/>
      <c r="D14" s="43" t="inlineStr"/>
      <c r="E14" s="43" t="inlineStr"/>
      <c r="F14" s="43" t="inlineStr">
        <is>
          <t>OMFP 1802/2014</t>
        </is>
      </c>
    </row>
    <row r="15">
      <c r="A15" s="43" t="inlineStr">
        <is>
          <t>TVA nedeductibilă (ex. 50% vehicule)</t>
        </is>
      </c>
      <c r="B15" s="43" t="inlineStr">
        <is>
          <t>capitalizată sau pe cheltuială</t>
        </is>
      </c>
      <c r="C15" s="43" t="inlineStr"/>
      <c r="D15" s="43" t="inlineStr"/>
      <c r="E15" s="43" t="inlineStr"/>
      <c r="F15" s="43" t="inlineStr">
        <is>
          <t>vezi MOD_LEASING_FIN</t>
        </is>
      </c>
    </row>
    <row r="16">
      <c r="A16" s="43" t="inlineStr">
        <is>
          <t>Dobânzi de finanțare</t>
        </is>
      </c>
      <c r="B16" s="43" t="inlineStr">
        <is>
          <t>de regulă pe cheltuială</t>
        </is>
      </c>
      <c r="C16" s="43" t="inlineStr"/>
      <c r="D16" s="43" t="inlineStr"/>
      <c r="E16" s="43" t="inlineStr"/>
      <c r="F16" s="43" t="inlineStr">
        <is>
          <t>OMFP 1802/2014</t>
        </is>
      </c>
    </row>
    <row r="18">
      <c r="A18" s="42" t="inlineStr">
        <is>
          <t>Tabel C — Oglinda cont activ ↔ cont amortizare (C-14)</t>
        </is>
      </c>
    </row>
    <row r="19">
      <c r="A19" s="65" t="inlineStr">
        <is>
          <t>Activ</t>
        </is>
      </c>
      <c r="B19" s="65" t="inlineStr">
        <is>
          <t>Amortizare</t>
        </is>
      </c>
      <c r="C19" s="65" t="inlineStr"/>
      <c r="D19" s="65" t="inlineStr">
        <is>
          <t>Activ</t>
        </is>
      </c>
      <c r="E19" s="65" t="inlineStr">
        <is>
          <t>Amortizare</t>
        </is>
      </c>
      <c r="F19" s="65" t="inlineStr">
        <is>
          <t>Observație</t>
        </is>
      </c>
    </row>
    <row r="20">
      <c r="A20" s="43" t="inlineStr">
        <is>
          <t>205</t>
        </is>
      </c>
      <c r="B20" s="43" t="inlineStr">
        <is>
          <t>2805</t>
        </is>
      </c>
      <c r="C20" s="43" t="inlineStr"/>
      <c r="D20" s="43" t="inlineStr">
        <is>
          <t>212</t>
        </is>
      </c>
      <c r="E20" s="43" t="inlineStr">
        <is>
          <t>2812</t>
        </is>
      </c>
      <c r="F20" s="43" t="inlineStr"/>
    </row>
    <row r="21">
      <c r="A21" s="43" t="inlineStr">
        <is>
          <t>208</t>
        </is>
      </c>
      <c r="B21" s="43" t="inlineStr">
        <is>
          <t>2808</t>
        </is>
      </c>
      <c r="C21" s="43" t="inlineStr"/>
      <c r="D21" s="43" t="inlineStr">
        <is>
          <t>2131/2132/2133</t>
        </is>
      </c>
      <c r="E21" s="43" t="inlineStr">
        <is>
          <t>2813</t>
        </is>
      </c>
      <c r="F21" s="43" t="inlineStr">
        <is>
          <t>2813 deservește mai multe conturi</t>
        </is>
      </c>
    </row>
    <row r="22">
      <c r="A22" s="43" t="inlineStr">
        <is>
          <t>2111</t>
        </is>
      </c>
      <c r="B22" s="43" t="inlineStr">
        <is>
          <t>— nu se amortizează</t>
        </is>
      </c>
      <c r="C22" s="43" t="inlineStr"/>
      <c r="D22" s="43" t="inlineStr">
        <is>
          <t>214</t>
        </is>
      </c>
      <c r="E22" s="43" t="inlineStr">
        <is>
          <t>2814</t>
        </is>
      </c>
      <c r="F22" s="43" t="inlineStr">
        <is>
          <t>„2114” din notițe este 214</t>
        </is>
      </c>
    </row>
    <row r="23">
      <c r="A23" s="43" t="inlineStr">
        <is>
          <t>2112</t>
        </is>
      </c>
      <c r="B23" s="43" t="inlineStr">
        <is>
          <t>2811</t>
        </is>
      </c>
      <c r="C23" s="43" t="inlineStr"/>
      <c r="D23" s="43" t="inlineStr">
        <is>
          <t>215</t>
        </is>
      </c>
      <c r="E23" s="43" t="inlineStr">
        <is>
          <t>2815</t>
        </is>
      </c>
      <c r="F23" s="43" t="inlineStr"/>
    </row>
    <row r="25">
      <c r="A25" s="42" t="inlineStr">
        <is>
          <t>Tabel D — Porți de calitate</t>
        </is>
      </c>
    </row>
    <row r="26">
      <c r="A26" s="43" t="inlineStr">
        <is>
          <t>• ΣDr = ΣCr pe fiecare bloc</t>
        </is>
      </c>
    </row>
    <row r="27">
      <c r="A27" s="43" t="inlineStr">
        <is>
          <t>• Amortizarea începe cu luna următoare punerii în funcțiune</t>
        </is>
      </c>
    </row>
    <row r="28">
      <c r="A28" s="43" t="inlineStr">
        <is>
          <t>• Sold 28x ≤ sold 21x, pe fiecare mijloc (C-13)</t>
        </is>
      </c>
    </row>
    <row r="29">
      <c r="A29" s="43" t="inlineStr">
        <is>
          <t>• Analitic 21x din balanță = registrul mijloacelor fixe, LUNAR (C-15)</t>
        </is>
      </c>
    </row>
    <row r="30">
      <c r="A30" s="43" t="inlineStr">
        <is>
          <t>• Verifică în PRIMA lună că nota de amortizare postează perechea corectă (C-14)</t>
        </is>
      </c>
    </row>
    <row r="31">
      <c r="A31" s="43" t="inlineStr">
        <is>
          <t>• Sub pragul de 5.000 lei: obiect de inventar (303 + 8035), nu mijloc fix</t>
        </is>
      </c>
    </row>
    <row r="32">
      <c r="A32" s="43" t="inlineStr">
        <is>
          <t>• Declarație la primărie în 30 de zile de la achiziție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14" customWidth="1" style="40" min="2" max="2"/>
    <col width="14" customWidth="1" style="40" min="3" max="3"/>
    <col width="48" customWidth="1" style="40" min="4" max="4"/>
    <col width="14" customWidth="1" style="40" min="5" max="5"/>
    <col width="14" customWidth="1" style="40" min="6" max="6"/>
    <col width="48" customWidth="1" style="40" min="7" max="7"/>
  </cols>
  <sheetData>
    <row r="1">
      <c r="A1" s="41" t="inlineStr">
        <is>
          <t>MOD_IMOBILIZARI — Jurnale (generate automat)</t>
        </is>
      </c>
    </row>
    <row r="2">
      <c r="A2" s="44" t="inlineStr">
        <is>
          <t>Blocurile inactive rămân pe zero — sumele sunt condiționate de regimul declarat.</t>
        </is>
      </c>
    </row>
    <row r="4">
      <c r="A4" s="42" t="inlineStr">
        <is>
          <t>Bloc 1 — Intrarea în patrimoniu</t>
        </is>
      </c>
    </row>
    <row r="5">
      <c r="A5" s="43" t="inlineStr">
        <is>
          <t>Data jurnal:</t>
        </is>
      </c>
      <c r="B5" s="43" t="str">
        <f>Declarații_IMOBILIZARI!B8</f>
        <v>2026-07-05</v>
      </c>
    </row>
    <row r="7">
      <c r="A7" s="65" t="inlineStr">
        <is>
          <t>Nr</t>
        </is>
      </c>
      <c r="B7" s="65" t="inlineStr">
        <is>
          <t>Cont Dr</t>
        </is>
      </c>
      <c r="C7" s="65" t="inlineStr">
        <is>
          <t>Sumă Dr</t>
        </is>
      </c>
      <c r="D7" s="65" t="inlineStr">
        <is>
          <t>Descriere Dr</t>
        </is>
      </c>
      <c r="E7" s="65" t="inlineStr">
        <is>
          <t>Cont Cr</t>
        </is>
      </c>
      <c r="F7" s="65" t="inlineStr">
        <is>
          <t>Sumă Cr</t>
        </is>
      </c>
      <c r="G7" s="65" t="inlineStr">
        <is>
          <t>Descriere Cr</t>
        </is>
      </c>
    </row>
    <row r="8">
      <c r="A8" s="43" t="n">
        <v>1</v>
      </c>
      <c r="B8" s="43" t="str">
        <f>IF(Declarații_IMOBILIZARI!B19="DA",Declarații_IMOBILIZARI!B32,Declarații_IMOBILIZARI!B34)</f>
        <v>2131</v>
      </c>
      <c r="C8" s="43">
        <f>Declarații_IMOBILIZARI!B12</f>
        <v>100000</v>
      </c>
      <c r="D8" s="43" t="str">
        <f>"Intrare imobilizare " &amp; Declarații_IMOBILIZARI!B43</f>
        <v>Intrare imobilizare — Echipament tehnologic 2026-07</v>
      </c>
      <c r="E8" s="43" t="str">
        <f>Declarații_IMOBILIZARI!B35</f>
        <v>404</v>
      </c>
      <c r="F8" s="43">
        <f>Declarații_IMOBILIZARI!B12</f>
        <v>100000</v>
      </c>
      <c r="G8" s="43" t="str">
        <f>"Datorie furnizor de imobilizări " &amp; Declarații_IMOBILIZARI!B43</f>
        <v>Datorie furnizor de imobilizări — Echipament tehnologic 2026-07</v>
      </c>
    </row>
    <row r="9">
      <c r="A9" s="43" t="n">
        <v>2</v>
      </c>
      <c r="B9" s="43" t="str">
        <f>IF(Declarații_IMOBILIZARI!B19="DA",Declarații_IMOBILIZARI!B32,Declarații_IMOBILIZARI!B34)</f>
        <v>2131</v>
      </c>
      <c r="C9" s="43">
        <f>Declarații_IMOBILIZARI!B13+Declarații_IMOBILIZARI!B14</f>
        <v>0</v>
      </c>
      <c r="D9" s="43" t="str">
        <f>"Taxe vamale și transport capitalizate " &amp; Declarații_IMOBILIZARI!B43</f>
        <v>Taxe vamale și transport capitalizate — Echipament tehnologic 2026-07</v>
      </c>
      <c r="E9" s="43" t="str">
        <f>Declarații_IMOBILIZARI!B38</f>
        <v>446.VAMA</v>
      </c>
      <c r="F9" s="43">
        <f>Declarații_IMOBILIZARI!B13+Declarații_IMOBILIZARI!B14</f>
        <v>0</v>
      </c>
      <c r="G9" s="43" t="str">
        <f>"Taxe vamale / transport de plată " &amp; Declarații_IMOBILIZARI!B43</f>
        <v>Taxe vamale / transport de plată — Echipament tehnologic 2026-07</v>
      </c>
    </row>
    <row r="11">
      <c r="A11" s="42" t="inlineStr">
        <is>
          <t>Bloc 2 — TVA, pe regimul declarat</t>
        </is>
      </c>
    </row>
    <row r="12">
      <c r="A12" s="65" t="inlineStr">
        <is>
          <t>Nr</t>
        </is>
      </c>
      <c r="B12" s="65" t="inlineStr">
        <is>
          <t>Cont Dr</t>
        </is>
      </c>
      <c r="C12" s="65" t="inlineStr">
        <is>
          <t>Sumă Dr</t>
        </is>
      </c>
      <c r="D12" s="65" t="inlineStr">
        <is>
          <t>Descriere Dr</t>
        </is>
      </c>
      <c r="E12" s="65" t="inlineStr">
        <is>
          <t>Cont Cr</t>
        </is>
      </c>
      <c r="F12" s="65" t="inlineStr">
        <is>
          <t>Sumă Cr</t>
        </is>
      </c>
      <c r="G12" s="65" t="inlineStr">
        <is>
          <t>Descriere Cr</t>
        </is>
      </c>
    </row>
    <row r="13">
      <c r="A13" s="43" t="n">
        <v>1</v>
      </c>
      <c r="B13" s="43">
        <f>Declarații_IMOBILIZARI!B36</f>
        <v>4426</v>
      </c>
      <c r="C13" s="43">
        <f>IF(Declarații_IMOBILIZARI!B18="INTERN",Declarații_IMOBILIZARI!B25,0)</f>
        <v>21000</v>
      </c>
      <c r="D13" s="43" t="str">
        <f>"TVA deductibilă — achiziție internă " &amp; Declarații_IMOBILIZARI!B43</f>
        <v>TVA deductibilă — achiziție internă — Echipament tehnologic 2026-07</v>
      </c>
      <c r="E13" s="43" t="str">
        <f>Declarații_IMOBILIZARI!B35</f>
        <v>404</v>
      </c>
      <c r="F13" s="43">
        <f>IF(Declarații_IMOBILIZARI!B18="INTERN",Declarații_IMOBILIZARI!B25,0)</f>
        <v>21000</v>
      </c>
      <c r="G13" s="43" t="str">
        <f>"TVA pe factura furnizorului " &amp; Declarații_IMOBILIZARI!B43</f>
        <v>TVA pe factura furnizorului — Echipament tehnologic 2026-07</v>
      </c>
    </row>
    <row r="14">
      <c r="A14" s="43" t="n">
        <v>2</v>
      </c>
      <c r="B14" s="43">
        <f>Declarații_IMOBILIZARI!B36</f>
        <v>4426</v>
      </c>
      <c r="C14" s="43">
        <f>IF(Declarații_IMOBILIZARI!B18="TAXARE_INVERSA",Declarații_IMOBILIZARI!B25,0)</f>
        <v>0</v>
      </c>
      <c r="D14" s="43" t="str">
        <f>"TVA deductibilă — taxare inversă " &amp; Declarații_IMOBILIZARI!B43</f>
        <v>TVA deductibilă — taxare inversă — Echipament tehnologic 2026-07</v>
      </c>
      <c r="E14" s="43">
        <f>Declarații_IMOBILIZARI!B37</f>
        <v>4427</v>
      </c>
      <c r="F14" s="43">
        <f>IF(Declarații_IMOBILIZARI!B18="TAXARE_INVERSA",Declarații_IMOBILIZARI!B25,0)</f>
        <v>0</v>
      </c>
      <c r="G14" s="43" t="str">
        <f>"TVA colectată — autolichidare " &amp; Declarații_IMOBILIZARI!B43</f>
        <v>TVA colectată — autolichidare — Echipament tehnologic 2026-07</v>
      </c>
    </row>
    <row r="15">
      <c r="A15" s="43" t="n">
        <v>3</v>
      </c>
      <c r="B15" s="43">
        <f>Declarații_IMOBILIZARI!B36</f>
        <v>4426</v>
      </c>
      <c r="C15" s="43">
        <f>IF(Declarații_IMOBILIZARI!B18="IMPORT",Declarații_IMOBILIZARI!B25,0)</f>
        <v>0</v>
      </c>
      <c r="D15" s="43" t="str">
        <f>"TVA deductibilă plătită în vamă " &amp; Declarații_IMOBILIZARI!B43</f>
        <v>TVA deductibilă plătită în vamă — Echipament tehnologic 2026-07</v>
      </c>
      <c r="E15" s="43" t="str">
        <f>Declarații_IMOBILIZARI!B39</f>
        <v>5121</v>
      </c>
      <c r="F15" s="43">
        <f>IF(Declarații_IMOBILIZARI!B18="IMPORT",Declarații_IMOBILIZARI!B25,0)</f>
        <v>0</v>
      </c>
      <c r="G15" s="43" t="str">
        <f>"Plată TVA în vamă " &amp; Declarații_IMOBILIZARI!B43</f>
        <v>Plată TVA în vamă — Echipament tehnologic 2026-07</v>
      </c>
    </row>
    <row r="17">
      <c r="A17" s="42" t="inlineStr">
        <is>
          <t>Bloc 3 — Recepția, dacă intrarea a fost pe tranzit (F-207)</t>
        </is>
      </c>
    </row>
    <row r="18">
      <c r="A18" s="65" t="inlineStr">
        <is>
          <t>Nr</t>
        </is>
      </c>
      <c r="B18" s="65" t="inlineStr">
        <is>
          <t>Cont Dr</t>
        </is>
      </c>
      <c r="C18" s="65" t="inlineStr">
        <is>
          <t>Sumă Dr</t>
        </is>
      </c>
      <c r="D18" s="65" t="inlineStr">
        <is>
          <t>Descriere Dr</t>
        </is>
      </c>
      <c r="E18" s="65" t="inlineStr">
        <is>
          <t>Cont Cr</t>
        </is>
      </c>
      <c r="F18" s="65" t="inlineStr">
        <is>
          <t>Sumă Cr</t>
        </is>
      </c>
      <c r="G18" s="65" t="inlineStr">
        <is>
          <t>Descriere Cr</t>
        </is>
      </c>
    </row>
    <row r="19">
      <c r="A19" s="43" t="n">
        <v>1</v>
      </c>
      <c r="B19" s="43" t="str">
        <f>Declarații_IMOBILIZARI!B32</f>
        <v>2131</v>
      </c>
      <c r="C19" s="43">
        <f>IF(Declarații_IMOBILIZARI!B19="NU",Declarații_IMOBILIZARI!B24,0)</f>
        <v>0</v>
      </c>
      <c r="D19" s="43" t="str">
        <f>"Recepție — stingere tranzit " &amp; Declarații_IMOBILIZARI!B43</f>
        <v>Recepție — stingere tranzit — Echipament tehnologic 2026-07</v>
      </c>
      <c r="E19" s="43" t="str">
        <f>Declarații_IMOBILIZARI!B34</f>
        <v>223</v>
      </c>
      <c r="F19" s="43">
        <f>IF(Declarații_IMOBILIZARI!B19="NU",Declarații_IMOBILIZARI!B24,0)</f>
        <v>0</v>
      </c>
      <c r="G19" s="43" t="str">
        <f>"Stingere 223/224 la recepție " &amp; Declarații_IMOBILIZARI!B43</f>
        <v>Stingere 223/224 la recepție — Echipament tehnologic 2026-07</v>
      </c>
    </row>
    <row r="21">
      <c r="A21" s="42" t="inlineStr">
        <is>
          <t>Bloc 4 — Amortizarea lunară (din luna următoare punerii în funcțiune)</t>
        </is>
      </c>
    </row>
    <row r="22">
      <c r="A22" s="65" t="inlineStr">
        <is>
          <t>Nr</t>
        </is>
      </c>
      <c r="B22" s="65" t="inlineStr">
        <is>
          <t>Cont Dr</t>
        </is>
      </c>
      <c r="C22" s="65" t="inlineStr">
        <is>
          <t>Sumă Dr</t>
        </is>
      </c>
      <c r="D22" s="65" t="inlineStr">
        <is>
          <t>Descriere Dr</t>
        </is>
      </c>
      <c r="E22" s="65" t="inlineStr">
        <is>
          <t>Cont Cr</t>
        </is>
      </c>
      <c r="F22" s="65" t="inlineStr">
        <is>
          <t>Sumă Cr</t>
        </is>
      </c>
      <c r="G22" s="65" t="inlineStr">
        <is>
          <t>Descriere Cr</t>
        </is>
      </c>
    </row>
    <row r="23">
      <c r="A23" s="43" t="n">
        <v>1</v>
      </c>
      <c r="B23" s="43">
        <f>Declarații_IMOBILIZARI!B40</f>
        <v>6811</v>
      </c>
      <c r="C23" s="43">
        <f>Declarații_IMOBILIZARI!B26</f>
        <v>833.33</v>
      </c>
      <c r="D23" s="43" t="str">
        <f>"Amortizare lunară " &amp; Declarații_IMOBILIZARI!B43</f>
        <v>Amortizare lunară — Echipament tehnologic 2026-07</v>
      </c>
      <c r="E23" s="43" t="str">
        <f>Declarații_IMOBILIZARI!B33</f>
        <v>2813</v>
      </c>
      <c r="F23" s="43">
        <f>Declarații_IMOBILIZARI!B26</f>
        <v>833.33</v>
      </c>
      <c r="G23" s="43" t="str">
        <f>"Amortizare cumulată " &amp; Declarații_IMOBILIZARI!B43</f>
        <v>Amortizare cumulată — Echipament tehnologic 2026-07</v>
      </c>
    </row>
    <row r="25">
      <c r="A25" s="42" t="inlineStr">
        <is>
          <t>Sumar și controale</t>
        </is>
      </c>
    </row>
    <row r="26">
      <c r="A26" s="43" t="inlineStr">
        <is>
          <t>Total Dr</t>
        </is>
      </c>
      <c r="B26" s="43">
        <f>C8+C9+C13+C14+C15+C19+C23</f>
        <v>121833.33</v>
      </c>
    </row>
    <row r="27">
      <c r="A27" s="43" t="inlineStr">
        <is>
          <t>Total Cr</t>
        </is>
      </c>
      <c r="B27" s="43">
        <f>F8+F9+F13+F14+F15+F19+F23</f>
        <v>121833.33</v>
      </c>
    </row>
    <row r="28">
      <c r="A28" s="43" t="inlineStr">
        <is>
          <t>Check Σ (structural)</t>
        </is>
      </c>
      <c r="B28" s="43">
        <f>B26-B27</f>
        <v>0</v>
      </c>
      <c r="C28" s="43" t="str">
        <f>IF(ABS(B26-B27)&lt;0.01,"OK — notele se închid","EROARE")</f>
        <v>OK — notele se închid</v>
      </c>
    </row>
    <row r="29">
      <c r="A29" s="43" t="inlineStr">
        <is>
          <t>Check exclusivitate regim TVA</t>
        </is>
      </c>
      <c r="B29" s="43">
        <f>COUNTIF(C13:C15,"&gt;0.001")</f>
        <v>1</v>
      </c>
      <c r="C29" s="43" t="str">
        <f>IF(COUNTIF(C13:C15,"&gt;0.001")&lt;=1,"OK — un singur regim activ","EROARE — mai multe regimuri simultan")</f>
        <v>OK — un singur regim activ</v>
      </c>
    </row>
    <row r="30">
      <c r="A30" s="43" t="inlineStr">
        <is>
          <t>Check valoare de intrare</t>
        </is>
      </c>
      <c r="B30" s="43">
        <f>C8+C9-Declarații_IMOBILIZARI!B24</f>
        <v>0</v>
      </c>
      <c r="C30" s="43" t="str">
        <f>IF(ABS(C8+C9-Declarații_IMOBILIZARI!B24)&lt;0.01,"OK — cost complet capitalizat","EROARE — taxe sau transport pierdute")</f>
        <v>OK — cost complet capitalizat</v>
      </c>
    </row>
    <row r="31">
      <c r="A31" s="43" t="inlineStr">
        <is>
          <t>Check amortizare vs. durată</t>
        </is>
      </c>
      <c r="B31" s="43">
        <f>Declarații_IMOBILIZARI!B26*Declarații_IMOBILIZARI!B21-Declarații_IMOBILIZARI!B24</f>
        <v>-0.39999999999417923</v>
      </c>
      <c r="C31" s="43" t="str">
        <f>IF(ABS(Declarații_IMOBILIZARI!B26*Declarații_IMOBILIZARI!B21-Declarații_IMOBILIZARI!B24)&lt;1,"OK — planul acoperă valoarea de intrare","ATENȚIE — diferență din rotunjire, se regularizează la ultima rată")</f>
        <v>OK — planul acoperă valoarea de intrare</v>
      </c>
    </row>
    <row r="32">
      <c r="A32" s="44" t="inlineStr">
        <is>
          <t>Stare terminală așteptată: 21x = valoarea de intrare completă, sold 223/224 = 0, 28x crește lunar și nu depășește niciodată 21x.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34" customWidth="1" style="40" min="2" max="2"/>
    <col width="12" customWidth="1" style="40" min="3" max="3"/>
    <col width="14" customWidth="1" style="40" min="4" max="4"/>
    <col width="14" customWidth="1" style="40" min="5" max="5"/>
    <col width="14" customWidth="1" style="40" min="6" max="6"/>
    <col width="50" customWidth="1" style="40" min="7" max="7"/>
    <col width="30" customWidth="1" style="40" min="8" max="8"/>
    <col width="10" customWidth="1" style="40" min="9" max="9"/>
  </cols>
  <sheetData>
    <row r="1">
      <c r="A1" s="41" t="inlineStr">
        <is>
          <t>MOD_IMOBILIZARI — Notă pentru import (1 rând = 1 înregistrare)</t>
        </is>
      </c>
    </row>
    <row r="2">
      <c r="A2" s="44" t="inlineStr">
        <is>
          <t>Filtrează pe Include = DA. Rândurile cu sumă zero sunt blocuri inactive pe regimul ales.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Bloc 1 — Intrare</t>
        </is>
      </c>
      <c r="C5" s="43" t="str">
        <f>Declarații_IMOBILIZARI!B8</f>
        <v>2026-07-05</v>
      </c>
      <c r="D5" s="43" t="str">
        <f>Jurnale_IMOBILIZARI!B8</f>
        <v>2131</v>
      </c>
      <c r="E5" s="43" t="str">
        <f>Jurnale_IMOBILIZARI!E8</f>
        <v>404</v>
      </c>
      <c r="F5" s="43">
        <f>Jurnale_IMOBILIZARI!C8</f>
        <v>100000</v>
      </c>
      <c r="G5" s="43" t="str">
        <f>Jurnale_IMOBILIZARI!D8</f>
        <v>Intrare imobilizare — Echipament tehnologic 2026-07</v>
      </c>
      <c r="H5" s="43" t="inlineStr">
        <is>
          <t>Factură / DVI</t>
        </is>
      </c>
      <c r="I5" s="39" t="str">
        <f>IF(F5&gt;0.001,"DA","NU")</f>
        <v>DA</v>
      </c>
    </row>
    <row r="6">
      <c r="A6" s="43" t="n">
        <v>2</v>
      </c>
      <c r="B6" s="43" t="inlineStr">
        <is>
          <t>Bloc 1 — Costuri capitalizate</t>
        </is>
      </c>
      <c r="C6" s="43" t="str">
        <f>Declarații_IMOBILIZARI!B8</f>
        <v>2026-07-05</v>
      </c>
      <c r="D6" s="43" t="str">
        <f>Jurnale_IMOBILIZARI!B9</f>
        <v>2131</v>
      </c>
      <c r="E6" s="43" t="str">
        <f>Jurnale_IMOBILIZARI!E9</f>
        <v>446.VAMA</v>
      </c>
      <c r="F6" s="43">
        <f>Jurnale_IMOBILIZARI!C9</f>
        <v>0</v>
      </c>
      <c r="G6" s="43" t="str">
        <f>Jurnale_IMOBILIZARI!D9</f>
        <v>Taxe vamale și transport capitalizate — Echipament tehnologic 2026-07</v>
      </c>
      <c r="H6" s="43" t="inlineStr">
        <is>
          <t>DVI + factură transport</t>
        </is>
      </c>
      <c r="I6" s="39" t="str">
        <f>IF(F6&gt;0.001,"DA","NU")</f>
        <v>NU</v>
      </c>
    </row>
    <row r="7">
      <c r="A7" s="43" t="n">
        <v>3</v>
      </c>
      <c r="B7" s="43" t="inlineStr">
        <is>
          <t>Bloc 2 — TVA intern</t>
        </is>
      </c>
      <c r="C7" s="43" t="str">
        <f>Declarații_IMOBILIZARI!B8</f>
        <v>2026-07-05</v>
      </c>
      <c r="D7" s="43">
        <f>Jurnale_IMOBILIZARI!B13</f>
        <v>4426</v>
      </c>
      <c r="E7" s="43" t="str">
        <f>Jurnale_IMOBILIZARI!E13</f>
        <v>404</v>
      </c>
      <c r="F7" s="43">
        <f>Jurnale_IMOBILIZARI!C13</f>
        <v>21000</v>
      </c>
      <c r="G7" s="43" t="str">
        <f>Jurnale_IMOBILIZARI!D13</f>
        <v>TVA deductibilă — achiziție internă — Echipament tehnologic 2026-07</v>
      </c>
      <c r="H7" s="43" t="inlineStr">
        <is>
          <t>Factură furnizor</t>
        </is>
      </c>
      <c r="I7" s="39" t="str">
        <f>IF(F7&gt;0.001,"DA","NU")</f>
        <v>DA</v>
      </c>
    </row>
    <row r="8">
      <c r="A8" s="43" t="n">
        <v>4</v>
      </c>
      <c r="B8" s="43" t="inlineStr">
        <is>
          <t>Bloc 2 — TVA taxare inversă</t>
        </is>
      </c>
      <c r="C8" s="43" t="str">
        <f>Declarații_IMOBILIZARI!B8</f>
        <v>2026-07-05</v>
      </c>
      <c r="D8" s="43">
        <f>Jurnale_IMOBILIZARI!B14</f>
        <v>4426</v>
      </c>
      <c r="E8" s="43">
        <f>Jurnale_IMOBILIZARI!E14</f>
        <v>4427</v>
      </c>
      <c r="F8" s="43">
        <f>Jurnale_IMOBILIZARI!C14</f>
        <v>0</v>
      </c>
      <c r="G8" s="43" t="str">
        <f>Jurnale_IMOBILIZARI!D14</f>
        <v>TVA deductibilă — taxare inversă — Echipament tehnologic 2026-07</v>
      </c>
      <c r="H8" s="43" t="inlineStr">
        <is>
          <t>Autofactură / factură IC</t>
        </is>
      </c>
      <c r="I8" s="39" t="str">
        <f>IF(F8&gt;0.001,"DA","NU")</f>
        <v>NU</v>
      </c>
    </row>
    <row r="9">
      <c r="A9" s="43" t="n">
        <v>5</v>
      </c>
      <c r="B9" s="43" t="inlineStr">
        <is>
          <t>Bloc 2 — TVA în vamă</t>
        </is>
      </c>
      <c r="C9" s="43" t="str">
        <f>Declarații_IMOBILIZARI!B8</f>
        <v>2026-07-05</v>
      </c>
      <c r="D9" s="43">
        <f>Jurnale_IMOBILIZARI!B15</f>
        <v>4426</v>
      </c>
      <c r="E9" s="43" t="str">
        <f>Jurnale_IMOBILIZARI!E15</f>
        <v>5121</v>
      </c>
      <c r="F9" s="43">
        <f>Jurnale_IMOBILIZARI!C15</f>
        <v>0</v>
      </c>
      <c r="G9" s="43" t="str">
        <f>Jurnale_IMOBILIZARI!D15</f>
        <v>TVA deductibilă plătită în vamă — Echipament tehnologic 2026-07</v>
      </c>
      <c r="H9" s="43" t="inlineStr">
        <is>
          <t>DVI + extras</t>
        </is>
      </c>
      <c r="I9" s="39" t="str">
        <f>IF(F9&gt;0.001,"DA","NU")</f>
        <v>NU</v>
      </c>
    </row>
    <row r="10">
      <c r="A10" s="43" t="n">
        <v>6</v>
      </c>
      <c r="B10" s="43" t="inlineStr">
        <is>
          <t>Bloc 3 — Recepție</t>
        </is>
      </c>
      <c r="C10" s="43" t="str">
        <f>Declarații_IMOBILIZARI!B8</f>
        <v>2026-07-05</v>
      </c>
      <c r="D10" s="43" t="str">
        <f>Jurnale_IMOBILIZARI!B19</f>
        <v>2131</v>
      </c>
      <c r="E10" s="43" t="str">
        <f>Jurnale_IMOBILIZARI!E19</f>
        <v>223</v>
      </c>
      <c r="F10" s="43">
        <f>Jurnale_IMOBILIZARI!C19</f>
        <v>0</v>
      </c>
      <c r="G10" s="43" t="str">
        <f>Jurnale_IMOBILIZARI!D19</f>
        <v>Recepție — stingere tranzit — Echipament tehnologic 2026-07</v>
      </c>
      <c r="H10" s="43" t="inlineStr">
        <is>
          <t>Proces-verbal de recepție</t>
        </is>
      </c>
      <c r="I10" s="39" t="str">
        <f>IF(F10&gt;0.001,"DA","NU")</f>
        <v>NU</v>
      </c>
    </row>
    <row r="11">
      <c r="A11" s="43" t="n">
        <v>7</v>
      </c>
      <c r="B11" s="43" t="inlineStr">
        <is>
          <t>Bloc 4 — Amortizare</t>
        </is>
      </c>
      <c r="C11" s="43" t="str">
        <f>Declarații_IMOBILIZARI!B9</f>
        <v>2026-07-20</v>
      </c>
      <c r="D11" s="43">
        <f>Jurnale_IMOBILIZARI!B23</f>
        <v>6811</v>
      </c>
      <c r="E11" s="43" t="str">
        <f>Jurnale_IMOBILIZARI!E23</f>
        <v>2813</v>
      </c>
      <c r="F11" s="43">
        <f>Jurnale_IMOBILIZARI!C23</f>
        <v>833.33</v>
      </c>
      <c r="G11" s="43" t="str">
        <f>Jurnale_IMOBILIZARI!D23</f>
        <v>Amortizare lunară — Echipament tehnologic 2026-07</v>
      </c>
      <c r="H11" s="43" t="inlineStr">
        <is>
          <t>Notă de amortizare</t>
        </is>
      </c>
      <c r="I11" s="39" t="str">
        <f>IF(F11&gt;0.001,"DA","NU")</f>
        <v>DA</v>
      </c>
    </row>
    <row r="13">
      <c r="A13" s="43" t="inlineStr">
        <is>
          <t>Rânduri de importat (Include=DA)</t>
        </is>
      </c>
      <c r="B13" s="43">
        <f>COUNTIF(I5:I11,"DA")</f>
        <v>3</v>
      </c>
    </row>
    <row r="14">
      <c r="A14" s="43" t="inlineStr">
        <is>
          <t>Check global (trebuie 0)</t>
        </is>
      </c>
      <c r="B14" s="43">
        <f>Jurnale_IMOBILIZARI!B26-Jurnale_IMOBILIZARI!B27</f>
        <v>0</v>
      </c>
      <c r="C14" s="43" t="str">
        <f>IF(ABS(Jurnale_IMOBILIZARI!B26-Jurnale_IMOBILIZARI!B27)&lt;0.01,"OK","EROARE")</f>
        <v>OK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0" customWidth="1" style="40" min="1" max="1"/>
    <col width="42" customWidth="1" style="40" min="2" max="2"/>
    <col width="52" customWidth="1" style="40" min="3" max="3"/>
  </cols>
  <sheetData>
    <row r="1">
      <c r="A1" s="41" t="inlineStr">
        <is>
          <t>MOD_NEUTRALIZARE — Declarații (input)</t>
        </is>
      </c>
    </row>
    <row r="2">
      <c r="A2" s="44" t="inlineStr">
        <is>
          <t>Acoperă F-311 (bunuri/711), F-312 (servicii/712), F-209 (imobilizări/722). Alege tipul — conturile și lanțul se adaptează. Principiu: costurile lovesc cls.6, apoi contul de venit de producție capitalizează și neutralizează.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CUI</t>
        </is>
      </c>
      <c r="B6" s="43" t="str">
        <f>Parametri!B6</f>
        <v>RO00000000</v>
      </c>
    </row>
    <row r="7">
      <c r="A7" s="43" t="inlineStr">
        <is>
          <t>Luna / proiect</t>
        </is>
      </c>
      <c r="B7" s="64" t="inlineStr">
        <is>
          <t>2026-07</t>
        </is>
      </c>
    </row>
    <row r="8">
      <c r="A8" s="43" t="inlineStr">
        <is>
          <t>Data costuri (B1)</t>
        </is>
      </c>
      <c r="B8" s="64" t="inlineStr">
        <is>
          <t>2026-07-05</t>
        </is>
      </c>
    </row>
    <row r="9">
      <c r="A9" s="43" t="inlineStr">
        <is>
          <t>Data finalizare stoc (B2-B3)</t>
        </is>
      </c>
      <c r="B9" s="64" t="inlineStr">
        <is>
          <t>2026-07-20</t>
        </is>
      </c>
    </row>
    <row r="10">
      <c r="A10" s="43" t="inlineStr">
        <is>
          <t>Data vânzare / recepție MF (B4)</t>
        </is>
      </c>
      <c r="B10" s="64" t="inlineStr">
        <is>
          <t>2026-07-25</t>
        </is>
      </c>
    </row>
    <row r="12">
      <c r="A12" s="42" t="inlineStr">
        <is>
          <t>2. Tip producție (poartă principală)</t>
        </is>
      </c>
    </row>
    <row r="13">
      <c r="A13" s="43" t="inlineStr">
        <is>
          <t>Tip (BUNURI / SERVICII / MF)</t>
        </is>
      </c>
      <c r="B13" s="64" t="inlineStr">
        <is>
          <t>BUNURI</t>
        </is>
      </c>
    </row>
    <row r="14">
      <c r="A14" s="43" t="inlineStr">
        <is>
          <t>Cont venit neutralizare (auto)</t>
        </is>
      </c>
      <c r="B14" s="43">
        <f>IF(B13="BUNURI",711,IF(B13="SERVICII",712,IF(B13="MF",722,"?")))</f>
        <v>711</v>
      </c>
    </row>
    <row r="15">
      <c r="A15" s="43" t="inlineStr">
        <is>
          <t>Cont stoc intermediar (auto)</t>
        </is>
      </c>
      <c r="B15" s="43">
        <f>IF(B13="BUNURI",331,IF(B13="SERVICII",332,IF(B13="MF",231,"?")))</f>
        <v>331</v>
      </c>
    </row>
    <row r="16">
      <c r="A16" s="43" t="inlineStr">
        <is>
          <t>Cont stoc final (auto)</t>
        </is>
      </c>
      <c r="B16" s="43">
        <f>IF(B13="BUNURI",345,IF(B13="SERVICII","(nu e cazul — se stinge la livrare)",IF(B13="MF",213,"?")))</f>
        <v>345</v>
      </c>
    </row>
    <row r="17">
      <c r="A17" s="43" t="inlineStr">
        <is>
          <t>Cont venit vânzare (auto)</t>
        </is>
      </c>
      <c r="B17" s="43">
        <f>IF(B13="BUNURI",701,IF(B13="SERVICII",704,IF(B13="MF","(nu e vânzare — e activ)","?")))</f>
        <v>701</v>
      </c>
    </row>
    <row r="19">
      <c r="A19" s="42" t="inlineStr">
        <is>
          <t>3. Costuri (cls.6)</t>
        </is>
      </c>
    </row>
    <row r="20">
      <c r="A20" s="43" t="inlineStr">
        <is>
          <t>Cost materiale (→ 601)</t>
        </is>
      </c>
      <c r="B20" s="64" t="n">
        <v>4500</v>
      </c>
    </row>
    <row r="21">
      <c r="A21" s="43" t="inlineStr">
        <is>
          <t>Cost manoperă (→ 641)</t>
        </is>
      </c>
      <c r="B21" s="64" t="n">
        <v>0</v>
      </c>
    </row>
    <row r="22">
      <c r="A22" s="43" t="inlineStr">
        <is>
          <t>Alte costuri (→ 6xx)</t>
        </is>
      </c>
      <c r="B22" s="64" t="n">
        <v>0</v>
      </c>
    </row>
    <row r="23">
      <c r="A23" s="43" t="inlineStr">
        <is>
          <t>Cost total</t>
        </is>
      </c>
      <c r="B23" s="43">
        <f>B20+B21+B22</f>
        <v>4500</v>
      </c>
    </row>
    <row r="25">
      <c r="A25" s="42" t="inlineStr">
        <is>
          <t>4. Vânzare (doar BUNURI / SERVICII)</t>
        </is>
      </c>
    </row>
    <row r="26">
      <c r="A26" s="43" t="inlineStr">
        <is>
          <t>Preț vânzare (fără TVA)</t>
        </is>
      </c>
      <c r="B26" s="64" t="n">
        <v>7000</v>
      </c>
    </row>
    <row r="27">
      <c r="A27" s="43" t="inlineStr">
        <is>
          <t>Cota TVA</t>
        </is>
      </c>
      <c r="B27" s="64" t="n">
        <v>0.21</v>
      </c>
    </row>
    <row r="28">
      <c r="A28" s="43" t="inlineStr">
        <is>
          <t>TVA</t>
        </is>
      </c>
      <c r="B28" s="43">
        <f>IF(OR(B13="BUNURI",B13="SERVICII"),B26*B27,0)</f>
        <v>1470</v>
      </c>
    </row>
    <row r="29">
      <c r="A29" s="43" t="inlineStr">
        <is>
          <t>Total factură</t>
        </is>
      </c>
      <c r="B29" s="43">
        <f>B26+B28</f>
        <v>8470</v>
      </c>
    </row>
    <row r="31">
      <c r="A31" s="42" t="inlineStr">
        <is>
          <t>5. Conturi suplimentare</t>
        </is>
      </c>
    </row>
    <row r="32">
      <c r="A32" s="43" t="inlineStr">
        <is>
          <t>Cont materii prime</t>
        </is>
      </c>
      <c r="B32" s="64" t="inlineStr">
        <is>
          <t>301</t>
        </is>
      </c>
    </row>
    <row r="33">
      <c r="A33" s="43" t="inlineStr">
        <is>
          <t>Cont client</t>
        </is>
      </c>
      <c r="B33" s="64" t="inlineStr">
        <is>
          <t>411.RO</t>
        </is>
      </c>
    </row>
    <row r="34">
      <c r="A34" s="43" t="inlineStr">
        <is>
          <t>Cont TVA colectată</t>
        </is>
      </c>
      <c r="B34" s="64" t="inlineStr">
        <is>
          <t>4427</t>
        </is>
      </c>
    </row>
    <row r="36">
      <c r="A36" s="42" t="inlineStr">
        <is>
          <t>6. Sufix</t>
        </is>
      </c>
    </row>
    <row r="37">
      <c r="A37" s="43" t="inlineStr">
        <is>
          <t>Sufix</t>
        </is>
      </c>
      <c r="B37" s="43" t="str">
        <f>"— " &amp; B7 &amp; " — " &amp; B13 &amp; " — " &amp; B14</f>
        <v>— 2026-07 — BUNURI — 711</v>
      </c>
    </row>
    <row r="39">
      <c r="A39" s="42" t="inlineStr">
        <is>
          <t>7. Control</t>
        </is>
      </c>
    </row>
    <row r="40">
      <c r="A40" s="43" t="inlineStr">
        <is>
          <t>Marjă (vânzare − cost)</t>
        </is>
      </c>
      <c r="B40" s="43">
        <f>IF(OR(B13="BUNURI",B13="SERVICII"),B26-B23,"n/a (MF)")</f>
        <v>2500</v>
      </c>
    </row>
    <row r="41">
      <c r="A41" s="43" t="inlineStr">
        <is>
          <t>Notă principiu</t>
        </is>
      </c>
      <c r="B41" s="43" t="inlineStr">
        <is>
          <t>Costurile lovesc cls.6; contul de venit de producție (711/712/722) capitalizează și neutralizează. Descărcarea la vânzare (bunuri) e prin 711=345, nu prin 607.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style="40" min="1" max="1"/>
    <col width="20" customWidth="1" style="40" min="2" max="2"/>
    <col width="20" customWidth="1" style="40" min="3" max="3"/>
    <col width="26" customWidth="1" style="40" min="4" max="4"/>
    <col width="30" customWidth="1" style="40" min="5" max="5"/>
    <col width="26" customWidth="1" style="40" min="6" max="6"/>
  </cols>
  <sheetData>
    <row r="1">
      <c r="A1" s="41" t="inlineStr">
        <is>
          <t>MOD_NEUTRALIZARE — Reguli (tabele fixe)</t>
        </is>
      </c>
    </row>
    <row r="2">
      <c r="A2" s="44" t="inlineStr">
        <is>
          <t>Principiul comun F-311 / F-312 / F-209: cost → cls.6 → stoc intermediar = venit neutralizare → stoc final / livrare. 711/712/722 nu se stinge greșit în stocul final fără pasul de obținere.</t>
        </is>
      </c>
    </row>
    <row r="4">
      <c r="A4" s="42" t="inlineStr">
        <is>
          <t>Tabel A — Lanț pe tip</t>
        </is>
      </c>
    </row>
    <row r="5">
      <c r="A5" s="65" t="inlineStr">
        <is>
          <t>Tip</t>
        </is>
      </c>
      <c r="B5" s="65" t="inlineStr">
        <is>
          <t>Cost →</t>
        </is>
      </c>
      <c r="C5" s="65" t="inlineStr">
        <is>
          <t>Stoc intermediar</t>
        </is>
      </c>
      <c r="D5" s="65" t="inlineStr">
        <is>
          <t>Venit neut.</t>
        </is>
      </c>
      <c r="E5" s="65" t="inlineStr">
        <is>
          <t>Stoc final / livrare</t>
        </is>
      </c>
      <c r="F5" s="65" t="inlineStr">
        <is>
          <t>Descărcare la vânzare</t>
        </is>
      </c>
    </row>
    <row r="6">
      <c r="A6" s="43" t="inlineStr">
        <is>
          <t>BUNURI</t>
        </is>
      </c>
      <c r="B6" s="43" t="inlineStr">
        <is>
          <t>601=301</t>
        </is>
      </c>
      <c r="C6" s="43" t="inlineStr">
        <is>
          <t>331=711</t>
        </is>
      </c>
      <c r="D6" s="43" t="inlineStr">
        <is>
          <t>711=331 apoi 345=711</t>
        </is>
      </c>
      <c r="E6" s="43" t="inlineStr">
        <is>
          <t>345</t>
        </is>
      </c>
      <c r="F6" s="43" t="inlineStr">
        <is>
          <t>711=345 (NU 607)</t>
        </is>
      </c>
    </row>
    <row r="7">
      <c r="A7" s="43" t="inlineStr">
        <is>
          <t>SERVICII</t>
        </is>
      </c>
      <c r="B7" s="43" t="inlineStr">
        <is>
          <t>641/601=…</t>
        </is>
      </c>
      <c r="C7" s="43" t="inlineStr">
        <is>
          <t>332=712</t>
        </is>
      </c>
      <c r="D7" s="43" t="inlineStr">
        <is>
          <t>712=332</t>
        </is>
      </c>
      <c r="E7" s="43" t="inlineStr">
        <is>
          <t>(nu e stoc final)</t>
        </is>
      </c>
      <c r="F7" s="43" t="inlineStr">
        <is>
          <t>712 stins la livrare</t>
        </is>
      </c>
    </row>
    <row r="8">
      <c r="A8" s="43" t="inlineStr">
        <is>
          <t>MF</t>
        </is>
      </c>
      <c r="B8" s="43" t="inlineStr">
        <is>
          <t>601=301, 641=421</t>
        </is>
      </c>
      <c r="C8" s="43" t="inlineStr">
        <is>
          <t>231=722</t>
        </is>
      </c>
      <c r="D8" s="43" t="inlineStr">
        <is>
          <t>—</t>
        </is>
      </c>
      <c r="E8" s="43" t="inlineStr">
        <is>
          <t>213=231</t>
        </is>
      </c>
      <c r="F8" s="43" t="inlineStr">
        <is>
          <t>(nu e vânzare — e activ)</t>
        </is>
      </c>
    </row>
    <row r="10">
      <c r="A10" s="42" t="inlineStr">
        <is>
          <t>Tabel B — Porți de calitate</t>
        </is>
      </c>
    </row>
    <row r="11">
      <c r="A11" s="44" t="inlineStr">
        <is>
          <t>• ΣD=ΣC pe fiecare bloc</t>
        </is>
      </c>
    </row>
    <row r="12">
      <c r="A12" s="44" t="inlineStr">
        <is>
          <t>• Cont venit neutralizare: rulaj D = rulaj C la final (sold 0)</t>
        </is>
      </c>
    </row>
    <row r="13">
      <c r="A13" s="44" t="inlineStr">
        <is>
          <t>• Stoc intermediar sold 0 după finalizare</t>
        </is>
      </c>
    </row>
    <row r="14">
      <c r="A14" s="44" t="inlineStr">
        <is>
          <t>• Pentru BUNURI: 345 un singur D și un singur C; descărcare prin 711, nu 607</t>
        </is>
      </c>
    </row>
    <row r="15">
      <c r="A15" s="44" t="inlineStr">
        <is>
          <t>• Pentru MF: impact net pe 121 din capitalizare = 0 (cheltuieli = 722)</t>
        </is>
      </c>
    </row>
    <row r="17">
      <c r="A17" s="42" t="inlineStr">
        <is>
          <t>Tabel C — Ce NU se face</t>
        </is>
      </c>
    </row>
    <row r="18">
      <c r="A18" s="44" t="inlineStr">
        <is>
          <t>• 345 creditat de două ori fără un debit de obținere (eroarea F-311 veche)</t>
        </is>
      </c>
    </row>
    <row r="19">
      <c r="A19" s="44" t="inlineStr">
        <is>
          <t>• 722 = 231 (ar stinge activul — eroare F-209 veche); corect e 231 = 722</t>
        </is>
      </c>
    </row>
    <row r="20">
      <c r="A20" s="44" t="inlineStr">
        <is>
          <t>• 607 la descărcarea produselor finite (607 e doar mărfuri)</t>
        </is>
      </c>
    </row>
    <row r="21">
      <c r="A21" s="44" t="inlineStr">
        <is>
          <t>• „711 sau 712” la servicii — pentru servicii e strict 712</t>
        </is>
      </c>
    </row>
    <row r="23">
      <c r="A23" s="42" t="inlineStr">
        <is>
          <t>Temei legal</t>
        </is>
      </c>
    </row>
    <row r="24">
      <c r="A24" s="65" t="inlineStr">
        <is>
          <t>Ce se sprijină pe el</t>
        </is>
      </c>
      <c r="B24" s="65" t="inlineStr">
        <is>
          <t>Temei</t>
        </is>
      </c>
    </row>
    <row r="25">
      <c r="A25" s="43" t="inlineStr">
        <is>
          <t>Producția de imobilizări în regie proprie se evidențiază prin 722</t>
        </is>
      </c>
      <c r="B25" s="43" t="inlineStr">
        <is>
          <t>OMFP 1802/2014 — funcțiunea contului 722</t>
        </is>
      </c>
    </row>
    <row r="26">
      <c r="A26" s="43" t="inlineStr">
        <is>
          <t>Variația stocurilor de produse și producție în curs, prin 711</t>
        </is>
      </c>
      <c r="B26" s="43" t="inlineStr">
        <is>
          <t>OMFP 1802/2014 — funcțiunea contului 711</t>
        </is>
      </c>
    </row>
    <row r="27">
      <c r="A27" s="43" t="inlineStr">
        <is>
          <t>Costul de producție cuprinde materiile, manopera și cota de cheltuieli indirecte</t>
        </is>
      </c>
      <c r="B27" s="43" t="inlineStr">
        <is>
          <t>OMFP 1802/2014, pct. 9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4" customWidth="1" style="40" min="1" max="1"/>
    <col width="20" customWidth="1" style="40" min="2" max="2"/>
    <col width="14" customWidth="1" style="40" min="3" max="3"/>
    <col width="52" customWidth="1" style="40" min="4" max="4"/>
    <col width="20" customWidth="1" style="40" min="5" max="5"/>
    <col width="14" customWidth="1" style="40" min="6" max="6"/>
    <col width="52" customWidth="1" style="40" min="7" max="7"/>
  </cols>
  <sheetData>
    <row r="1">
      <c r="A1" s="41" t="inlineStr">
        <is>
          <t>MOD_NEUTRALIZARE — Jurnale (generate automat)</t>
        </is>
      </c>
    </row>
    <row r="2">
      <c r="A2" s="44" t="inlineStr">
        <is>
          <t>Lanțul se adaptează după Tip. Pentru MF, blocul de vânzare rămâne 0. Pentru SERVICII, stocul final e gol.</t>
        </is>
      </c>
    </row>
    <row r="4">
      <c r="A4" s="42" t="inlineStr">
        <is>
          <t>Bloc 1 — Costuri pe cls.6</t>
        </is>
      </c>
    </row>
    <row r="5">
      <c r="A5" s="43" t="inlineStr">
        <is>
          <t>Data:</t>
        </is>
      </c>
      <c r="B5" s="43" t="str">
        <f>Declarații_NEUTRALIZARE!B8</f>
        <v>2026-07-05</v>
      </c>
    </row>
    <row r="6">
      <c r="A6" s="65" t="inlineStr">
        <is>
          <t>Nr</t>
        </is>
      </c>
      <c r="B6" s="65" t="inlineStr">
        <is>
          <t>Cont Dr</t>
        </is>
      </c>
      <c r="C6" s="65" t="inlineStr">
        <is>
          <t>Sumă Dr</t>
        </is>
      </c>
      <c r="D6" s="65" t="inlineStr">
        <is>
          <t>Descriere Dr</t>
        </is>
      </c>
      <c r="E6" s="65" t="inlineStr">
        <is>
          <t>Cont Cr</t>
        </is>
      </c>
      <c r="F6" s="65" t="inlineStr">
        <is>
          <t>Sumă Cr</t>
        </is>
      </c>
      <c r="G6" s="65" t="inlineStr">
        <is>
          <t>Descriere Cr</t>
        </is>
      </c>
    </row>
    <row r="7">
      <c r="A7" s="43" t="n">
        <v>1</v>
      </c>
      <c r="B7" s="43" t="inlineStr">
        <is>
          <t>601</t>
        </is>
      </c>
      <c r="C7" s="43">
        <f>Declarații_NEUTRALIZARE!B20</f>
        <v>4500</v>
      </c>
      <c r="D7" s="43" t="str">
        <f>"Consum materiale " &amp; Declarații_NEUTRALIZARE!B37</f>
        <v>Consum materiale — 2026-07 — BUNURI — 711</v>
      </c>
      <c r="E7" s="43" t="str">
        <f>Declarații_NEUTRALIZARE!B32</f>
        <v>301</v>
      </c>
      <c r="F7" s="43">
        <f>Declarații_NEUTRALIZARE!B20</f>
        <v>4500</v>
      </c>
      <c r="G7" s="43" t="str">
        <f>"Stingere stoc materii " &amp; Declarații_NEUTRALIZARE!B37</f>
        <v>Stingere stoc materii — 2026-07 — BUNURI — 711</v>
      </c>
    </row>
    <row r="8">
      <c r="A8" s="43" t="n">
        <v>2</v>
      </c>
      <c r="B8" s="43" t="inlineStr">
        <is>
          <t>641</t>
        </is>
      </c>
      <c r="C8" s="43">
        <f>Declarații_NEUTRALIZARE!B21</f>
        <v>0</v>
      </c>
      <c r="D8" s="43" t="str">
        <f>"Manoperă pe proiect " &amp; Declarații_NEUTRALIZARE!B37</f>
        <v>Manoperă pe proiect — 2026-07 — BUNURI — 711</v>
      </c>
      <c r="E8" s="43" t="inlineStr">
        <is>
          <t>421</t>
        </is>
      </c>
      <c r="F8" s="43">
        <f>Declarații_NEUTRALIZARE!B21</f>
        <v>0</v>
      </c>
      <c r="G8" s="43" t="str">
        <f>"Datorie salarii " &amp; Declarații_NEUTRALIZARE!B37</f>
        <v>Datorie salarii — 2026-07 — BUNURI — 711</v>
      </c>
    </row>
    <row r="9">
      <c r="A9" s="43" t="inlineStr">
        <is>
          <t>Check B1</t>
        </is>
      </c>
      <c r="B9" s="43">
        <f>(C7+C8)-(F7+F8)</f>
        <v>0</v>
      </c>
      <c r="C9" s="43" t="str">
        <f>IF(ABS(B9)&lt;0.01,"OK","EROARE")</f>
        <v>OK</v>
      </c>
    </row>
    <row r="11">
      <c r="A11" s="42" t="inlineStr">
        <is>
          <t>Bloc 2 — Stoc intermediar = venit neutralizare (pas revelator)</t>
        </is>
      </c>
    </row>
    <row r="12">
      <c r="A12" s="43" t="inlineStr">
        <is>
          <t>Data:</t>
        </is>
      </c>
      <c r="B12" s="43" t="str">
        <f>Declarații_NEUTRALIZARE!B9</f>
        <v>2026-07-20</v>
      </c>
    </row>
    <row r="13">
      <c r="A13" s="65" t="inlineStr">
        <is>
          <t>Nr</t>
        </is>
      </c>
      <c r="B13" s="65" t="inlineStr">
        <is>
          <t>Cont Dr</t>
        </is>
      </c>
      <c r="C13" s="65" t="inlineStr">
        <is>
          <t>Sumă Dr</t>
        </is>
      </c>
      <c r="D13" s="65" t="inlineStr">
        <is>
          <t>Descriere Dr</t>
        </is>
      </c>
      <c r="E13" s="65" t="inlineStr">
        <is>
          <t>Cont Cr</t>
        </is>
      </c>
      <c r="F13" s="65" t="inlineStr">
        <is>
          <t>Sumă Cr</t>
        </is>
      </c>
      <c r="G13" s="65" t="inlineStr">
        <is>
          <t>Descriere Cr</t>
        </is>
      </c>
    </row>
    <row r="14">
      <c r="A14" s="43" t="n">
        <v>1</v>
      </c>
      <c r="B14" s="43">
        <f>Declarații_NEUTRALIZARE!B15</f>
        <v>331</v>
      </c>
      <c r="C14" s="43">
        <f>Declarații_NEUTRALIZARE!B23</f>
        <v>4500</v>
      </c>
      <c r="D14" s="43" t="str">
        <f>"Stoc intermediar (PN/servicii/MF în curs) " &amp; Declarații_NEUTRALIZARE!B37</f>
        <v>Stoc intermediar (PN/servicii/MF în curs) — 2026-07 — BUNURI — 711</v>
      </c>
      <c r="E14" s="43">
        <f>Declarații_NEUTRALIZARE!B14</f>
        <v>711</v>
      </c>
      <c r="F14" s="43">
        <f>Declarații_NEUTRALIZARE!B23</f>
        <v>4500</v>
      </c>
      <c r="G14" s="43" t="str">
        <f>"Venit producție / neutralizare " &amp; Declarații_NEUTRALIZARE!B37</f>
        <v>Venit producție / neutralizare — 2026-07 — BUNURI — 711</v>
      </c>
    </row>
    <row r="15">
      <c r="A15" s="43" t="inlineStr">
        <is>
          <t>Check B2</t>
        </is>
      </c>
      <c r="B15" s="43">
        <f>C14-F14</f>
        <v>0</v>
      </c>
      <c r="C15" s="43" t="str">
        <f>IF(ABS(B15)&lt;0.01,"OK","EROARE")</f>
        <v>OK</v>
      </c>
    </row>
    <row r="17">
      <c r="A17" s="42" t="inlineStr">
        <is>
          <t>Bloc 3 — Finalizare (obținere stoc final / stingere intermediar)</t>
        </is>
      </c>
    </row>
    <row r="18">
      <c r="A18" s="43" t="inlineStr">
        <is>
          <t>Data:</t>
        </is>
      </c>
      <c r="B18" s="43" t="str">
        <f>Declarații_NEUTRALIZARE!B9</f>
        <v>2026-07-20</v>
      </c>
    </row>
    <row r="19">
      <c r="A19" s="65" t="inlineStr">
        <is>
          <t>Nr</t>
        </is>
      </c>
      <c r="B19" s="65" t="inlineStr">
        <is>
          <t>Cont Dr</t>
        </is>
      </c>
      <c r="C19" s="65" t="inlineStr">
        <is>
          <t>Sumă Dr</t>
        </is>
      </c>
      <c r="D19" s="65" t="inlineStr">
        <is>
          <t>Descriere Dr</t>
        </is>
      </c>
      <c r="E19" s="65" t="inlineStr">
        <is>
          <t>Cont Cr</t>
        </is>
      </c>
      <c r="F19" s="65" t="inlineStr">
        <is>
          <t>Sumă Cr</t>
        </is>
      </c>
      <c r="G19" s="65" t="inlineStr">
        <is>
          <t>Descriere Cr</t>
        </is>
      </c>
    </row>
    <row r="20">
      <c r="A20" s="43" t="n">
        <v>1</v>
      </c>
      <c r="B20" s="43">
        <f>IF(Declarații_NEUTRALIZARE!B13="BUNURI",Declarații_NEUTRALIZARE!B14,IF(Declarații_NEUTRALIZARE!B13="SERVICII",Declarații_NEUTRALIZARE!B14,Declarații_NEUTRALIZARE!B16))</f>
        <v>711</v>
      </c>
      <c r="C20" s="43">
        <f>Declarații_NEUTRALIZARE!B23</f>
        <v>4500</v>
      </c>
      <c r="D20" s="43" t="str">
        <f>IF(Declarații_NEUTRALIZARE!B13="BUNURI","Reluare PN (711 debitat #1) ",IF(Declarații_NEUTRALIZARE!B13="SERVICII","Stingere servicii în curs ","Transfer MF final ")) &amp; Declarații_NEUTRALIZARE!B37</f>
        <v>Reluare PN (711 debitat #1) — 2026-07 — BUNURI — 711</v>
      </c>
      <c r="E20" s="43">
        <f>IF(Declarații_NEUTRALIZARE!B13="MF",Declarații_NEUTRALIZARE!B15,Declarații_NEUTRALIZARE!B15)</f>
        <v>331</v>
      </c>
      <c r="F20" s="43">
        <f>Declarații_NEUTRALIZARE!B23</f>
        <v>4500</v>
      </c>
      <c r="G20" s="43" t="str">
        <f>"Stingere stoc intermediar " &amp; Declarații_NEUTRALIZARE!B37</f>
        <v>Stingere stoc intermediar — 2026-07 — BUNURI — 711</v>
      </c>
    </row>
    <row r="21">
      <c r="A21" s="43" t="n">
        <v>2</v>
      </c>
      <c r="B21" s="43">
        <f>IF(Declarații_NEUTRALIZARE!B13="BUNURI",Declarații_NEUTRALIZARE!B16,0)</f>
        <v>345</v>
      </c>
      <c r="C21" s="43">
        <f>IF(Declarații_NEUTRALIZARE!B13="BUNURI",Declarații_NEUTRALIZARE!B23,0)</f>
        <v>4500</v>
      </c>
      <c r="D21" s="43" t="str">
        <f>IF(Declarații_NEUTRALIZARE!B13="BUNURI","Obținere produs finit (345=711) " &amp; Declarații_NEUTRALIZARE!B37,"")</f>
        <v>Obținere produs finit (345=711) — 2026-07 — BUNURI — 711</v>
      </c>
      <c r="E21" s="43">
        <f>IF(Declarații_NEUTRALIZARE!B13="BUNURI",Declarații_NEUTRALIZARE!B14,0)</f>
        <v>711</v>
      </c>
      <c r="F21" s="43">
        <f>IF(Declarații_NEUTRALIZARE!B13="BUNURI",Declarații_NEUTRALIZARE!B23,0)</f>
        <v>4500</v>
      </c>
      <c r="G21" s="43" t="str">
        <f>IF(Declarații_NEUTRALIZARE!B13="BUNURI","Neutralizare (711 creditat #2) " &amp; Declarații_NEUTRALIZARE!B37,"")</f>
        <v>Neutralizare (711 creditat #2) — 2026-07 — BUNURI — 711</v>
      </c>
    </row>
    <row r="22">
      <c r="A22" s="43" t="inlineStr">
        <is>
          <t>Check B3</t>
        </is>
      </c>
      <c r="B22" s="43">
        <f>(C20+C21)-(F20+F21)</f>
        <v>0</v>
      </c>
      <c r="C22" s="43" t="str">
        <f>IF(ABS(B22)&lt;0.01,"OK","EROARE")</f>
        <v>OK</v>
      </c>
    </row>
    <row r="24">
      <c r="A24" s="42" t="inlineStr">
        <is>
          <t>Bloc 4 — Vânzare + descărcare (BUNURI/SERVICII; 0 pentru MF)</t>
        </is>
      </c>
    </row>
    <row r="25">
      <c r="A25" s="43" t="inlineStr">
        <is>
          <t>Data:</t>
        </is>
      </c>
      <c r="B25" s="43" t="str">
        <f>Declarații_NEUTRALIZARE!B10</f>
        <v>2026-07-25</v>
      </c>
    </row>
    <row r="26">
      <c r="A26" s="65" t="inlineStr">
        <is>
          <t>Nr</t>
        </is>
      </c>
      <c r="B26" s="65" t="inlineStr">
        <is>
          <t>Cont Dr</t>
        </is>
      </c>
      <c r="C26" s="65" t="inlineStr">
        <is>
          <t>Sumă Dr</t>
        </is>
      </c>
      <c r="D26" s="65" t="inlineStr">
        <is>
          <t>Descriere Dr</t>
        </is>
      </c>
      <c r="E26" s="65" t="inlineStr">
        <is>
          <t>Cont Cr</t>
        </is>
      </c>
      <c r="F26" s="65" t="inlineStr">
        <is>
          <t>Sumă Cr</t>
        </is>
      </c>
      <c r="G26" s="65" t="inlineStr">
        <is>
          <t>Descriere Cr</t>
        </is>
      </c>
    </row>
    <row r="27">
      <c r="A27" s="43" t="n">
        <v>1</v>
      </c>
      <c r="B27" s="43" t="str">
        <f>IF(OR(Declarații_NEUTRALIZARE!B13="BUNURI",Declarații_NEUTRALIZARE!B13="SERVICII"),Declarații_NEUTRALIZARE!B33,0)</f>
        <v>411.RO</v>
      </c>
      <c r="C27" s="43">
        <f>IF(OR(Declarații_NEUTRALIZARE!B13="BUNURI",Declarații_NEUTRALIZARE!B13="SERVICII"),Declarații_NEUTRALIZARE!B29,0)</f>
        <v>8470</v>
      </c>
      <c r="D27" s="43" t="str">
        <f>"Creanță client " &amp; Declarații_NEUTRALIZARE!B37</f>
        <v>Creanță client — 2026-07 — BUNURI — 711</v>
      </c>
      <c r="E27" s="43">
        <f>IF(OR(Declarații_NEUTRALIZARE!B13="BUNURI",Declarații_NEUTRALIZARE!B13="SERVICII"),Declarații_NEUTRALIZARE!B17,0)</f>
        <v>701</v>
      </c>
      <c r="F27" s="43">
        <f>IF(OR(Declarații_NEUTRALIZARE!B13="BUNURI",Declarații_NEUTRALIZARE!B13="SERVICII"),Declarații_NEUTRALIZARE!B26,0)</f>
        <v>7000</v>
      </c>
      <c r="G27" s="43" t="str">
        <f>"Venit din vânzare " &amp; Declarații_NEUTRALIZARE!B37</f>
        <v>Venit din vânzare — 2026-07 — BUNURI — 711</v>
      </c>
    </row>
    <row r="28">
      <c r="A28" s="43" t="n">
        <v>2</v>
      </c>
      <c r="B28" s="43" t="n">
        <v>0</v>
      </c>
      <c r="C28" s="43" t="n">
        <v>0</v>
      </c>
      <c r="E28" s="43" t="str">
        <f>IF(OR(Declarații_NEUTRALIZARE!B13="BUNURI",Declarații_NEUTRALIZARE!B13="SERVICII"),Declarații_NEUTRALIZARE!B34,0)</f>
        <v>4427</v>
      </c>
      <c r="F28" s="43">
        <f>IF(OR(Declarații_NEUTRALIZARE!B13="BUNURI",Declarații_NEUTRALIZARE!B13="SERVICII"),Declarații_NEUTRALIZARE!B28,0)</f>
        <v>1470</v>
      </c>
      <c r="G28" s="43" t="str">
        <f>"TVA colectată " &amp; Declarații_NEUTRALIZARE!B37</f>
        <v>TVA colectată — 2026-07 — BUNURI — 711</v>
      </c>
    </row>
    <row r="29">
      <c r="A29" s="43" t="n">
        <v>3</v>
      </c>
      <c r="B29" s="43">
        <f>IF(Declarații_NEUTRALIZARE!B13="BUNURI",Declarații_NEUTRALIZARE!B14,IF(Declarații_NEUTRALIZARE!B13="SERVICII",Declarații_NEUTRALIZARE!B14,0))</f>
        <v>711</v>
      </c>
      <c r="C29" s="43">
        <f>IF(OR(Declarații_NEUTRALIZARE!B13="BUNURI",Declarații_NEUTRALIZARE!B13="SERVICII"),Declarații_NEUTRALIZARE!B23,0)</f>
        <v>4500</v>
      </c>
      <c r="D29" s="43" t="str">
        <f>IF(Declarații_NEUTRALIZARE!B13="BUNURI","Descărcare PF prin 711 (NU 607) ",IF(Declarații_NEUTRALIZARE!B13="SERVICII","Stingere 712 la livrare ","")) &amp; Declarații_NEUTRALIZARE!B37</f>
        <v>Descărcare PF prin 711 (NU 607) — 2026-07 — BUNURI — 711</v>
      </c>
      <c r="E29" s="43">
        <f>IF(Declarații_NEUTRALIZARE!B13="BUNURI",Declarații_NEUTRALIZARE!B16,0)</f>
        <v>345</v>
      </c>
      <c r="F29" s="43">
        <f>IF(Declarații_NEUTRALIZARE!B13="BUNURI",Declarații_NEUTRALIZARE!B23,0)</f>
        <v>4500</v>
      </c>
      <c r="G29" s="43" t="str">
        <f>IF(Declarații_NEUTRALIZARE!B13="BUNURI","Stingere stoc PF " &amp; Declarații_NEUTRALIZARE!B37,"")</f>
        <v>Stingere stoc PF — 2026-07 — BUNURI — 711</v>
      </c>
    </row>
    <row r="30">
      <c r="A30" s="43" t="inlineStr">
        <is>
          <t>Check B4</t>
        </is>
      </c>
      <c r="B30" s="43">
        <f>(C27+C28+C29)-(F27+F28+F29)</f>
        <v>0</v>
      </c>
      <c r="C30" s="43" t="str">
        <f>IF(ABS(B30)&lt;0.01,"OK","EROARE")</f>
        <v>OK</v>
      </c>
    </row>
    <row r="32">
      <c r="A32" s="43" t="inlineStr">
        <is>
          <t>Check global</t>
        </is>
      </c>
      <c r="B32" s="43">
        <f>ABS(B9)+ABS(B15)+ABS(B22)+ABS(B30)</f>
        <v>0</v>
      </c>
      <c r="C32" s="43" t="str">
        <f>IF(B32&lt;0.01,"OK — toate blocurile se închid","EROARE — cel puțin un bloc dezechilibrat")</f>
        <v>OK — toate blocurile se închid</v>
      </c>
    </row>
    <row r="34">
      <c r="A34" s="42" t="inlineStr">
        <is>
          <t>Stare terminală</t>
        </is>
      </c>
    </row>
    <row r="35">
      <c r="A35" s="44" t="inlineStr">
        <is>
          <t>Cont venit neut. sold 0 | Stoc intermediar 0 | Pentru BUNURI: 345 sold 0, descărcare prin 711 | Pentru MF: 213=cost, impact 121 din capitalizare = 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18" customWidth="1" style="40" min="2" max="2"/>
    <col width="14" customWidth="1" style="40" min="3" max="3"/>
    <col width="16" customWidth="1" style="40" min="4" max="4"/>
    <col width="16" customWidth="1" style="40" min="5" max="5"/>
    <col width="14" customWidth="1" style="40" min="6" max="6"/>
    <col width="52" customWidth="1" style="40" min="7" max="7"/>
    <col width="24" customWidth="1" style="40" min="8" max="8"/>
    <col width="10" customWidth="1" style="40" min="9" max="9"/>
  </cols>
  <sheetData>
    <row r="1">
      <c r="A1" s="41" t="inlineStr">
        <is>
          <t>MOD_NEUTRALIZARE — Notă pentru import</t>
        </is>
      </c>
    </row>
    <row r="2">
      <c r="A2" s="44" t="inlineStr">
        <is>
          <t>Filtrează Include=DA. Rândurile cu sumă 0 (ex. manoperă 0, sau blocuri MF fără vânzare) apar ca NU.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B1 Costuri</t>
        </is>
      </c>
      <c r="C5" s="43" t="str">
        <f>Declarații_NEUTRALIZARE!B8</f>
        <v>2026-07-05</v>
      </c>
      <c r="D5" s="43" t="str">
        <f>Jurnale_NEUTRALIZARE!B7</f>
        <v>601</v>
      </c>
      <c r="E5" s="43" t="str">
        <f>Jurnale_NEUTRALIZARE!E7</f>
        <v>301</v>
      </c>
      <c r="F5" s="43">
        <f>Jurnale_NEUTRALIZARE!C7</f>
        <v>4500</v>
      </c>
      <c r="G5" s="43" t="str">
        <f>Jurnale_NEUTRALIZARE!D7</f>
        <v>Consum materiale — 2026-07 — BUNURI — 711</v>
      </c>
      <c r="H5" s="43" t="inlineStr">
        <is>
          <t>Producție / neutralizare</t>
        </is>
      </c>
      <c r="I5" s="43" t="str">
        <f>IF(AND(ISNUMBER(F5),F5&gt;0),"DA","NU")</f>
        <v>DA</v>
      </c>
    </row>
    <row r="6">
      <c r="A6" s="43" t="n">
        <v>2</v>
      </c>
      <c r="B6" s="43" t="inlineStr">
        <is>
          <t>B1 Costuri</t>
        </is>
      </c>
      <c r="C6" s="43" t="str">
        <f>Declarații_NEUTRALIZARE!B8</f>
        <v>2026-07-05</v>
      </c>
      <c r="D6" s="43" t="str">
        <f>Jurnale_NEUTRALIZARE!B8</f>
        <v>641</v>
      </c>
      <c r="E6" s="43" t="str">
        <f>Jurnale_NEUTRALIZARE!E8</f>
        <v>421</v>
      </c>
      <c r="F6" s="43">
        <f>Jurnale_NEUTRALIZARE!C8</f>
        <v>0</v>
      </c>
      <c r="G6" s="43" t="str">
        <f>Jurnale_NEUTRALIZARE!D8</f>
        <v>Manoperă pe proiect — 2026-07 — BUNURI — 711</v>
      </c>
      <c r="H6" s="43" t="inlineStr">
        <is>
          <t>Producție / neutralizare</t>
        </is>
      </c>
      <c r="I6" s="43" t="str">
        <f>IF(AND(ISNUMBER(F6),F6&gt;0),"DA","NU")</f>
        <v>NU</v>
      </c>
    </row>
    <row r="7">
      <c r="A7" s="43" t="n">
        <v>3</v>
      </c>
      <c r="B7" s="43" t="inlineStr">
        <is>
          <t>B2 Neutralizare</t>
        </is>
      </c>
      <c r="C7" s="43" t="str">
        <f>Declarații_NEUTRALIZARE!B9</f>
        <v>2026-07-20</v>
      </c>
      <c r="D7" s="43">
        <f>Jurnale_NEUTRALIZARE!B14</f>
        <v>331</v>
      </c>
      <c r="E7" s="43">
        <f>Jurnale_NEUTRALIZARE!E14</f>
        <v>711</v>
      </c>
      <c r="F7" s="43">
        <f>Jurnale_NEUTRALIZARE!C14</f>
        <v>4500</v>
      </c>
      <c r="G7" s="43" t="str">
        <f>Jurnale_NEUTRALIZARE!D14</f>
        <v>Stoc intermediar (PN/servicii/MF în curs) — 2026-07 — BUNURI — 711</v>
      </c>
      <c r="H7" s="43" t="inlineStr">
        <is>
          <t>Producție / neutralizare</t>
        </is>
      </c>
      <c r="I7" s="43" t="str">
        <f>IF(AND(ISNUMBER(F7),F7&gt;0),"DA","NU")</f>
        <v>DA</v>
      </c>
    </row>
    <row r="8">
      <c r="A8" s="43" t="n">
        <v>4</v>
      </c>
      <c r="B8" s="43" t="inlineStr">
        <is>
          <t>B3 Finalizare</t>
        </is>
      </c>
      <c r="C8" s="43" t="str">
        <f>Declarații_NEUTRALIZARE!B9</f>
        <v>2026-07-20</v>
      </c>
      <c r="D8" s="43">
        <f>Jurnale_NEUTRALIZARE!B20</f>
        <v>711</v>
      </c>
      <c r="E8" s="43">
        <f>Jurnale_NEUTRALIZARE!E20</f>
        <v>331</v>
      </c>
      <c r="F8" s="43">
        <f>Jurnale_NEUTRALIZARE!C20</f>
        <v>4500</v>
      </c>
      <c r="G8" s="43" t="str">
        <f>Jurnale_NEUTRALIZARE!D20</f>
        <v>Reluare PN (711 debitat #1) — 2026-07 — BUNURI — 711</v>
      </c>
      <c r="H8" s="43" t="inlineStr">
        <is>
          <t>Producție / neutralizare</t>
        </is>
      </c>
      <c r="I8" s="43" t="str">
        <f>IF(AND(ISNUMBER(F8),F8&gt;0),"DA","NU")</f>
        <v>DA</v>
      </c>
    </row>
    <row r="9">
      <c r="A9" s="43" t="n">
        <v>5</v>
      </c>
      <c r="B9" s="43" t="inlineStr">
        <is>
          <t>B3 Finalizare</t>
        </is>
      </c>
      <c r="C9" s="43" t="str">
        <f>Declarații_NEUTRALIZARE!B9</f>
        <v>2026-07-20</v>
      </c>
      <c r="D9" s="43">
        <f>Jurnale_NEUTRALIZARE!B21</f>
        <v>345</v>
      </c>
      <c r="E9" s="43">
        <f>Jurnale_NEUTRALIZARE!E21</f>
        <v>711</v>
      </c>
      <c r="F9" s="43">
        <f>Jurnale_NEUTRALIZARE!C21</f>
        <v>4500</v>
      </c>
      <c r="G9" s="43" t="str">
        <f>Jurnale_NEUTRALIZARE!D21</f>
        <v>Obținere produs finit (345=711) — 2026-07 — BUNURI — 711</v>
      </c>
      <c r="H9" s="43" t="inlineStr">
        <is>
          <t>Producție / neutralizare</t>
        </is>
      </c>
      <c r="I9" s="43" t="str">
        <f>IF(AND(ISNUMBER(F9),F9&gt;0),"DA","NU")</f>
        <v>DA</v>
      </c>
    </row>
    <row r="10">
      <c r="A10" s="43" t="n">
        <v>6</v>
      </c>
      <c r="B10" s="43" t="inlineStr">
        <is>
          <t>B4 Vânzare</t>
        </is>
      </c>
      <c r="C10" s="43" t="str">
        <f>Declarații_NEUTRALIZARE!B10</f>
        <v>2026-07-25</v>
      </c>
      <c r="D10" s="43" t="str">
        <f>Jurnale_NEUTRALIZARE!B27</f>
        <v>411.RO</v>
      </c>
      <c r="E10" s="43">
        <f>Jurnale_NEUTRALIZARE!E27</f>
        <v>701</v>
      </c>
      <c r="F10" s="43">
        <f>Jurnale_NEUTRALIZARE!F27</f>
        <v>7000</v>
      </c>
      <c r="G10" s="43" t="str">
        <f>Jurnale_NEUTRALIZARE!D27</f>
        <v>Creanță client — 2026-07 — BUNURI — 711</v>
      </c>
      <c r="H10" s="43" t="inlineStr">
        <is>
          <t>Producție / neutralizare</t>
        </is>
      </c>
      <c r="I10" s="43" t="str">
        <f>IF(AND(ISNUMBER(F10),F10&gt;0),"DA","NU")</f>
        <v>DA</v>
      </c>
    </row>
    <row r="11">
      <c r="A11" s="43" t="n">
        <v>7</v>
      </c>
      <c r="B11" s="43" t="inlineStr">
        <is>
          <t>B4 TVA</t>
        </is>
      </c>
      <c r="C11" s="43" t="str">
        <f>Declarații_NEUTRALIZARE!B10</f>
        <v>2026-07-25</v>
      </c>
      <c r="D11" s="43" t="str">
        <f>Jurnale_NEUTRALIZARE!B27</f>
        <v>411.RO</v>
      </c>
      <c r="E11" s="43" t="str">
        <f>Jurnale_NEUTRALIZARE!E28</f>
        <v>4427</v>
      </c>
      <c r="F11" s="43">
        <f>Jurnale_NEUTRALIZARE!F28</f>
        <v>1470</v>
      </c>
      <c r="G11" s="43" t="str">
        <f>Jurnale_NEUTRALIZARE!G28</f>
        <v>TVA colectată — 2026-07 — BUNURI — 711</v>
      </c>
      <c r="H11" s="43" t="inlineStr">
        <is>
          <t>Producție / neutralizare</t>
        </is>
      </c>
      <c r="I11" s="43" t="str">
        <f>IF(AND(ISNUMBER(F11),F11&gt;0),"DA","NU")</f>
        <v>DA</v>
      </c>
    </row>
    <row r="12">
      <c r="A12" s="43" t="n">
        <v>8</v>
      </c>
      <c r="B12" s="43" t="inlineStr">
        <is>
          <t>B4 Descărcare</t>
        </is>
      </c>
      <c r="C12" s="43" t="str">
        <f>Declarații_NEUTRALIZARE!B10</f>
        <v>2026-07-25</v>
      </c>
      <c r="D12" s="43">
        <f>Jurnale_NEUTRALIZARE!B29</f>
        <v>711</v>
      </c>
      <c r="E12" s="43">
        <f>Jurnale_NEUTRALIZARE!E29</f>
        <v>345</v>
      </c>
      <c r="F12" s="43">
        <f>Jurnale_NEUTRALIZARE!C29</f>
        <v>4500</v>
      </c>
      <c r="G12" s="43" t="str">
        <f>Jurnale_NEUTRALIZARE!D29</f>
        <v>Descărcare PF prin 711 (NU 607) — 2026-07 — BUNURI — 711</v>
      </c>
      <c r="H12" s="43" t="inlineStr">
        <is>
          <t>Producție / neutralizare</t>
        </is>
      </c>
      <c r="I12" s="43" t="str">
        <f>IF(AND(ISNUMBER(F12),F12&gt;0),"DA","NU")</f>
        <v>DA</v>
      </c>
    </row>
    <row r="14">
      <c r="A14" s="43" t="inlineStr">
        <is>
          <t>Rânduri de importat</t>
        </is>
      </c>
      <c r="B14" s="43">
        <f>COUNTIF(I5:I12,"DA")</f>
        <v>7</v>
      </c>
    </row>
    <row r="15">
      <c r="A15" s="43" t="inlineStr">
        <is>
          <t>Check global</t>
        </is>
      </c>
      <c r="B15" s="43">
        <f>Jurnale_NEUTRALIZARE!B32</f>
        <v>0</v>
      </c>
      <c r="C15" s="43" t="str">
        <f>IF(ABS(B15)&lt;0.01,"OK","EROARE")</f>
        <v>OK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8" customWidth="1" style="40" min="1" max="1"/>
    <col width="20" customWidth="1" style="40" min="2" max="2"/>
    <col width="62" customWidth="1" style="40" min="3" max="3"/>
  </cols>
  <sheetData>
    <row r="1">
      <c r="A1" s="41" t="inlineStr">
        <is>
          <t>MOD_SUBVENTIE — Declarații (input)</t>
        </is>
      </c>
    </row>
    <row r="2">
      <c r="A2" s="44" t="inlineStr">
        <is>
          <t>Valorile implicite reproduc monografia din F-210 (utilaj 50.000, subvenție integrală, 60 de luni). Schimbă valoarea subvenției ca să vezi cazul parțial.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Activul finanțat</t>
        </is>
      </c>
      <c r="B6" s="64" t="inlineStr">
        <is>
          <t>Utilaj tehnologic</t>
        </is>
      </c>
    </row>
    <row r="7">
      <c r="A7" s="43" t="inlineStr">
        <is>
          <t>Contract / program de finanțare</t>
        </is>
      </c>
      <c r="B7" s="64" t="inlineStr">
        <is>
          <t>AFIR 2026-114</t>
        </is>
      </c>
    </row>
    <row r="8">
      <c r="A8" s="43" t="inlineStr">
        <is>
          <t>Data încasării subvenției</t>
        </is>
      </c>
      <c r="B8" s="64" t="inlineStr">
        <is>
          <t>2026-03-10</t>
        </is>
      </c>
    </row>
    <row r="9">
      <c r="A9" s="43" t="inlineStr">
        <is>
          <t>Data punerii în funcțiune</t>
        </is>
      </c>
      <c r="B9" s="64" t="inlineStr">
        <is>
          <t>2026-04-01</t>
        </is>
      </c>
    </row>
    <row r="10">
      <c r="A10" s="43" t="inlineStr">
        <is>
          <t>Luna curentă (AAAA-LL)</t>
        </is>
      </c>
      <c r="B10" s="64" t="inlineStr">
        <is>
          <t>2026-07</t>
        </is>
      </c>
    </row>
    <row r="11">
      <c r="A11" s="43" t="inlineStr">
        <is>
          <t>Data notei lunare (ultima zi a lunii)</t>
        </is>
      </c>
      <c r="B11" s="64" t="inlineStr">
        <is>
          <t>2026-07-31</t>
        </is>
      </c>
    </row>
    <row r="13">
      <c r="A13" s="42" t="inlineStr">
        <is>
          <t>2. Sumele</t>
        </is>
      </c>
    </row>
    <row r="14">
      <c r="A14" s="43" t="inlineStr">
        <is>
          <t>Valoarea subvenției încasate</t>
        </is>
      </c>
      <c r="B14" s="64" t="n">
        <v>50000</v>
      </c>
    </row>
    <row r="15">
      <c r="A15" s="43" t="inlineStr">
        <is>
          <t>Valoarea de intrare a activului</t>
        </is>
      </c>
      <c r="B15" s="64" t="n">
        <v>50000</v>
      </c>
    </row>
    <row r="16">
      <c r="A16" s="43" t="inlineStr">
        <is>
          <t>Durata de amortizare (luni)</t>
        </is>
      </c>
      <c r="B16" s="64" t="n">
        <v>60</v>
      </c>
    </row>
    <row r="17">
      <c r="A17" s="43" t="inlineStr">
        <is>
          <t>Luni de amortizare deja înregistrate</t>
        </is>
      </c>
      <c r="B17" s="64" t="n">
        <v>3</v>
      </c>
      <c r="C17" s="44" t="inlineStr">
        <is>
          <t>Fără luna curentă; se folosește la calculul soldului rămas</t>
        </is>
      </c>
    </row>
    <row r="19">
      <c r="A19" s="42" t="inlineStr">
        <is>
          <t>3. Calcul automat (nu edita)</t>
        </is>
      </c>
    </row>
    <row r="20">
      <c r="A20" s="43" t="inlineStr">
        <is>
          <t>Cota de finanțare din subvenție</t>
        </is>
      </c>
      <c r="B20" s="43">
        <f>IF(B15=0,0,MIN(1,B14/B15))</f>
        <v>1</v>
      </c>
      <c r="C20" s="44" t="inlineStr">
        <is>
          <t>1 = subvenția acoperă integral activul; sub 1 = finanțare parțială</t>
        </is>
      </c>
    </row>
    <row r="21">
      <c r="A21" s="43" t="inlineStr">
        <is>
          <t>Amortizare lunară</t>
        </is>
      </c>
      <c r="B21" s="43">
        <f>ROUND(B15/B16,2)</f>
        <v>833.33</v>
      </c>
    </row>
    <row r="22">
      <c r="A22" s="43" t="inlineStr">
        <is>
          <t>Subvenție eliberată lunar la venit</t>
        </is>
      </c>
      <c r="B22" s="43">
        <f>ROUND(B21*B20,2)</f>
        <v>833.33</v>
      </c>
      <c r="C22" s="44" t="inlineStr">
        <is>
          <t>Amortizarea × cota de finanțare — nu amortizarea întreagă</t>
        </is>
      </c>
    </row>
    <row r="23">
      <c r="A23" s="43" t="inlineStr">
        <is>
          <t>Amortizare rămasă pe cheltuiala firmei</t>
        </is>
      </c>
      <c r="B23" s="43">
        <f>B21-B22</f>
        <v>0</v>
      </c>
    </row>
    <row r="24">
      <c r="A24" s="43" t="inlineStr">
        <is>
          <t>Sold 475 după luna curentă</t>
        </is>
      </c>
      <c r="B24" s="43">
        <f>ROUND(B14-B22*(B17+1),2)</f>
        <v>46666.68</v>
      </c>
    </row>
    <row r="25">
      <c r="A25" s="43" t="inlineStr">
        <is>
          <t>Efect net pe rezultatul lunii</t>
        </is>
      </c>
      <c r="B25" s="43">
        <f>B22-B21</f>
        <v>0</v>
      </c>
      <c r="C25" s="44" t="inlineStr">
        <is>
          <t>Zero doar la finanțare integrală; altfel = partea proprie, cu minus</t>
        </is>
      </c>
    </row>
    <row r="27">
      <c r="A27" s="42" t="inlineStr">
        <is>
          <t>4. Conturi</t>
        </is>
      </c>
    </row>
    <row r="28">
      <c r="A28" s="43" t="inlineStr">
        <is>
          <t>Cont subvenții pentru investiții</t>
        </is>
      </c>
      <c r="B28" s="64" t="n">
        <v>475</v>
      </c>
    </row>
    <row r="29">
      <c r="A29" s="43" t="inlineStr">
        <is>
          <t>Cont creanță din subvenție</t>
        </is>
      </c>
      <c r="B29" s="64" t="inlineStr">
        <is>
          <t>445</t>
        </is>
      </c>
      <c r="C29" s="44" t="inlineStr">
        <is>
          <t>Dacă subvenția e aprobată dar neîncasată încă</t>
        </is>
      </c>
    </row>
    <row r="30">
      <c r="A30" s="43" t="inlineStr">
        <is>
          <t>Cont trezorerie</t>
        </is>
      </c>
      <c r="B30" s="64" t="inlineStr">
        <is>
          <t>5121</t>
        </is>
      </c>
    </row>
    <row r="31">
      <c r="A31" s="43" t="inlineStr">
        <is>
          <t>Cont imobilizare</t>
        </is>
      </c>
      <c r="B31" s="64" t="inlineStr">
        <is>
          <t>2131</t>
        </is>
      </c>
    </row>
    <row r="32">
      <c r="A32" s="43" t="inlineStr">
        <is>
          <t>Cont furnizor de imobilizări</t>
        </is>
      </c>
      <c r="B32" s="64" t="inlineStr">
        <is>
          <t>404</t>
        </is>
      </c>
    </row>
    <row r="33">
      <c r="A33" s="43" t="inlineStr">
        <is>
          <t>Cont amortizare</t>
        </is>
      </c>
      <c r="B33" s="64" t="n">
        <v>2813</v>
      </c>
    </row>
    <row r="34">
      <c r="A34" s="43" t="inlineStr">
        <is>
          <t>Cont cheltuială cu amortizarea</t>
        </is>
      </c>
      <c r="B34" s="64" t="n">
        <v>6811</v>
      </c>
    </row>
    <row r="35">
      <c r="A35" s="43" t="inlineStr">
        <is>
          <t>Cont venit din subvenții pentru investiții</t>
        </is>
      </c>
      <c r="B35" s="64" t="n">
        <v>7584</v>
      </c>
    </row>
    <row r="37">
      <c r="A37" s="42" t="inlineStr">
        <is>
          <t>5. Controale</t>
        </is>
      </c>
    </row>
    <row r="38">
      <c r="A38" s="43" t="inlineStr">
        <is>
          <t>Check cota de finanțare</t>
        </is>
      </c>
      <c r="B38" s="43">
        <f>B20</f>
        <v>1</v>
      </c>
      <c r="C38" s="43" t="str">
        <f>IF(B20&gt;=1,"Finanțare INTEGRALĂ — efectul net pe rezultat e zero în fiecare lună","Finanțare PARȚIALĂ (" &amp; TEXT(B20*100,"0.0") &amp; "%) — restul de " &amp; TEXT(B23,"0.00") &amp; " lei/lună rămâne cheltuiala firmei")</f>
        <v>Finanțare INTEGRALĂ — efectul net pe rezultat e zero în fiecare lună</v>
      </c>
    </row>
    <row r="39">
      <c r="A39" s="43" t="inlineStr">
        <is>
          <t>Check efect net pe rezultat</t>
        </is>
      </c>
      <c r="B39" s="43">
        <f>B25</f>
        <v>0</v>
      </c>
      <c r="C39" s="43" t="str">
        <f>IF(ABS(B25)&lt;0.01,"OK — amortizarea și venitul se anulează reciproc","Rezultatul lunii scade cu " &amp; TEXT(-B25,"0.00") &amp; " lei — corect la finanțare parțială")</f>
        <v>OK — amortizarea și venitul se anulează reciproc</v>
      </c>
    </row>
    <row r="40">
      <c r="A40" s="43" t="inlineStr">
        <is>
          <t>Check sold 475 nu devine negativ</t>
        </is>
      </c>
      <c r="B40" s="43">
        <f>B24</f>
        <v>46666.68</v>
      </c>
      <c r="C40" s="43" t="str">
        <f>IF(B24&gt;=-0.01,"OK — mai sunt " &amp; TEXT(B24,"0.00") &amp; " lei de eliberat","EROARE — s-a eliberat mai mult decât s-a încasat; verifică numărul de luni")</f>
        <v>OK — mai sunt 46666.68 lei de eliberat</v>
      </c>
    </row>
    <row r="41">
      <c r="A41" s="43" t="inlineStr">
        <is>
          <t>Check durata eliberării = durata amortizării</t>
        </is>
      </c>
      <c r="B41" s="43">
        <f>IF(B22=0,0,ROUND(B14/B22,0))</f>
        <v>60</v>
      </c>
      <c r="C41" s="43" t="str">
        <f>IF(ABS(B41-B16)&lt;1.5,"OK — subvenția se epuizează odată cu amortizarea","ATENȚIE — eliberarea nu se sincronizează cu amortizarea")</f>
        <v>OK — subvenția se epuizează odată cu amortizarea</v>
      </c>
    </row>
    <row r="42">
      <c r="A42" s="43" t="inlineStr">
        <is>
          <t>Reminder: NU e venit la încasare</t>
        </is>
      </c>
      <c r="B42" s="43">
        <f>B14</f>
        <v>50000</v>
      </c>
      <c r="C42" s="43" t="str">
        <f>"La încasare, subvenția intră în 475 (regularizare temporală), nu în clasa 7. Trecerea la venit se face lunar, pe măsura amortizării."</f>
        <v>La încasare, subvenția intră în 475 (regularizare temporală), nu în clasa 7. Trecerea la venit se face lunar, pe măsura amortizării.</v>
      </c>
    </row>
    <row r="44">
      <c r="A44" s="42" t="inlineStr">
        <is>
          <t>6. Sufix generat</t>
        </is>
      </c>
    </row>
    <row r="45">
      <c r="A45" s="43" t="inlineStr">
        <is>
          <t>Sufix</t>
        </is>
      </c>
      <c r="B45" s="43" t="str">
        <f>" - " &amp; B6 &amp; " - " &amp; B10</f>
        <v> - Utilaj tehnologic - 2026-07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6" customWidth="1" style="40" min="1" max="1"/>
    <col width="40" customWidth="1" style="40" min="2" max="2"/>
    <col width="14" customWidth="1" style="40" min="3" max="3"/>
    <col width="32" customWidth="1" style="40" min="4" max="4"/>
    <col width="20" customWidth="1" style="40" min="5" max="5"/>
    <col width="54" customWidth="1" style="40" min="6" max="6"/>
  </cols>
  <sheetData>
    <row r="1">
      <c r="A1" s="41" t="inlineStr">
        <is>
          <t>MOD_SUBVENTIE — Reguli (tabele fixe)</t>
        </is>
      </c>
    </row>
    <row r="3">
      <c r="A3" s="42" t="inlineStr">
        <is>
          <t>Tabel A — Secvența</t>
        </is>
      </c>
    </row>
    <row r="4">
      <c r="A4" s="65" t="inlineStr">
        <is>
          <t>Moment</t>
        </is>
      </c>
      <c r="B4" s="65" t="inlineStr">
        <is>
          <t>Înregistrare</t>
        </is>
      </c>
      <c r="C4" s="65" t="inlineStr">
        <is>
          <t>Cont</t>
        </is>
      </c>
      <c r="D4" s="65" t="inlineStr">
        <is>
          <t>Sumă</t>
        </is>
      </c>
      <c r="E4" s="65" t="inlineStr">
        <is>
          <t>Condiție</t>
        </is>
      </c>
      <c r="F4" s="65" t="inlineStr">
        <is>
          <t>Observație</t>
        </is>
      </c>
    </row>
    <row r="5">
      <c r="A5" s="43" t="inlineStr">
        <is>
          <t>Aprobarea</t>
        </is>
      </c>
      <c r="B5" s="43" t="inlineStr">
        <is>
          <t>445 = 475</t>
        </is>
      </c>
      <c r="C5" s="43" t="inlineStr">
        <is>
          <t>445</t>
        </is>
      </c>
      <c r="D5" s="43" t="inlineStr">
        <is>
          <t>valoarea aprobată</t>
        </is>
      </c>
      <c r="E5" s="43" t="inlineStr">
        <is>
          <t>dacă e aprobată neîncasată</t>
        </is>
      </c>
      <c r="F5" s="43" t="inlineStr">
        <is>
          <t>Creanța față de finanțator; pasul se sare dacă încasarea e simultană</t>
        </is>
      </c>
    </row>
    <row r="6">
      <c r="A6" s="43" t="inlineStr">
        <is>
          <t>Încasarea</t>
        </is>
      </c>
      <c r="B6" s="43" t="inlineStr">
        <is>
          <t>5121 = 475 (sau 445)</t>
        </is>
      </c>
      <c r="C6" s="43" t="inlineStr">
        <is>
          <t>475</t>
        </is>
      </c>
      <c r="D6" s="43" t="inlineStr">
        <is>
          <t>valoarea încasată</t>
        </is>
      </c>
      <c r="E6" s="43" t="inlineStr">
        <is>
          <t>întotdeauna</t>
        </is>
      </c>
      <c r="F6" s="43" t="inlineStr">
        <is>
          <t>475 e cont de REGULARIZARE TEMPORALĂ, nu de venit</t>
        </is>
      </c>
    </row>
    <row r="7">
      <c r="A7" s="43" t="inlineStr">
        <is>
          <t>Achiziția activului</t>
        </is>
      </c>
      <c r="B7" s="43" t="inlineStr">
        <is>
          <t>21x = 404</t>
        </is>
      </c>
      <c r="C7" s="43" t="inlineStr">
        <is>
          <t>21x</t>
        </is>
      </c>
      <c r="D7" s="43" t="inlineStr">
        <is>
          <t>valoarea de intrare</t>
        </is>
      </c>
      <c r="E7" s="43" t="inlineStr">
        <is>
          <t>întotdeauna</t>
        </is>
      </c>
      <c r="F7" s="43" t="inlineStr">
        <is>
          <t>Independentă de subvenție; activul se înregistrează la valoarea lui completă</t>
        </is>
      </c>
    </row>
    <row r="8">
      <c r="A8" s="43" t="inlineStr">
        <is>
          <t>Amortizarea lunară</t>
        </is>
      </c>
      <c r="B8" s="43" t="inlineStr">
        <is>
          <t>6811 = 28x</t>
        </is>
      </c>
      <c r="C8" s="43" t="inlineStr">
        <is>
          <t>6811</t>
        </is>
      </c>
      <c r="D8" s="43" t="inlineStr">
        <is>
          <t>valoare / durată</t>
        </is>
      </c>
      <c r="E8" s="43" t="inlineStr">
        <is>
          <t>lunar</t>
        </is>
      </c>
      <c r="F8" s="43" t="inlineStr">
        <is>
          <t>Pe valoarea INTEGRALĂ a activului, nu pe partea nesubvenționată</t>
        </is>
      </c>
    </row>
    <row r="9">
      <c r="A9" s="43" t="inlineStr">
        <is>
          <t>Eliberarea subvenției</t>
        </is>
      </c>
      <c r="B9" s="43" t="inlineStr">
        <is>
          <t>475 = 7584</t>
        </is>
      </c>
      <c r="C9" s="43" t="inlineStr">
        <is>
          <t>475</t>
        </is>
      </c>
      <c r="D9" s="43" t="inlineStr">
        <is>
          <t>amortizare × cota</t>
        </is>
      </c>
      <c r="E9" s="43" t="inlineStr">
        <is>
          <t>lunar, CONCOMITENT</t>
        </is>
      </c>
      <c r="F9" s="43" t="inlineStr">
        <is>
          <t>Pas revelator: eliberarea urmează amortizarea, nu calendarul</t>
        </is>
      </c>
    </row>
    <row r="11">
      <c r="A11" s="42" t="inlineStr">
        <is>
          <t>Tabel B — Cota de finanțare</t>
        </is>
      </c>
    </row>
    <row r="12">
      <c r="A12" s="65" t="inlineStr">
        <is>
          <t>Situație</t>
        </is>
      </c>
      <c r="B12" s="65" t="inlineStr">
        <is>
          <t>Cota</t>
        </is>
      </c>
      <c r="C12" s="65" t="inlineStr">
        <is>
          <t>Eliberare lunară</t>
        </is>
      </c>
      <c r="D12" s="65" t="inlineStr">
        <is>
          <t>Efect net pe rezultat</t>
        </is>
      </c>
      <c r="E12" s="65" t="inlineStr"/>
      <c r="F12" s="65" t="inlineStr">
        <is>
          <t>Observație</t>
        </is>
      </c>
    </row>
    <row r="13">
      <c r="A13" s="43" t="inlineStr">
        <is>
          <t>Subvenția acoperă integral activul</t>
        </is>
      </c>
      <c r="B13" s="43" t="inlineStr">
        <is>
          <t>1</t>
        </is>
      </c>
      <c r="C13" s="43" t="inlineStr">
        <is>
          <t>cât amortizarea lunară</t>
        </is>
      </c>
      <c r="D13" s="43" t="inlineStr">
        <is>
          <t>zero</t>
        </is>
      </c>
      <c r="E13" s="43" t="inlineStr"/>
      <c r="F13" s="43" t="inlineStr">
        <is>
          <t>Cazul din monografia F-210</t>
        </is>
      </c>
    </row>
    <row r="14">
      <c r="A14" s="43" t="inlineStr">
        <is>
          <t>Subvenția acoperă parțial</t>
        </is>
      </c>
      <c r="B14" s="43" t="inlineStr">
        <is>
          <t>subvenție / activ</t>
        </is>
      </c>
      <c r="C14" s="43" t="inlineStr">
        <is>
          <t>amortizare × cota</t>
        </is>
      </c>
      <c r="D14" s="43" t="inlineStr">
        <is>
          <t>negativ, egal cu partea proprie</t>
        </is>
      </c>
      <c r="E14" s="43" t="inlineStr"/>
      <c r="F14" s="43" t="inlineStr">
        <is>
          <t>Cazul frecvent în practică — cofinanțare</t>
        </is>
      </c>
    </row>
    <row r="15">
      <c r="A15" s="43" t="inlineStr">
        <is>
          <t>Subvenția depășește valoarea activului</t>
        </is>
      </c>
      <c r="B15" s="43" t="inlineStr">
        <is>
          <t>plafonat la 1</t>
        </is>
      </c>
      <c r="C15" s="43" t="inlineStr">
        <is>
          <t>cât amortizarea lunară</t>
        </is>
      </c>
      <c r="D15" s="43" t="inlineStr">
        <is>
          <t>zero</t>
        </is>
      </c>
      <c r="E15" s="43" t="inlineStr"/>
      <c r="F15" s="43" t="inlineStr">
        <is>
          <t>Verifică încadrarea: excedentul nu e subvenție pentru investiții</t>
        </is>
      </c>
    </row>
    <row r="17">
      <c r="A17" s="42" t="inlineStr">
        <is>
          <t>Tabel C — LIMITĂRI DECLARATE ale modulului</t>
        </is>
      </c>
    </row>
    <row r="18">
      <c r="A18" s="65" t="inlineStr">
        <is>
          <t>Ce NU tratează</t>
        </is>
      </c>
      <c r="B18" s="65" t="inlineStr">
        <is>
          <t>De ce</t>
        </is>
      </c>
      <c r="C18" s="65" t="inlineStr">
        <is>
          <t>Ce faci</t>
        </is>
      </c>
      <c r="D18" s="65" t="inlineStr"/>
      <c r="E18" s="65" t="inlineStr"/>
      <c r="F18" s="65" t="inlineStr">
        <is>
          <t>Efect dacă îl ignori</t>
        </is>
      </c>
    </row>
    <row r="19">
      <c r="A19" s="43" t="inlineStr">
        <is>
          <t>Subvenții pentru exploatare (741)</t>
        </is>
      </c>
      <c r="B19" s="43" t="inlineStr">
        <is>
          <t>Acelea sunt venit în perioada în care se produce cheltuiala acoperită, nu se eșalonează pe amortizare.</t>
        </is>
      </c>
      <c r="C19" s="43" t="inlineStr">
        <is>
          <t>Folosește 741, nu 475/7584.</t>
        </is>
      </c>
      <c r="D19" s="43" t="inlineStr"/>
      <c r="E19" s="43" t="inlineStr"/>
      <c r="F19" s="43" t="inlineStr">
        <is>
          <t>Venitul e amânat pe ani, când ar trebui recunoscut imediat</t>
        </is>
      </c>
    </row>
    <row r="20">
      <c r="A20" s="43" t="inlineStr">
        <is>
          <t>Restituirea subvenției</t>
        </is>
      </c>
      <c r="B20" s="43" t="inlineStr">
        <is>
          <t>Neîndeplinirea condițiilor din contract obligă la restituire, cu tratament propriu.</t>
        </is>
      </c>
      <c r="C20" s="43" t="inlineStr">
        <is>
          <t>Stornează partea neeliberată din 475 și tratează restul pe cheltuială.</t>
        </is>
      </c>
      <c r="D20" s="43" t="inlineStr"/>
      <c r="E20" s="43" t="inlineStr"/>
      <c r="F20" s="43" t="inlineStr">
        <is>
          <t>475 rămâne cu sold pentru o subvenție care nu mai există</t>
        </is>
      </c>
    </row>
    <row r="21">
      <c r="A21" s="43" t="inlineStr">
        <is>
          <t>Cedarea activului înainte de finalul amortizării</t>
        </is>
      </c>
      <c r="B21" s="43" t="inlineStr">
        <is>
          <t>Soldul rămas din 475 se reia integral la venit la data ieșirii.</t>
        </is>
      </c>
      <c r="C21" s="43" t="inlineStr">
        <is>
          <t>Reia soldul 475 în 7584 odată cu descărcarea activului (vezi MOD_IESIRE_MF).</t>
        </is>
      </c>
      <c r="D21" s="43" t="inlineStr"/>
      <c r="E21" s="43" t="inlineStr"/>
      <c r="F21" s="43" t="inlineStr">
        <is>
          <t>475 rămâne cu sold pentru un activ care nu mai e în patrimoniu</t>
        </is>
      </c>
    </row>
    <row r="22">
      <c r="A22" s="43" t="inlineStr">
        <is>
          <t>Ajustarea planului de amortizare</t>
        </is>
      </c>
      <c r="B22" s="43" t="inlineStr">
        <is>
          <t>O modificare de durată schimbă și ritmul eliberării subvenției.</t>
        </is>
      </c>
      <c r="C22" s="43" t="inlineStr">
        <is>
          <t>Recalculează ambele; cota rămâne aceeași, amortizarea lunară se schimbă.</t>
        </is>
      </c>
      <c r="D22" s="43" t="inlineStr"/>
      <c r="E22" s="43" t="inlineStr"/>
      <c r="F22" s="43" t="inlineStr">
        <is>
          <t>Subvenția se epuizează înainte sau după activ</t>
        </is>
      </c>
    </row>
    <row r="24">
      <c r="A24" s="42" t="inlineStr">
        <is>
          <t>Temei legal</t>
        </is>
      </c>
    </row>
    <row r="25">
      <c r="A25" s="65" t="inlineStr">
        <is>
          <t>Ce se sprijină pe el</t>
        </is>
      </c>
      <c r="B25" s="65" t="inlineStr">
        <is>
          <t>Temei</t>
        </is>
      </c>
    </row>
    <row r="26">
      <c r="A26" s="43" t="inlineStr">
        <is>
          <t>Subvenția pentru investiții se înregistrează ca venit amânat, nu ca venit al lunii</t>
        </is>
      </c>
      <c r="B26" s="43" t="inlineStr">
        <is>
          <t>OMFP 1802/2014, pct. 397–404 — conturile 475x</t>
        </is>
      </c>
    </row>
    <row r="27">
      <c r="A27" s="43" t="inlineStr">
        <is>
          <t>Se eliberează la venit pe măsura amortizării activului finanțat</t>
        </is>
      </c>
      <c r="B27" s="43" t="inlineStr">
        <is>
          <t>OMFP 1802/2014, pct. 400 — simetrie cu cheltuiala pe care o compensează</t>
        </is>
      </c>
    </row>
    <row r="28">
      <c r="A28" s="43" t="inlineStr">
        <is>
          <t>Cota de finanțare: dacă subvenția acoperă doar o parte, eliberarea e proporțională</t>
        </is>
      </c>
      <c r="B28" s="43" t="inlineStr">
        <is>
          <t>OMFP 1802/2014, pct. 401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14" customWidth="1" style="40" min="2" max="2"/>
    <col width="14" customWidth="1" style="40" min="3" max="3"/>
    <col width="48" customWidth="1" style="40" min="4" max="4"/>
    <col width="14" customWidth="1" style="40" min="5" max="5"/>
    <col width="14" customWidth="1" style="40" min="6" max="6"/>
    <col width="48" customWidth="1" style="40" min="7" max="7"/>
  </cols>
  <sheetData>
    <row r="1">
      <c r="A1" s="41" t="inlineStr">
        <is>
          <t>MOD_SUBVENTIE — Jurnale (generate automat)</t>
        </is>
      </c>
    </row>
    <row r="2">
      <c r="A2" s="44" t="inlineStr">
        <is>
          <t>Blocul 3 se repetă lunar, pe toată durata de amortizare. Cele două înregistrări din el se fac CONCOMITENT — asta e tot mecanismul.</t>
        </is>
      </c>
    </row>
    <row r="4">
      <c r="A4" s="42" t="inlineStr">
        <is>
          <t>Bloc 1 — Încasarea subvenției</t>
        </is>
      </c>
    </row>
    <row r="5">
      <c r="A5" s="43" t="inlineStr">
        <is>
          <t>Data jurnal:</t>
        </is>
      </c>
      <c r="B5" s="43" t="str">
        <f>Declarații_SUBVENTIE!B8</f>
        <v>2026-03-10</v>
      </c>
    </row>
    <row r="7">
      <c r="A7" s="65" t="inlineStr">
        <is>
          <t>Nr</t>
        </is>
      </c>
      <c r="B7" s="65" t="inlineStr">
        <is>
          <t>Cont Dr</t>
        </is>
      </c>
      <c r="C7" s="65" t="inlineStr">
        <is>
          <t>Sumă Dr</t>
        </is>
      </c>
      <c r="D7" s="65" t="inlineStr">
        <is>
          <t>Descriere Dr</t>
        </is>
      </c>
      <c r="E7" s="65" t="inlineStr">
        <is>
          <t>Cont Cr</t>
        </is>
      </c>
      <c r="F7" s="65" t="inlineStr">
        <is>
          <t>Sumă Cr</t>
        </is>
      </c>
      <c r="G7" s="65" t="inlineStr">
        <is>
          <t>Descriere Cr</t>
        </is>
      </c>
    </row>
    <row r="8">
      <c r="A8" s="43" t="n">
        <v>1</v>
      </c>
      <c r="B8" s="43" t="str">
        <f>Declarații_SUBVENTIE!B30</f>
        <v>5121</v>
      </c>
      <c r="C8" s="43">
        <f>Declarații_SUBVENTIE!B14</f>
        <v>50000</v>
      </c>
      <c r="D8" s="43" t="str">
        <f>"Încasarea subvenției pentru investiții" &amp; Declarații_SUBVENTIE!B45</f>
        <v>Încasarea subvenției pentru investiții - Utilaj tehnologic - 2026-07</v>
      </c>
      <c r="E8" s="43">
        <f>Declarații_SUBVENTIE!B28</f>
        <v>475</v>
      </c>
      <c r="F8" s="43">
        <f>Declarații_SUBVENTIE!B14</f>
        <v>50000</v>
      </c>
      <c r="G8" s="43" t="str">
        <f>"Subvenție pentru investiții, de eliberat pe măsura amortizării" &amp; Declarații_SUBVENTIE!B45</f>
        <v>Subvenție pentru investiții, de eliberat pe măsura amortizării - Utilaj tehnologic - 2026-07</v>
      </c>
    </row>
    <row r="10">
      <c r="A10" s="43" t="inlineStr">
        <is>
          <t>Check Σ (structural)</t>
        </is>
      </c>
      <c r="B10" s="43">
        <f>C8-F8</f>
        <v>0</v>
      </c>
      <c r="C10" s="43" t="str">
        <f>IF(ABS(B10)&lt;0.01,"OK — nota se închide","EROARE")</f>
        <v>OK — nota se închide</v>
      </c>
    </row>
    <row r="11">
      <c r="A11" s="43" t="inlineStr">
        <is>
          <t>Check: nu atinge clasa 7</t>
        </is>
      </c>
      <c r="B11" s="43">
        <f>Declarații_SUBVENTIE!B28</f>
        <v>475</v>
      </c>
      <c r="C11" s="43" t="str">
        <f>"Corect — 475 e regularizare temporală. Venitul apare abia în blocul 3, lunar."</f>
        <v>Corect — 475 e regularizare temporală. Venitul apare abia în blocul 3, lunar.</v>
      </c>
    </row>
    <row r="13">
      <c r="A13" s="42" t="inlineStr">
        <is>
          <t>Bloc 2 — Achiziția activului</t>
        </is>
      </c>
    </row>
    <row r="14">
      <c r="A14" s="43" t="inlineStr">
        <is>
          <t>Data jurnal:</t>
        </is>
      </c>
      <c r="B14" s="43" t="str">
        <f>Declarații_SUBVENTIE!B9</f>
        <v>2026-04-01</v>
      </c>
    </row>
    <row r="16">
      <c r="A16" s="65" t="inlineStr">
        <is>
          <t>Nr</t>
        </is>
      </c>
      <c r="B16" s="65" t="inlineStr">
        <is>
          <t>Cont Dr</t>
        </is>
      </c>
      <c r="C16" s="65" t="inlineStr">
        <is>
          <t>Sumă Dr</t>
        </is>
      </c>
      <c r="D16" s="65" t="inlineStr">
        <is>
          <t>Descriere Dr</t>
        </is>
      </c>
      <c r="E16" s="65" t="inlineStr">
        <is>
          <t>Cont Cr</t>
        </is>
      </c>
      <c r="F16" s="65" t="inlineStr">
        <is>
          <t>Sumă Cr</t>
        </is>
      </c>
      <c r="G16" s="65" t="inlineStr">
        <is>
          <t>Descriere Cr</t>
        </is>
      </c>
    </row>
    <row r="17">
      <c r="A17" s="43" t="n">
        <v>1</v>
      </c>
      <c r="B17" s="43" t="str">
        <f>Declarații_SUBVENTIE!B31</f>
        <v>2131</v>
      </c>
      <c r="C17" s="43">
        <f>Declarații_SUBVENTIE!B15</f>
        <v>50000</v>
      </c>
      <c r="D17" s="43" t="str">
        <f>"Achiziția activului finanțat, la valoarea integrală" &amp; Declarații_SUBVENTIE!B45</f>
        <v>Achiziția activului finanțat, la valoarea integrală - Utilaj tehnologic - 2026-07</v>
      </c>
      <c r="E17" s="43" t="str">
        <f>Declarații_SUBVENTIE!B32</f>
        <v>404</v>
      </c>
      <c r="F17" s="43">
        <f>Declarații_SUBVENTIE!B15</f>
        <v>50000</v>
      </c>
      <c r="G17" s="43" t="str">
        <f>"Datorie față de furnizorul de imobilizări" &amp; Declarații_SUBVENTIE!B45</f>
        <v>Datorie față de furnizorul de imobilizări - Utilaj tehnologic - 2026-07</v>
      </c>
    </row>
    <row r="19">
      <c r="A19" s="43" t="inlineStr">
        <is>
          <t>Check Σ (structural)</t>
        </is>
      </c>
      <c r="B19" s="43">
        <f>C17-F17</f>
        <v>0</v>
      </c>
      <c r="C19" s="43" t="str">
        <f>IF(ABS(B19)&lt;0.01,"OK — nota se închide","EROARE")</f>
        <v>OK — nota se închide</v>
      </c>
    </row>
    <row r="21">
      <c r="A21" s="42" t="inlineStr">
        <is>
          <t>Bloc 3 — Amortizare + eliberare (LUNAR, concomitent)</t>
        </is>
      </c>
    </row>
    <row r="22">
      <c r="A22" s="43" t="inlineStr">
        <is>
          <t>Data jurnal:</t>
        </is>
      </c>
      <c r="B22" s="43" t="str">
        <f>Declarații_SUBVENTIE!B11</f>
        <v>2026-07-31</v>
      </c>
    </row>
    <row r="24">
      <c r="A24" s="65" t="inlineStr">
        <is>
          <t>Nr</t>
        </is>
      </c>
      <c r="B24" s="65" t="inlineStr">
        <is>
          <t>Cont Dr</t>
        </is>
      </c>
      <c r="C24" s="65" t="inlineStr">
        <is>
          <t>Sumă Dr</t>
        </is>
      </c>
      <c r="D24" s="65" t="inlineStr">
        <is>
          <t>Descriere Dr</t>
        </is>
      </c>
      <c r="E24" s="65" t="inlineStr">
        <is>
          <t>Cont Cr</t>
        </is>
      </c>
      <c r="F24" s="65" t="inlineStr">
        <is>
          <t>Sumă Cr</t>
        </is>
      </c>
      <c r="G24" s="65" t="inlineStr">
        <is>
          <t>Descriere Cr</t>
        </is>
      </c>
    </row>
    <row r="25">
      <c r="A25" s="43" t="n">
        <v>1</v>
      </c>
      <c r="B25" s="43">
        <f>Declarații_SUBVENTIE!B34</f>
        <v>6811</v>
      </c>
      <c r="C25" s="43">
        <f>Declarații_SUBVENTIE!B21</f>
        <v>833.33</v>
      </c>
      <c r="D25" s="43" t="str">
        <f>"Amortizarea lunară a activului" &amp; Declarații_SUBVENTIE!B45</f>
        <v>Amortizarea lunară a activului - Utilaj tehnologic - 2026-07</v>
      </c>
      <c r="E25" s="43">
        <f>Declarații_SUBVENTIE!B33</f>
        <v>2813</v>
      </c>
      <c r="F25" s="43">
        <f>Declarații_SUBVENTIE!B21</f>
        <v>833.33</v>
      </c>
      <c r="G25" s="43" t="str">
        <f>"Amortizare cumulată" &amp; Declarații_SUBVENTIE!B45</f>
        <v>Amortizare cumulată - Utilaj tehnologic - 2026-07</v>
      </c>
    </row>
    <row r="26">
      <c r="A26" s="43" t="n">
        <v>2</v>
      </c>
      <c r="B26" s="43">
        <f>Declarații_SUBVENTIE!B28</f>
        <v>475</v>
      </c>
      <c r="C26" s="43">
        <f>Declarații_SUBVENTIE!B22</f>
        <v>833.33</v>
      </c>
      <c r="D26" s="43" t="str">
        <f>"Eliberarea subvenției pe măsura amortizării" &amp; Declarații_SUBVENTIE!B45</f>
        <v>Eliberarea subvenției pe măsura amortizării - Utilaj tehnologic - 2026-07</v>
      </c>
      <c r="E26" s="43">
        <f>Declarații_SUBVENTIE!B35</f>
        <v>7584</v>
      </c>
      <c r="F26" s="43">
        <f>Declarații_SUBVENTIE!B22</f>
        <v>833.33</v>
      </c>
      <c r="G26" s="43" t="str">
        <f>"Venit din subvenții pentru investiții" &amp; Declarații_SUBVENTIE!B45</f>
        <v>Venit din subvenții pentru investiții - Utilaj tehnologic - 2026-07</v>
      </c>
    </row>
    <row r="28">
      <c r="A28" s="43" t="inlineStr">
        <is>
          <t>Total Dr</t>
        </is>
      </c>
      <c r="B28" s="43">
        <f>SUM(C25:C26)</f>
        <v>1666.66</v>
      </c>
      <c r="C28" s="43" t="inlineStr"/>
    </row>
    <row r="29">
      <c r="A29" s="43" t="inlineStr">
        <is>
          <t>Total Cr</t>
        </is>
      </c>
      <c r="B29" s="43">
        <f>SUM(F25:F26)</f>
        <v>1666.66</v>
      </c>
      <c r="C29" s="43" t="inlineStr"/>
    </row>
    <row r="30">
      <c r="A30" s="43" t="inlineStr">
        <is>
          <t>Check Σ (structural)</t>
        </is>
      </c>
      <c r="B30" s="43">
        <f>SUM(C25:C26)-SUM(F25:F26)</f>
        <v>0</v>
      </c>
      <c r="C30" s="43" t="str">
        <f>IF(ABS(B30)&lt;0.01,"OK — notele se închid","EROARE")</f>
        <v>OK — notele se închid</v>
      </c>
    </row>
    <row r="31">
      <c r="A31" s="43" t="inlineStr">
        <is>
          <t>Check efect pe rezultat</t>
        </is>
      </c>
      <c r="B31" s="43">
        <f>Declarații_SUBVENTIE!B25</f>
        <v>0</v>
      </c>
      <c r="C31" s="43" t="str">
        <f>IF(ABS(Declarații_SUBVENTIE!B25)&lt;0.01,"OK — amortizarea și venitul se anulează: rezultatul lunii nu e afectat de activul subvenționat","Rezultatul scade cu " &amp; TEXT(-Declarații_SUBVENTIE!B25,"0.00") &amp; " lei — partea nesubvenționată a amortizării")</f>
        <v>OK — amortizarea și venitul se anulează: rezultatul lunii nu e afectat de activul subvenționat</v>
      </c>
    </row>
    <row r="33">
      <c r="A33" s="44" t="inlineStr">
        <is>
          <t>Stare terminală, la finalul duratei: sold 475 = 0, activ complet amortizat, iar suma veniturilor din 7584 = valoarea subvenției încasate.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34" customWidth="1" style="40" min="2" max="2"/>
    <col width="12" customWidth="1" style="40" min="3" max="3"/>
    <col width="12" customWidth="1" style="40" min="4" max="4"/>
    <col width="12" customWidth="1" style="40" min="5" max="5"/>
    <col width="14" customWidth="1" style="40" min="6" max="6"/>
    <col width="48" customWidth="1" style="40" min="7" max="7"/>
    <col width="22" customWidth="1" style="40" min="8" max="8"/>
    <col width="9" customWidth="1" style="40" min="9" max="9"/>
  </cols>
  <sheetData>
    <row r="1">
      <c r="A1" s="41" t="inlineStr">
        <is>
          <t>MOD_SUBVENTIE — Notă pentru import (1 rând = 1 înregistrare)</t>
        </is>
      </c>
    </row>
    <row r="2">
      <c r="A2" s="44" t="inlineStr">
        <is>
          <t>Blocurile 1 și 2 se importă o singură dată; blocul 3 se repetă lunar.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Bloc 1 — Încasare (o dată)</t>
        </is>
      </c>
      <c r="C5" s="43" t="str">
        <f>Declarații_SUBVENTIE!B8</f>
        <v>2026-03-10</v>
      </c>
      <c r="D5" s="43" t="str">
        <f>Jurnale_SUBVENTIE!B8</f>
        <v>5121</v>
      </c>
      <c r="E5" s="43">
        <f>Jurnale_SUBVENTIE!E8</f>
        <v>475</v>
      </c>
      <c r="F5" s="43">
        <f>MAX(N(Jurnale_SUBVENTIE!C8),N(Jurnale_SUBVENTIE!F8))</f>
        <v>50000</v>
      </c>
      <c r="G5" s="43" t="str">
        <f>Jurnale_SUBVENTIE!D8</f>
        <v>Încasarea subvenției pentru investiții - Utilaj tehnologic - 2026-07</v>
      </c>
      <c r="H5" s="43" t="inlineStr">
        <is>
          <t>Contract + extras</t>
        </is>
      </c>
      <c r="I5" s="43" t="str">
        <f>IF(N(F5)&gt;0.005,"DA","NU")</f>
        <v>DA</v>
      </c>
    </row>
    <row r="6">
      <c r="A6" s="43" t="n">
        <v>2</v>
      </c>
      <c r="B6" s="43" t="inlineStr">
        <is>
          <t>Bloc 2 — Achiziție (o dată)</t>
        </is>
      </c>
      <c r="C6" s="43" t="str">
        <f>Declarații_SUBVENTIE!B9</f>
        <v>2026-04-01</v>
      </c>
      <c r="D6" s="43" t="str">
        <f>Jurnale_SUBVENTIE!B17</f>
        <v>2131</v>
      </c>
      <c r="E6" s="43" t="str">
        <f>Jurnale_SUBVENTIE!E17</f>
        <v>404</v>
      </c>
      <c r="F6" s="43">
        <f>MAX(N(Jurnale_SUBVENTIE!C17),N(Jurnale_SUBVENTIE!F17))</f>
        <v>50000</v>
      </c>
      <c r="G6" s="43" t="str">
        <f>Jurnale_SUBVENTIE!D17</f>
        <v>Achiziția activului finanțat, la valoarea integrală - Utilaj tehnologic - 2026-07</v>
      </c>
      <c r="H6" s="43" t="inlineStr">
        <is>
          <t>Factură + PV recepție</t>
        </is>
      </c>
      <c r="I6" s="43" t="str">
        <f>IF(N(F6)&gt;0.005,"DA","NU")</f>
        <v>DA</v>
      </c>
    </row>
    <row r="7">
      <c r="A7" s="43" t="n">
        <v>3</v>
      </c>
      <c r="B7" s="43" t="inlineStr">
        <is>
          <t>Bloc 3 — Lunar</t>
        </is>
      </c>
      <c r="C7" s="43" t="str">
        <f>Declarații_SUBVENTIE!B11</f>
        <v>2026-07-31</v>
      </c>
      <c r="D7" s="43">
        <f>Jurnale_SUBVENTIE!B25</f>
        <v>6811</v>
      </c>
      <c r="E7" s="43">
        <f>Jurnale_SUBVENTIE!E25</f>
        <v>2813</v>
      </c>
      <c r="F7" s="43">
        <f>MAX(N(Jurnale_SUBVENTIE!C25),N(Jurnale_SUBVENTIE!F25))</f>
        <v>833.33</v>
      </c>
      <c r="G7" s="43" t="str">
        <f>Jurnale_SUBVENTIE!D25</f>
        <v>Amortizarea lunară a activului - Utilaj tehnologic - 2026-07</v>
      </c>
      <c r="H7" s="43" t="inlineStr">
        <is>
          <t>Notă contabilă lunară</t>
        </is>
      </c>
      <c r="I7" s="43" t="str">
        <f>IF(N(F7)&gt;0.005,"DA","NU")</f>
        <v>DA</v>
      </c>
    </row>
    <row r="8">
      <c r="A8" s="43" t="n">
        <v>4</v>
      </c>
      <c r="B8" s="43" t="inlineStr">
        <is>
          <t>Bloc 3 — Lunar</t>
        </is>
      </c>
      <c r="C8" s="43" t="str">
        <f>Declarații_SUBVENTIE!B11</f>
        <v>2026-07-31</v>
      </c>
      <c r="D8" s="43">
        <f>Jurnale_SUBVENTIE!B26</f>
        <v>475</v>
      </c>
      <c r="E8" s="43">
        <f>Jurnale_SUBVENTIE!E26</f>
        <v>7584</v>
      </c>
      <c r="F8" s="43">
        <f>MAX(N(Jurnale_SUBVENTIE!C26),N(Jurnale_SUBVENTIE!F26))</f>
        <v>833.33</v>
      </c>
      <c r="G8" s="43" t="str">
        <f>Jurnale_SUBVENTIE!D26</f>
        <v>Eliberarea subvenției pe măsura amortizării - Utilaj tehnologic - 2026-07</v>
      </c>
      <c r="H8" s="43" t="inlineStr">
        <is>
          <t>Notă contabilă lunară</t>
        </is>
      </c>
      <c r="I8" s="43" t="str">
        <f>IF(N(F8)&gt;0.005,"DA","NU")</f>
        <v>DA</v>
      </c>
    </row>
    <row r="10">
      <c r="A10" s="43" t="inlineStr">
        <is>
          <t>Rânduri de importat (Include=DA)</t>
        </is>
      </c>
      <c r="B10" s="43">
        <f>COUNTIF(I5:I8,"DA")</f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8" customWidth="1" style="40" min="1" max="1"/>
    <col width="22" customWidth="1" style="40" min="2" max="2"/>
    <col width="60" customWidth="1" style="40" min="3" max="3"/>
  </cols>
  <sheetData>
    <row r="1">
      <c r="A1" s="41" t="inlineStr">
        <is>
          <t>MOD_IESIRE_MF — Declarații (input)</t>
        </is>
      </c>
    </row>
    <row r="2">
      <c r="A2" s="44" t="inlineStr">
        <is>
          <t>Completează doar celulele galbene. Tipul ieșirii (VANZARE / CASARE) comandă blocurile.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Denumire mijloc fix</t>
        </is>
      </c>
      <c r="B6" s="64" t="inlineStr">
        <is>
          <t>Clădire administrativă</t>
        </is>
      </c>
    </row>
    <row r="7">
      <c r="A7" s="43" t="inlineStr">
        <is>
          <t>Data ieșirii</t>
        </is>
      </c>
      <c r="B7" s="64" t="inlineStr">
        <is>
          <t>2026-07-31</t>
        </is>
      </c>
    </row>
    <row r="8">
      <c r="A8" s="43" t="inlineStr">
        <is>
          <t>Tip ieșire (VANZARE / CASARE)</t>
        </is>
      </c>
      <c r="B8" s="64" t="inlineStr">
        <is>
          <t>VANZARE</t>
        </is>
      </c>
    </row>
    <row r="10">
      <c r="A10" s="42" t="inlineStr">
        <is>
          <t>2. Date din evidență</t>
        </is>
      </c>
    </row>
    <row r="11">
      <c r="A11" s="43" t="inlineStr">
        <is>
          <t>Valoare de intrare (sold 21x)</t>
        </is>
      </c>
      <c r="B11" s="64" t="n">
        <v>100000</v>
      </c>
    </row>
    <row r="12">
      <c r="A12" s="43" t="inlineStr">
        <is>
          <t>Amortizare cumulată (sold 28x)</t>
        </is>
      </c>
      <c r="B12" s="64" t="n">
        <v>30000</v>
      </c>
    </row>
    <row r="13">
      <c r="A13" s="43" t="inlineStr">
        <is>
          <t>Preț de vânzare, fără TVA (0 la casare)</t>
        </is>
      </c>
      <c r="B13" s="64" t="n">
        <v>50000</v>
      </c>
    </row>
    <row r="14">
      <c r="A14" s="43" t="inlineStr">
        <is>
          <t>Cotă TVA</t>
        </is>
      </c>
      <c r="B14" s="43">
        <f>Parametri!B10</f>
        <v>0.21</v>
      </c>
    </row>
    <row r="15">
      <c r="A15" s="43" t="inlineStr">
        <is>
          <t>Valoare piese recuperate din casare</t>
        </is>
      </c>
      <c r="B15" s="64" t="n">
        <v>0</v>
      </c>
      <c r="C15" s="44" t="inlineStr">
        <is>
          <t>Evaluate de comisia tehnică, pe listă</t>
        </is>
      </c>
    </row>
    <row r="16">
      <c r="A16" s="43" t="inlineStr">
        <is>
          <t>Prețul este documentat? (DA / NU)</t>
        </is>
      </c>
      <c r="B16" s="64" t="inlineStr">
        <is>
          <t>NU</t>
        </is>
      </c>
      <c r="C16" s="44" t="inlineStr">
        <is>
          <t>Raport de evaluare / referință de piață / deviz de service</t>
        </is>
      </c>
    </row>
    <row r="18">
      <c r="A18" s="42" t="inlineStr">
        <is>
          <t>3. Calcul automat (nu edita)</t>
        </is>
      </c>
    </row>
    <row r="19">
      <c r="A19" s="43" t="inlineStr">
        <is>
          <t>Valoare rămasă neamortizată</t>
        </is>
      </c>
      <c r="B19" s="43">
        <f>B11-B12</f>
        <v>70000</v>
      </c>
    </row>
    <row r="20">
      <c r="A20" s="43" t="inlineStr">
        <is>
          <t>TVA colectată</t>
        </is>
      </c>
      <c r="B20" s="43">
        <f>B13*B14</f>
        <v>10500</v>
      </c>
    </row>
    <row r="21">
      <c r="A21" s="43" t="inlineStr">
        <is>
          <t>Total de încasat</t>
        </is>
      </c>
      <c r="B21" s="43">
        <f>B13+B20</f>
        <v>60500</v>
      </c>
    </row>
    <row r="22">
      <c r="A22" s="43" t="inlineStr">
        <is>
          <t>Cheltuială deductibilă (în limita venitului)</t>
        </is>
      </c>
      <c r="B22" s="43">
        <f>MIN(B19,B13)</f>
        <v>50000</v>
      </c>
    </row>
    <row r="23">
      <c r="A23" s="43" t="inlineStr">
        <is>
          <t>Cheltuială NEdeductibilă</t>
        </is>
      </c>
      <c r="B23" s="43">
        <f>MAX(0,B19-B13)</f>
        <v>20000</v>
      </c>
    </row>
    <row r="24">
      <c r="A24" s="43" t="inlineStr">
        <is>
          <t>Rezultat din cedare (venit − valoare rămasă)</t>
        </is>
      </c>
      <c r="B24" s="43">
        <f>B13-B19</f>
        <v>-20000</v>
      </c>
    </row>
    <row r="26">
      <c r="A26" s="42" t="inlineStr">
        <is>
          <t>4. Controale</t>
        </is>
      </c>
    </row>
    <row r="27">
      <c r="A27" s="43" t="inlineStr">
        <is>
          <t>Check C-13: amortizarea nu poate depăși valoarea de intrare</t>
        </is>
      </c>
      <c r="B27" s="43">
        <f>B11-B12</f>
        <v>70000</v>
      </c>
      <c r="C27" s="43" t="str">
        <f>IF(B12&lt;=B11+0.001,"OK — 28x ≤ 21x","EROARE — amortizare mai mare decât valoarea de intrare")</f>
        <v>OK — 28x ≤ 21x</v>
      </c>
    </row>
    <row r="28">
      <c r="A28" s="43" t="inlineStr">
        <is>
          <t>Test deductibilitate</t>
        </is>
      </c>
      <c r="B28" s="43">
        <f>B23</f>
        <v>20000</v>
      </c>
      <c r="C28" s="43" t="str">
        <f>IF(B23&lt;0.001,"OK — valoarea rămasă e integral acoperită de venit",IF(B16="DA","ATENȚIE — diferență nedeductibilă, dar prețul e documentat: susține poziția în scris","RISC — vânzare sub valoarea rămasă, fără document. Comunică riscul clientului ÎN SCRIS"))</f>
        <v>RISC — vânzare sub valoarea rămasă, fără document. Comunică riscul clientului ÎN SCRIS</v>
      </c>
    </row>
    <row r="29">
      <c r="A29" s="43" t="inlineStr">
        <is>
          <t>Test preț minim</t>
        </is>
      </c>
      <c r="B29" s="43">
        <f>B13</f>
        <v>50000</v>
      </c>
      <c r="C29" s="43" t="str">
        <f>IF(B16="DA","OK — preț documentat","ATENȚIE — reperul minim e valoarea de piață (Autovit/OLX) sau valoarea de fier vechi; nu se vinde cu 100 EUR doar pentru că e amortizat")</f>
        <v>ATENȚIE — reperul minim e valoarea de piață (Autovit/OLX) sau valoarea de fier vechi; nu se vinde cu 100 EUR doar pentru că e amortizat</v>
      </c>
    </row>
    <row r="30">
      <c r="A30" s="43" t="inlineStr">
        <is>
          <t>Reminder modul de imobilizări</t>
        </is>
      </c>
      <c r="B30" s="43" t="str">
        <f>B8</f>
        <v>VANZARE</v>
      </c>
      <c r="C30" s="43" t="str">
        <f>"Schimbă STAREA mijlocului fix în modul: " &amp; IF(B8="VANZARE","vândut","casat") &amp; " — altfel softul continuă să calculeze amortizare"</f>
        <v>Schimbă STAREA mijlocului fix în modul: vândut — altfel softul continuă să calculeze amortizare</v>
      </c>
    </row>
    <row r="32">
      <c r="A32" s="42" t="inlineStr">
        <is>
          <t>5. Conturi</t>
        </is>
      </c>
    </row>
    <row r="33">
      <c r="A33" s="43" t="inlineStr">
        <is>
          <t>Cont imobilizare (21x)</t>
        </is>
      </c>
      <c r="B33" s="64" t="inlineStr">
        <is>
          <t>212</t>
        </is>
      </c>
    </row>
    <row r="34">
      <c r="A34" s="43" t="inlineStr">
        <is>
          <t>Cont amortizare (28x)</t>
        </is>
      </c>
      <c r="B34" s="64" t="inlineStr">
        <is>
          <t>2812</t>
        </is>
      </c>
    </row>
    <row r="35">
      <c r="A35" s="43" t="inlineStr">
        <is>
          <t>Cont cheltuială din cedare</t>
        </is>
      </c>
      <c r="B35" s="64" t="n">
        <v>6583</v>
      </c>
    </row>
    <row r="36">
      <c r="A36" s="43" t="inlineStr">
        <is>
          <t>Cont venit din cedare</t>
        </is>
      </c>
      <c r="B36" s="64" t="n">
        <v>7583</v>
      </c>
    </row>
    <row r="37">
      <c r="A37" s="43" t="inlineStr">
        <is>
          <t>Cont creanță</t>
        </is>
      </c>
      <c r="B37" s="64" t="inlineStr">
        <is>
          <t>461</t>
        </is>
      </c>
    </row>
    <row r="38">
      <c r="A38" s="43" t="inlineStr">
        <is>
          <t>Cont TVA colectată</t>
        </is>
      </c>
      <c r="B38" s="64" t="n">
        <v>4427</v>
      </c>
    </row>
    <row r="39">
      <c r="A39" s="43" t="inlineStr">
        <is>
          <t>Cont stoc piese recuperate</t>
        </is>
      </c>
      <c r="B39" s="64" t="n">
        <v>3024</v>
      </c>
    </row>
    <row r="40">
      <c r="A40" s="43" t="inlineStr">
        <is>
          <t>Cont venit din piese recuperate</t>
        </is>
      </c>
      <c r="B40" s="64" t="n">
        <v>7588</v>
      </c>
    </row>
    <row r="42">
      <c r="A42" s="42" t="inlineStr">
        <is>
          <t>6. Sufix generat</t>
        </is>
      </c>
    </row>
    <row r="43">
      <c r="A43" s="43" t="inlineStr">
        <is>
          <t>Sufix</t>
        </is>
      </c>
      <c r="B43" s="43" t="str">
        <f>"— " &amp; B6 &amp; " " &amp; B7</f>
        <v>— Clădire administrativă 2026-07-31</v>
      </c>
    </row>
    <row r="45">
      <c r="A45" s="43" t="inlineStr">
        <is>
          <t>Modul activ în CatalogModule?</t>
        </is>
      </c>
      <c r="B45" s="43" t="str">
        <f>IF(INDEX(CatalogModule!$A$1:$A$200,MATCH("MOD_IESIRE_MF",CatalogModule!$B$1:$B$200,0))="DA","ACTIV — jurnalele se generează","INACTIV — jurnalele rămân goale")</f>
        <v>INACTIV — jurnalele rămân goale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0" customWidth="1" style="40" min="1" max="1"/>
    <col width="16" customWidth="1" style="40" min="2" max="2"/>
    <col width="16" customWidth="1" style="40" min="3" max="3"/>
    <col width="34" customWidth="1" style="40" min="4" max="4"/>
    <col width="26" customWidth="1" style="40" min="5" max="5"/>
    <col width="58" customWidth="1" style="40" min="6" max="6"/>
  </cols>
  <sheetData>
    <row r="1">
      <c r="A1" s="41" t="inlineStr">
        <is>
          <t>MOD_IESIRE_MF — Reguli (tabele fixe)</t>
        </is>
      </c>
    </row>
    <row r="2">
      <c r="A2" s="44" t="inlineStr">
        <is>
          <t>Se editează doar când se schimbă legea sau practica documentată a cabinetului.</t>
        </is>
      </c>
    </row>
    <row r="4">
      <c r="A4" s="42" t="inlineStr">
        <is>
          <t>Tabel A — Secvența de ieșire</t>
        </is>
      </c>
    </row>
    <row r="5">
      <c r="A5" s="65" t="inlineStr">
        <is>
          <t>Pas</t>
        </is>
      </c>
      <c r="B5" s="65" t="inlineStr">
        <is>
          <t>Cont Dr</t>
        </is>
      </c>
      <c r="C5" s="65" t="inlineStr">
        <is>
          <t>Cont Cr</t>
        </is>
      </c>
      <c r="D5" s="65" t="inlineStr">
        <is>
          <t>Sumă (sursă)</t>
        </is>
      </c>
      <c r="E5" s="65" t="inlineStr">
        <is>
          <t>Condiție</t>
        </is>
      </c>
      <c r="F5" s="65" t="inlineStr">
        <is>
          <t>Temei / observație</t>
        </is>
      </c>
    </row>
    <row r="6">
      <c r="A6" s="43" t="inlineStr">
        <is>
          <t>1</t>
        </is>
      </c>
      <c r="B6" s="43" t="inlineStr">
        <is>
          <t>28x</t>
        </is>
      </c>
      <c r="C6" s="43" t="inlineStr">
        <is>
          <t>21x</t>
        </is>
      </c>
      <c r="D6" s="43" t="inlineStr">
        <is>
          <t>amortizarea cumulată</t>
        </is>
      </c>
      <c r="E6" s="43" t="inlineStr">
        <is>
          <t>Întotdeauna</t>
        </is>
      </c>
      <c r="F6" s="43" t="inlineStr">
        <is>
          <t>28x e pur rectificativ — nu ține nimic real</t>
        </is>
      </c>
    </row>
    <row r="7">
      <c r="A7" s="43" t="inlineStr">
        <is>
          <t>2</t>
        </is>
      </c>
      <c r="B7" s="43" t="inlineStr">
        <is>
          <t>6583</t>
        </is>
      </c>
      <c r="C7" s="43" t="inlineStr">
        <is>
          <t>21x</t>
        </is>
      </c>
      <c r="D7" s="43" t="inlineStr">
        <is>
          <t>valoarea rămasă neamortizată</t>
        </is>
      </c>
      <c r="E7" s="43" t="inlineStr">
        <is>
          <t>Dacă valoarea rămasă &gt; 0</t>
        </is>
      </c>
      <c r="F7" s="43" t="inlineStr">
        <is>
          <t>La bun integral amortizat, pasul lipsește</t>
        </is>
      </c>
    </row>
    <row r="8">
      <c r="A8" s="43" t="inlineStr">
        <is>
          <t>3</t>
        </is>
      </c>
      <c r="B8" s="43" t="inlineStr">
        <is>
          <t>461/411</t>
        </is>
      </c>
      <c r="C8" s="43" t="inlineStr">
        <is>
          <t>7583 + 4427</t>
        </is>
      </c>
      <c r="D8" s="43" t="inlineStr">
        <is>
          <t>preț + TVA</t>
        </is>
      </c>
      <c r="E8" s="43" t="inlineStr">
        <is>
          <t>Doar la VANZARE</t>
        </is>
      </c>
      <c r="F8" s="43" t="inlineStr">
        <is>
          <t>La casare nu există venit din cedare</t>
        </is>
      </c>
    </row>
    <row r="9">
      <c r="A9" s="43" t="inlineStr">
        <is>
          <t>4</t>
        </is>
      </c>
      <c r="B9" s="43" t="inlineStr">
        <is>
          <t>3024</t>
        </is>
      </c>
      <c r="C9" s="43" t="inlineStr">
        <is>
          <t>7588</t>
        </is>
      </c>
      <c r="D9" s="43" t="inlineStr">
        <is>
          <t>valoarea pieselor recuperate</t>
        </is>
      </c>
      <c r="E9" s="43" t="inlineStr">
        <is>
          <t>Doar la CASARE cu recuperări</t>
        </is>
      </c>
      <c r="F9" s="43" t="inlineStr">
        <is>
          <t>Lista vine de la comisia tehnică; dacă se revând, transfer în 371 (F-308)</t>
        </is>
      </c>
    </row>
    <row r="11">
      <c r="A11" s="42" t="inlineStr">
        <is>
          <t>Tabel B — Testul de deductibilitate</t>
        </is>
      </c>
    </row>
    <row r="12">
      <c r="A12" s="65" t="inlineStr">
        <is>
          <t>Situație</t>
        </is>
      </c>
      <c r="B12" s="65" t="inlineStr">
        <is>
          <t>Tratament</t>
        </is>
      </c>
      <c r="C12" s="65" t="inlineStr"/>
      <c r="D12" s="65" t="inlineStr"/>
      <c r="E12" s="65" t="inlineStr"/>
      <c r="F12" s="65" t="inlineStr">
        <is>
          <t>Observație</t>
        </is>
      </c>
    </row>
    <row r="13">
      <c r="A13" s="43" t="inlineStr">
        <is>
          <t>Preț ≥ valoarea rămasă</t>
        </is>
      </c>
      <c r="B13" s="43" t="inlineStr">
        <is>
          <t>6583 integral deductibil</t>
        </is>
      </c>
      <c r="C13" s="43" t="inlineStr"/>
      <c r="D13" s="43" t="inlineStr"/>
      <c r="E13" s="43" t="inlineStr"/>
      <c r="F13" s="43" t="inlineStr">
        <is>
          <t>Rezultatul din cedare e câștig</t>
        </is>
      </c>
    </row>
    <row r="14">
      <c r="A14" s="43" t="inlineStr">
        <is>
          <t>Preț &lt; valoarea rămasă, preț DOCUMENTAT</t>
        </is>
      </c>
      <c r="B14" s="43" t="inlineStr">
        <is>
          <t>deductibil în limita venitului; diferența e discutabilă</t>
        </is>
      </c>
      <c r="C14" s="43" t="inlineStr"/>
      <c r="D14" s="43" t="inlineStr"/>
      <c r="E14" s="43" t="inlineStr"/>
      <c r="F14" s="43" t="inlineStr">
        <is>
          <t>❓ De cerut formatorului baza legală exactă. Art. 28 alin. (17) CF, citit strict, include pierderea în rezultatul fiscal</t>
        </is>
      </c>
    </row>
    <row r="15">
      <c r="A15" s="43" t="inlineStr">
        <is>
          <t>Preț &lt; valoarea rămasă, preț NEdocumentat</t>
        </is>
      </c>
      <c r="B15" s="43" t="inlineStr">
        <is>
          <t>diferența — nedeductibilă; risc de reîncadrare</t>
        </is>
      </c>
      <c r="C15" s="43" t="inlineStr"/>
      <c r="D15" s="43" t="inlineStr"/>
      <c r="E15" s="43" t="inlineStr"/>
      <c r="F15" s="43" t="inlineStr">
        <is>
          <t>art. 11 CF (reîncadrare) + art. 25 alin. (1) CF (scopul activității economice)</t>
        </is>
      </c>
    </row>
    <row r="16">
      <c r="A16" s="43" t="inlineStr">
        <is>
          <t>Bun integral amortizat, vândut sub piață</t>
        </is>
      </c>
      <c r="B16" s="43" t="inlineStr">
        <is>
          <t>risc de reîncadrare</t>
        </is>
      </c>
      <c r="C16" s="43" t="inlineStr"/>
      <c r="D16" s="43" t="inlineStr"/>
      <c r="E16" s="43" t="inlineStr"/>
      <c r="F16" s="43" t="inlineStr">
        <is>
          <t>Reper minim: valoare de piață sau valoare de fier vechi, documentat</t>
        </is>
      </c>
    </row>
    <row r="18">
      <c r="A18" s="42" t="inlineStr">
        <is>
          <t>Tabel C — Porți de calitate</t>
        </is>
      </c>
    </row>
    <row r="19">
      <c r="A19" s="43" t="inlineStr">
        <is>
          <t>• ΣDr = ΣCr pe fiecare bloc</t>
        </is>
      </c>
    </row>
    <row r="20">
      <c r="A20" s="43" t="inlineStr">
        <is>
          <t>• Sold 21x = 0 și sold 28x = 0 pentru bunul ieșit</t>
        </is>
      </c>
    </row>
    <row r="21">
      <c r="A21" s="43" t="inlineStr">
        <is>
          <t>• Amortizarea descărcată = soldul 28x din evidență, nu o estimare (C-13)</t>
        </is>
      </c>
    </row>
    <row r="22">
      <c r="A22" s="43" t="inlineStr">
        <is>
          <t>• Starea mijlocului fix schimbată în modul: vândut / casat</t>
        </is>
      </c>
    </row>
    <row r="23">
      <c r="A23" s="43" t="inlineStr">
        <is>
          <t>• Ieșirea din nota contabilă corelată cu modulul de imobilizări (C-15)</t>
        </is>
      </c>
    </row>
    <row r="24">
      <c r="A24" s="43" t="inlineStr">
        <is>
          <t>• Diferența nedeductibilă comunicată clientului în scris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14" customWidth="1" style="40" min="2" max="2"/>
    <col width="14" customWidth="1" style="40" min="3" max="3"/>
    <col width="48" customWidth="1" style="40" min="4" max="4"/>
    <col width="14" customWidth="1" style="40" min="5" max="5"/>
    <col width="14" customWidth="1" style="40" min="6" max="6"/>
    <col width="48" customWidth="1" style="40" min="7" max="7"/>
  </cols>
  <sheetData>
    <row r="1">
      <c r="A1" s="41" t="inlineStr">
        <is>
          <t>MOD_IESIRE_MF — Jurnale (generate automat)</t>
        </is>
      </c>
    </row>
    <row r="2">
      <c r="A2" s="44" t="inlineStr">
        <is>
          <t>Blocul de vânzare rămâne pe zero la casare, și invers pentru piesele recuperate.</t>
        </is>
      </c>
    </row>
    <row r="4">
      <c r="A4" s="42" t="inlineStr">
        <is>
          <t>Bloc 1 — Descărcarea amortizării cumulate</t>
        </is>
      </c>
    </row>
    <row r="5">
      <c r="A5" s="43" t="inlineStr">
        <is>
          <t>Data jurnal:</t>
        </is>
      </c>
      <c r="B5" s="43" t="str">
        <f>Declarații_IESIRE_MF!B7</f>
        <v>2026-07-31</v>
      </c>
    </row>
    <row r="7">
      <c r="A7" s="65" t="inlineStr">
        <is>
          <t>Nr</t>
        </is>
      </c>
      <c r="B7" s="65" t="inlineStr">
        <is>
          <t>Cont Dr</t>
        </is>
      </c>
      <c r="C7" s="65" t="inlineStr">
        <is>
          <t>Sumă Dr</t>
        </is>
      </c>
      <c r="D7" s="65" t="inlineStr">
        <is>
          <t>Descriere Dr</t>
        </is>
      </c>
      <c r="E7" s="65" t="inlineStr">
        <is>
          <t>Cont Cr</t>
        </is>
      </c>
      <c r="F7" s="65" t="inlineStr">
        <is>
          <t>Sumă Cr</t>
        </is>
      </c>
      <c r="G7" s="65" t="inlineStr">
        <is>
          <t>Descriere Cr</t>
        </is>
      </c>
    </row>
    <row r="8">
      <c r="A8" s="43" t="n">
        <v>1</v>
      </c>
      <c r="B8" s="43" t="str">
        <f>Declarații_IESIRE_MF!B34</f>
        <v>2812</v>
      </c>
      <c r="C8" s="43">
        <f>Declarații_IESIRE_MF!B12</f>
        <v>30000</v>
      </c>
      <c r="D8" s="43" t="str">
        <f>"Descărcare amortizare cumulată " &amp; Declarații_IESIRE_MF!B43</f>
        <v>Descărcare amortizare cumulată — Clădire administrativă 2026-07-31</v>
      </c>
      <c r="E8" s="43" t="str">
        <f>Declarații_IESIRE_MF!B33</f>
        <v>212</v>
      </c>
      <c r="F8" s="43">
        <f>Declarații_IESIRE_MF!B12</f>
        <v>30000</v>
      </c>
      <c r="G8" s="43" t="str">
        <f>"Scoatere din evidență — partea amortizată " &amp; Declarații_IESIRE_MF!B43</f>
        <v>Scoatere din evidență — partea amortizată — Clădire administrativă 2026-07-31</v>
      </c>
    </row>
    <row r="10">
      <c r="A10" s="42" t="inlineStr">
        <is>
          <t>Bloc 2 — Valoarea rămasă pe cheltuială</t>
        </is>
      </c>
    </row>
    <row r="11">
      <c r="A11" s="65" t="inlineStr">
        <is>
          <t>Nr</t>
        </is>
      </c>
      <c r="B11" s="65" t="inlineStr">
        <is>
          <t>Cont Dr</t>
        </is>
      </c>
      <c r="C11" s="65" t="inlineStr">
        <is>
          <t>Sumă Dr</t>
        </is>
      </c>
      <c r="D11" s="65" t="inlineStr">
        <is>
          <t>Descriere Dr</t>
        </is>
      </c>
      <c r="E11" s="65" t="inlineStr">
        <is>
          <t>Cont Cr</t>
        </is>
      </c>
      <c r="F11" s="65" t="inlineStr">
        <is>
          <t>Sumă Cr</t>
        </is>
      </c>
      <c r="G11" s="65" t="inlineStr">
        <is>
          <t>Descriere Cr</t>
        </is>
      </c>
    </row>
    <row r="12">
      <c r="A12" s="43" t="n">
        <v>1</v>
      </c>
      <c r="B12" s="43">
        <f>Declarații_IESIRE_MF!B35</f>
        <v>6583</v>
      </c>
      <c r="C12" s="43">
        <f>Declarații_IESIRE_MF!B19</f>
        <v>70000</v>
      </c>
      <c r="D12" s="43" t="str">
        <f>"Valoare rămasă neamortizată " &amp; Declarații_IESIRE_MF!B43</f>
        <v>Valoare rămasă neamortizată — Clădire administrativă 2026-07-31</v>
      </c>
      <c r="E12" s="43" t="str">
        <f>Declarații_IESIRE_MF!B33</f>
        <v>212</v>
      </c>
      <c r="F12" s="43">
        <f>Declarații_IESIRE_MF!B19</f>
        <v>70000</v>
      </c>
      <c r="G12" s="43" t="str">
        <f>"Scoatere din evidență — partea neamortizată " &amp; Declarații_IESIRE_MF!B43</f>
        <v>Scoatere din evidență — partea neamortizată — Clădire administrativă 2026-07-31</v>
      </c>
    </row>
    <row r="14">
      <c r="A14" s="42" t="inlineStr">
        <is>
          <t>Bloc 3 — Vânzarea (doar la tip = VANZARE)</t>
        </is>
      </c>
    </row>
    <row r="15">
      <c r="A15" s="65" t="inlineStr">
        <is>
          <t>Nr</t>
        </is>
      </c>
      <c r="B15" s="65" t="inlineStr">
        <is>
          <t>Cont Dr</t>
        </is>
      </c>
      <c r="C15" s="65" t="inlineStr">
        <is>
          <t>Sumă Dr</t>
        </is>
      </c>
      <c r="D15" s="65" t="inlineStr">
        <is>
          <t>Descriere Dr</t>
        </is>
      </c>
      <c r="E15" s="65" t="inlineStr">
        <is>
          <t>Cont Cr</t>
        </is>
      </c>
      <c r="F15" s="65" t="inlineStr">
        <is>
          <t>Sumă Cr</t>
        </is>
      </c>
      <c r="G15" s="65" t="inlineStr">
        <is>
          <t>Descriere Cr</t>
        </is>
      </c>
    </row>
    <row r="16">
      <c r="A16" s="43" t="n">
        <v>1</v>
      </c>
      <c r="B16" s="43" t="str">
        <f>Declarații_IESIRE_MF!B37</f>
        <v>461</v>
      </c>
      <c r="C16" s="43">
        <f>IF(Declarații_IESIRE_MF!B8="VANZARE",Declarații_IESIRE_MF!B13,0)</f>
        <v>50000</v>
      </c>
      <c r="D16" s="43" t="str">
        <f>"Creanță din vânzare mijloc fix " &amp; Declarații_IESIRE_MF!B43</f>
        <v>Creanță din vânzare mijloc fix — Clădire administrativă 2026-07-31</v>
      </c>
      <c r="E16" s="43">
        <f>Declarații_IESIRE_MF!B36</f>
        <v>7583</v>
      </c>
      <c r="F16" s="43">
        <f>IF(Declarații_IESIRE_MF!B8="VANZARE",Declarații_IESIRE_MF!B13,0)</f>
        <v>50000</v>
      </c>
      <c r="G16" s="43" t="str">
        <f>"Venit din cedarea activelor " &amp; Declarații_IESIRE_MF!B43</f>
        <v>Venit din cedarea activelor — Clădire administrativă 2026-07-31</v>
      </c>
    </row>
    <row r="17">
      <c r="A17" s="43" t="n">
        <v>2</v>
      </c>
      <c r="B17" s="43" t="str">
        <f>Declarații_IESIRE_MF!B37</f>
        <v>461</v>
      </c>
      <c r="C17" s="43">
        <f>IF(Declarații_IESIRE_MF!B8="VANZARE",Declarații_IESIRE_MF!B20,0)</f>
        <v>10500</v>
      </c>
      <c r="D17" s="43" t="str">
        <f>"Creanță — TVA " &amp; Declarații_IESIRE_MF!B43</f>
        <v>Creanță — TVA — Clădire administrativă 2026-07-31</v>
      </c>
      <c r="E17" s="43">
        <f>Declarații_IESIRE_MF!B38</f>
        <v>4427</v>
      </c>
      <c r="F17" s="43">
        <f>IF(Declarații_IESIRE_MF!B8="VANZARE",Declarații_IESIRE_MF!B20,0)</f>
        <v>10500</v>
      </c>
      <c r="G17" s="43" t="str">
        <f>"TVA colectată " &amp; Declarații_IESIRE_MF!B43</f>
        <v>TVA colectată — Clădire administrativă 2026-07-31</v>
      </c>
    </row>
    <row r="19">
      <c r="A19" s="42" t="inlineStr">
        <is>
          <t>Bloc 4 — Piese recuperate din casare</t>
        </is>
      </c>
    </row>
    <row r="20">
      <c r="A20" s="65" t="inlineStr">
        <is>
          <t>Nr</t>
        </is>
      </c>
      <c r="B20" s="65" t="inlineStr">
        <is>
          <t>Cont Dr</t>
        </is>
      </c>
      <c r="C20" s="65" t="inlineStr">
        <is>
          <t>Sumă Dr</t>
        </is>
      </c>
      <c r="D20" s="65" t="inlineStr">
        <is>
          <t>Descriere Dr</t>
        </is>
      </c>
      <c r="E20" s="65" t="inlineStr">
        <is>
          <t>Cont Cr</t>
        </is>
      </c>
      <c r="F20" s="65" t="inlineStr">
        <is>
          <t>Sumă Cr</t>
        </is>
      </c>
      <c r="G20" s="65" t="inlineStr">
        <is>
          <t>Descriere Cr</t>
        </is>
      </c>
    </row>
    <row r="21">
      <c r="A21" s="43" t="n">
        <v>1</v>
      </c>
      <c r="B21" s="43">
        <f>Declarații_IESIRE_MF!B39</f>
        <v>3024</v>
      </c>
      <c r="C21" s="43">
        <f>Declarații_IESIRE_MF!B15</f>
        <v>0</v>
      </c>
      <c r="D21" s="43" t="str">
        <f>"Piese recuperate, evaluate de comisia tehnică " &amp; Declarații_IESIRE_MF!B43</f>
        <v>Piese recuperate, evaluate de comisia tehnică — Clădire administrativă 2026-07-31</v>
      </c>
      <c r="E21" s="43">
        <f>Declarații_IESIRE_MF!B40</f>
        <v>7588</v>
      </c>
      <c r="F21" s="43">
        <f>Declarații_IESIRE_MF!B15</f>
        <v>0</v>
      </c>
      <c r="G21" s="43" t="str">
        <f>"Venit din piese recuperate " &amp; Declarații_IESIRE_MF!B43</f>
        <v>Venit din piese recuperate — Clădire administrativă 2026-07-31</v>
      </c>
    </row>
    <row r="23">
      <c r="A23" s="42" t="inlineStr">
        <is>
          <t>Sumar și controale</t>
        </is>
      </c>
    </row>
    <row r="24">
      <c r="A24" s="43" t="inlineStr">
        <is>
          <t>Total Dr</t>
        </is>
      </c>
      <c r="B24" s="43">
        <f>C8+C12+C16+C17+C21</f>
        <v>160500</v>
      </c>
    </row>
    <row r="25">
      <c r="A25" s="43" t="inlineStr">
        <is>
          <t>Total Cr</t>
        </is>
      </c>
      <c r="B25" s="43">
        <f>F8+F12+F16+F17+F21</f>
        <v>160500</v>
      </c>
    </row>
    <row r="26">
      <c r="A26" s="43" t="inlineStr">
        <is>
          <t>Check Σ (structural)</t>
        </is>
      </c>
      <c r="B26" s="43">
        <f>B24-B25</f>
        <v>0</v>
      </c>
      <c r="C26" s="43" t="str">
        <f>IF(ABS(B24-B25)&lt;0.01,"OK — notele se închid","EROARE")</f>
        <v>OK — notele se închid</v>
      </c>
    </row>
    <row r="27">
      <c r="A27" s="43" t="inlineStr">
        <is>
          <t>Check stingere integrală 21x</t>
        </is>
      </c>
      <c r="B27" s="43">
        <f>F8+F12-Declarații_IESIRE_MF!B11</f>
        <v>0</v>
      </c>
      <c r="C27" s="43" t="str">
        <f>IF(ABS(F8+F12-Declarații_IESIRE_MF!B11)&lt;0.01,"OK — 21x se stinge integral","EROARE — rămâne sold pe mijlocul ieșit")</f>
        <v>OK — 21x se stinge integral</v>
      </c>
    </row>
    <row r="28">
      <c r="A28" s="43" t="inlineStr">
        <is>
          <t>Check deductibilitate (informativ, nu blochează)</t>
        </is>
      </c>
      <c r="B28" s="43">
        <f>Declarații_IESIRE_MF!B23</f>
        <v>20000</v>
      </c>
      <c r="C28" s="43" t="str">
        <f>IF(Declarații_IESIRE_MF!B23&lt;0.001,"OK — integral deductibil","ATENȚIE — " &amp; TEXT(Declarații_IESIRE_MF!B23,"0.00") &amp; " lei nedeductibili fără document")</f>
        <v>ATENȚIE — 20000.00 lei nedeductibili fără document</v>
      </c>
    </row>
    <row r="29">
      <c r="A29" s="44" t="inlineStr">
        <is>
          <t>Stare terminală așteptată: sold 21x = 0, sold 28x = 0 pentru bunul ieșit; starea în modulul de imobilizări schimbată în vândut / casat.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34" customWidth="1" style="40" min="2" max="2"/>
    <col width="12" customWidth="1" style="40" min="3" max="3"/>
    <col width="14" customWidth="1" style="40" min="4" max="4"/>
    <col width="14" customWidth="1" style="40" min="5" max="5"/>
    <col width="14" customWidth="1" style="40" min="6" max="6"/>
    <col width="50" customWidth="1" style="40" min="7" max="7"/>
    <col width="32" customWidth="1" style="40" min="8" max="8"/>
    <col width="10" customWidth="1" style="40" min="9" max="9"/>
  </cols>
  <sheetData>
    <row r="1">
      <c r="A1" s="41" t="inlineStr">
        <is>
          <t>MOD_IESIRE_MF — Notă pentru import (1 rând = 1 înregistrare)</t>
        </is>
      </c>
    </row>
    <row r="2">
      <c r="A2" s="44" t="inlineStr">
        <is>
          <t>Filtrează pe Include = DA. Rândurile pe zero corespund blocului inactiv pentru tipul de ieșire ales.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Bloc 1 — Descărcare amortizare</t>
        </is>
      </c>
      <c r="C5" s="43" t="str">
        <f>Declarații_IESIRE_MF!B7</f>
        <v>2026-07-31</v>
      </c>
      <c r="D5" s="43" t="str">
        <f>Jurnale_IESIRE_MF!B8</f>
        <v>2812</v>
      </c>
      <c r="E5" s="43" t="str">
        <f>Jurnale_IESIRE_MF!E8</f>
        <v>212</v>
      </c>
      <c r="F5" s="43">
        <f>Jurnale_IESIRE_MF!C8</f>
        <v>30000</v>
      </c>
      <c r="G5" s="43" t="str">
        <f>Jurnale_IESIRE_MF!D8</f>
        <v>Descărcare amortizare cumulată — Clădire administrativă 2026-07-31</v>
      </c>
      <c r="H5" s="43" t="inlineStr">
        <is>
          <t>Notă de scoatere din evidență</t>
        </is>
      </c>
      <c r="I5" s="39" t="str">
        <f>IF(F5&gt;0.001,"DA","NU")</f>
        <v>DA</v>
      </c>
    </row>
    <row r="6">
      <c r="A6" s="43" t="n">
        <v>2</v>
      </c>
      <c r="B6" s="43" t="inlineStr">
        <is>
          <t>Bloc 2 — Valoare rămasă</t>
        </is>
      </c>
      <c r="C6" s="43" t="str">
        <f>Declarații_IESIRE_MF!B7</f>
        <v>2026-07-31</v>
      </c>
      <c r="D6" s="43">
        <f>Jurnale_IESIRE_MF!B12</f>
        <v>6583</v>
      </c>
      <c r="E6" s="43" t="str">
        <f>Jurnale_IESIRE_MF!E12</f>
        <v>212</v>
      </c>
      <c r="F6" s="43">
        <f>Jurnale_IESIRE_MF!C12</f>
        <v>70000</v>
      </c>
      <c r="G6" s="43" t="str">
        <f>Jurnale_IESIRE_MF!D12</f>
        <v>Valoare rămasă neamortizată — Clădire administrativă 2026-07-31</v>
      </c>
      <c r="H6" s="43" t="inlineStr">
        <is>
          <t>Notă de scoatere din evidență</t>
        </is>
      </c>
      <c r="I6" s="39" t="str">
        <f>IF(F6&gt;0.001,"DA","NU")</f>
        <v>DA</v>
      </c>
    </row>
    <row r="7">
      <c r="A7" s="43" t="n">
        <v>3</v>
      </c>
      <c r="B7" s="43" t="inlineStr">
        <is>
          <t>Bloc 3 — Vânzare</t>
        </is>
      </c>
      <c r="C7" s="43" t="str">
        <f>Declarații_IESIRE_MF!B7</f>
        <v>2026-07-31</v>
      </c>
      <c r="D7" s="43" t="str">
        <f>Jurnale_IESIRE_MF!B16</f>
        <v>461</v>
      </c>
      <c r="E7" s="43">
        <f>Jurnale_IESIRE_MF!E16</f>
        <v>7583</v>
      </c>
      <c r="F7" s="43">
        <f>Jurnale_IESIRE_MF!C16</f>
        <v>50000</v>
      </c>
      <c r="G7" s="43" t="str">
        <f>Jurnale_IESIRE_MF!D16</f>
        <v>Creanță din vânzare mijloc fix — Clădire administrativă 2026-07-31</v>
      </c>
      <c r="H7" s="43" t="inlineStr">
        <is>
          <t>Factură de vânzare</t>
        </is>
      </c>
      <c r="I7" s="39" t="str">
        <f>IF(F7&gt;0.001,"DA","NU")</f>
        <v>DA</v>
      </c>
    </row>
    <row r="8">
      <c r="A8" s="43" t="n">
        <v>4</v>
      </c>
      <c r="B8" s="43" t="inlineStr">
        <is>
          <t>Bloc 3 — TVA</t>
        </is>
      </c>
      <c r="C8" s="43" t="str">
        <f>Declarații_IESIRE_MF!B7</f>
        <v>2026-07-31</v>
      </c>
      <c r="D8" s="43" t="str">
        <f>Jurnale_IESIRE_MF!B17</f>
        <v>461</v>
      </c>
      <c r="E8" s="43">
        <f>Jurnale_IESIRE_MF!E17</f>
        <v>4427</v>
      </c>
      <c r="F8" s="43">
        <f>Jurnale_IESIRE_MF!C17</f>
        <v>10500</v>
      </c>
      <c r="G8" s="43" t="str">
        <f>Jurnale_IESIRE_MF!D17</f>
        <v>Creanță — TVA — Clădire administrativă 2026-07-31</v>
      </c>
      <c r="H8" s="43" t="inlineStr">
        <is>
          <t>Factură de vânzare</t>
        </is>
      </c>
      <c r="I8" s="39" t="str">
        <f>IF(F8&gt;0.001,"DA","NU")</f>
        <v>DA</v>
      </c>
    </row>
    <row r="9">
      <c r="A9" s="43" t="n">
        <v>5</v>
      </c>
      <c r="B9" s="43" t="inlineStr">
        <is>
          <t>Bloc 4 — Piese recuperate</t>
        </is>
      </c>
      <c r="C9" s="43" t="str">
        <f>Declarații_IESIRE_MF!B7</f>
        <v>2026-07-31</v>
      </c>
      <c r="D9" s="43">
        <f>Jurnale_IESIRE_MF!B21</f>
        <v>3024</v>
      </c>
      <c r="E9" s="43">
        <f>Jurnale_IESIRE_MF!E21</f>
        <v>7588</v>
      </c>
      <c r="F9" s="43">
        <f>Jurnale_IESIRE_MF!C21</f>
        <v>0</v>
      </c>
      <c r="G9" s="43" t="str">
        <f>Jurnale_IESIRE_MF!D21</f>
        <v>Piese recuperate, evaluate de comisia tehnică — Clădire administrativă 2026-07-31</v>
      </c>
      <c r="H9" s="43" t="inlineStr">
        <is>
          <t>PV scoatere din funcțiune + listă comisie</t>
        </is>
      </c>
      <c r="I9" s="39" t="str">
        <f>IF(F9&gt;0.001,"DA","NU")</f>
        <v>NU</v>
      </c>
    </row>
    <row r="11">
      <c r="A11" s="43" t="inlineStr">
        <is>
          <t>Rânduri de importat (Include=DA)</t>
        </is>
      </c>
      <c r="B11" s="43">
        <f>COUNTIF(I5:I9,"DA")</f>
        <v>4</v>
      </c>
    </row>
    <row r="12">
      <c r="A12" s="43" t="inlineStr">
        <is>
          <t>Check global (trebuie 0)</t>
        </is>
      </c>
      <c r="B12" s="43">
        <f>Jurnale_IESIRE_MF!B24-Jurnale_IESIRE_MF!B25</f>
        <v>0</v>
      </c>
      <c r="C12" s="43" t="str">
        <f>IF(ABS(Jurnale_IESIRE_MF!B24-Jurnale_IESIRE_MF!B25)&lt;0.01,"OK","EROARE")</f>
        <v>OK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54" customWidth="1" style="40" min="1" max="1"/>
    <col width="26" customWidth="1" style="40" min="2" max="2"/>
    <col width="52" customWidth="1" style="40" min="3" max="3"/>
  </cols>
  <sheetData>
    <row r="1">
      <c r="A1" s="41" t="inlineStr">
        <is>
          <t>MOD_APROV_TRANZIT — Declarații (input)</t>
        </is>
      </c>
    </row>
    <row r="2">
      <c r="A2" s="44" t="inlineStr">
        <is>
          <t>Completează doar celulele galbene. Modulul acoperă: factură înainte de recepție (32x) + stingere la recepție. Cazul simetric 408 (marfă înainte de factură) se notează, dar se activează separat dacă e nevoie.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CUI</t>
        </is>
      </c>
      <c r="B6" s="43" t="str">
        <f>Parametri!B6</f>
        <v>RO00000000</v>
      </c>
    </row>
    <row r="7">
      <c r="A7" s="43" t="inlineStr">
        <is>
          <t>Luna (AAAA-LL)</t>
        </is>
      </c>
      <c r="B7" s="64" t="inlineStr">
        <is>
          <t>2026-07</t>
        </is>
      </c>
    </row>
    <row r="8">
      <c r="A8" s="43" t="inlineStr">
        <is>
          <t>Data factură (jurnal B1)</t>
        </is>
      </c>
      <c r="B8" s="64" t="inlineStr">
        <is>
          <t>2026-07-10</t>
        </is>
      </c>
    </row>
    <row r="9">
      <c r="A9" s="43" t="inlineStr">
        <is>
          <t>Data recepție NIR (jurnal B2)</t>
        </is>
      </c>
      <c r="B9" s="64" t="inlineStr">
        <is>
          <t>2026-07-18</t>
        </is>
      </c>
    </row>
    <row r="10">
      <c r="A10" s="43" t="inlineStr">
        <is>
          <t>Furnizor (denumire scurtă)</t>
        </is>
      </c>
      <c r="B10" s="64" t="inlineStr">
        <is>
          <t>Furnizor DEMO</t>
        </is>
      </c>
    </row>
    <row r="11">
      <c r="A11" s="43" t="inlineStr">
        <is>
          <t>Nr. factură / document</t>
        </is>
      </c>
      <c r="B11" s="64" t="inlineStr">
        <is>
          <t>F-1234/10.07.2026</t>
        </is>
      </c>
    </row>
    <row r="13">
      <c r="A13" s="42" t="inlineStr">
        <is>
          <t>2. Sume factură</t>
        </is>
      </c>
    </row>
    <row r="14">
      <c r="A14" s="43" t="inlineStr">
        <is>
          <t>Valoare netă (fără TVA)</t>
        </is>
      </c>
      <c r="B14" s="64" t="n">
        <v>8000</v>
      </c>
    </row>
    <row r="15">
      <c r="A15" s="43" t="inlineStr">
        <is>
          <t>Cota TVA</t>
        </is>
      </c>
      <c r="B15" s="64" t="n">
        <v>0.21</v>
      </c>
    </row>
    <row r="16">
      <c r="A16" s="43" t="inlineStr">
        <is>
          <t>TVA (calculat)</t>
        </is>
      </c>
      <c r="B16" s="43">
        <f>B14*B15</f>
        <v>1680</v>
      </c>
    </row>
    <row r="17">
      <c r="A17" s="43" t="inlineStr">
        <is>
          <t>Total factură</t>
        </is>
      </c>
      <c r="B17" s="43">
        <f>B14+B16</f>
        <v>9680</v>
      </c>
    </row>
    <row r="19">
      <c r="A19" s="42" t="inlineStr">
        <is>
          <t>3. Politică de conturi</t>
        </is>
      </c>
    </row>
    <row r="20">
      <c r="A20" s="43" t="inlineStr">
        <is>
          <t>Cont stoc final (după recepție)</t>
        </is>
      </c>
      <c r="B20" s="64" t="inlineStr">
        <is>
          <t>371</t>
        </is>
      </c>
    </row>
    <row r="21">
      <c r="A21" s="43" t="inlineStr">
        <is>
          <t>Cont tranzit (32x)</t>
        </is>
      </c>
      <c r="B21" s="64" t="inlineStr">
        <is>
          <t>327</t>
        </is>
      </c>
    </row>
    <row r="22">
      <c r="A22" s="43" t="inlineStr">
        <is>
          <t>Cont furnizor</t>
        </is>
      </c>
      <c r="B22" s="64" t="inlineStr">
        <is>
          <t>401.RO</t>
        </is>
      </c>
    </row>
    <row r="23">
      <c r="A23" s="43" t="inlineStr">
        <is>
          <t>Cont TVA deductibilă</t>
        </is>
      </c>
      <c r="B23" s="64" t="inlineStr">
        <is>
          <t>4426</t>
        </is>
      </c>
    </row>
    <row r="24">
      <c r="A24" s="43" t="inlineStr">
        <is>
          <t>Platitor TVA? (DA/NU)</t>
        </is>
      </c>
      <c r="B24" s="64" t="inlineStr">
        <is>
          <t>DA</t>
        </is>
      </c>
    </row>
    <row r="26">
      <c r="A26" s="42" t="inlineStr">
        <is>
          <t>4. Poartă — tip eveniment</t>
        </is>
      </c>
    </row>
    <row r="27">
      <c r="A27" s="43" t="inlineStr">
        <is>
          <t>Factură înainte de marfă? (DA = tranzit 32x)</t>
        </is>
      </c>
      <c r="B27" s="64" t="inlineStr">
        <is>
          <t>DA</t>
        </is>
      </c>
    </row>
    <row r="28">
      <c r="A28" s="43" t="inlineStr">
        <is>
          <t>Marfă înainte de factură? (DA = 408 — nu e acoperit de acest modul)</t>
        </is>
      </c>
      <c r="B28" s="64" t="inlineStr">
        <is>
          <t>NU</t>
        </is>
      </c>
    </row>
    <row r="29">
      <c r="A29" s="43" t="inlineStr">
        <is>
          <t>Notă poartă</t>
        </is>
      </c>
      <c r="B29" s="43" t="str">
        <f>IF(AND(B27="DA",B28="NU"),"Cale standard F-302: 32x → stoc","Verifică: dacă ambele DA sau ambele NU, situația nu e tranzit clasic")</f>
        <v>Cale standard F-302: 32x → stoc</v>
      </c>
    </row>
    <row r="31">
      <c r="A31" s="42" t="inlineStr">
        <is>
          <t>5. Sufix descriere (generat)</t>
        </is>
      </c>
    </row>
    <row r="32">
      <c r="A32" s="43" t="inlineStr">
        <is>
          <t>Sufix</t>
        </is>
      </c>
      <c r="B32" s="43" t="str">
        <f>"— " &amp; B7 &amp; " — " &amp; B10 &amp; " — " &amp; B11</f>
        <v>— 2026-07 — Furnizor DEMO — F-1234/10.07.2026</v>
      </c>
    </row>
    <row r="34">
      <c r="A34" s="42" t="inlineStr">
        <is>
          <t>6. Control modul</t>
        </is>
      </c>
    </row>
    <row r="35">
      <c r="A35" s="43" t="inlineStr">
        <is>
          <t>Modul activ în Catalog?</t>
        </is>
      </c>
      <c r="B35" s="43" t="str">
        <f>IF(INDEX(CatalogModule!$A$1:$A$200,MATCH("MOD_APROV_TRANZIT",CatalogModule!$B$1:$B$200,0))="DA","ACTIV","INACTIV")</f>
        <v>INACTIV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0" customWidth="1" style="40" min="1" max="1"/>
    <col width="30" customWidth="1" style="40" min="2" max="2"/>
    <col width="20" customWidth="1" style="40" min="3" max="3"/>
    <col width="20" customWidth="1" style="40" min="4" max="4"/>
    <col width="12" customWidth="1" style="40" min="5" max="5"/>
    <col width="58" customWidth="1" style="40" min="6" max="6"/>
  </cols>
  <sheetData>
    <row r="1">
      <c r="A1" s="41" t="inlineStr">
        <is>
          <t>MOD_APROV_TRANZIT — Reguli (tabele fixe)</t>
        </is>
      </c>
    </row>
    <row r="2">
      <c r="A2" s="44" t="inlineStr">
        <is>
          <t>Regula este dată, nu formulă. Se editează doar la schimbare de lege sau politică.</t>
        </is>
      </c>
    </row>
    <row r="4">
      <c r="A4" s="42" t="inlineStr">
        <is>
          <t>Tabel A — Secvența de înregistrare (calea standard F-302)</t>
        </is>
      </c>
    </row>
    <row r="5">
      <c r="A5" s="65" t="inlineStr">
        <is>
          <t>Pas</t>
        </is>
      </c>
      <c r="B5" s="65" t="inlineStr">
        <is>
          <t>Moment</t>
        </is>
      </c>
      <c r="C5" s="65" t="inlineStr">
        <is>
          <t>Cont Dr</t>
        </is>
      </c>
      <c r="D5" s="65" t="inlineStr">
        <is>
          <t>Cont Cr</t>
        </is>
      </c>
      <c r="E5" s="65" t="inlineStr">
        <is>
          <t>Sumă</t>
        </is>
      </c>
      <c r="F5" s="65" t="inlineStr">
        <is>
          <t>Temei / observație</t>
        </is>
      </c>
    </row>
    <row r="6">
      <c r="A6" s="43" t="n">
        <v>1</v>
      </c>
      <c r="B6" s="43" t="inlineStr">
        <is>
          <t>Factură (marfă pe drum)</t>
        </is>
      </c>
      <c r="C6" s="43" t="inlineStr">
        <is>
          <t>327 (tranzit)</t>
        </is>
      </c>
      <c r="D6" s="43" t="inlineStr">
        <is>
          <t>401.RO</t>
        </is>
      </c>
      <c r="E6" s="43" t="inlineStr">
        <is>
          <t>Netă</t>
        </is>
      </c>
      <c r="F6" s="43" t="inlineStr">
        <is>
          <t>Rol: Tranzit / reflectare — destinația cunoscută, așteaptă recepția</t>
        </is>
      </c>
    </row>
    <row r="7">
      <c r="A7" s="43" t="n">
        <v>2</v>
      </c>
      <c r="B7" s="43" t="inlineStr">
        <is>
          <t>Factură — TVA</t>
        </is>
      </c>
      <c r="C7" s="43" t="inlineStr">
        <is>
          <t>4426</t>
        </is>
      </c>
      <c r="D7" s="43" t="inlineStr">
        <is>
          <t>401.RO</t>
        </is>
      </c>
      <c r="E7" s="43" t="inlineStr">
        <is>
          <t>TVA</t>
        </is>
      </c>
      <c r="F7" s="43" t="inlineStr">
        <is>
          <t>Tranzit TVA; se închide lunar în 4423/4424</t>
        </is>
      </c>
    </row>
    <row r="8">
      <c r="A8" s="43" t="n">
        <v>3</v>
      </c>
      <c r="B8" s="43" t="inlineStr">
        <is>
          <t>Recepție NIR</t>
        </is>
      </c>
      <c r="C8" s="43" t="inlineStr">
        <is>
          <t>371 (sau 301)</t>
        </is>
      </c>
      <c r="D8" s="43" t="inlineStr">
        <is>
          <t>327</t>
        </is>
      </c>
      <c r="E8" s="43" t="inlineStr">
        <is>
          <t>Netă</t>
        </is>
      </c>
      <c r="F8" s="43" t="inlineStr">
        <is>
          <t>Stingere tranzit → stoc real (pas revelator)</t>
        </is>
      </c>
    </row>
    <row r="10">
      <c r="A10" s="42" t="inlineStr">
        <is>
          <t>Tabel B — Conturi din planul pe rol</t>
        </is>
      </c>
    </row>
    <row r="11">
      <c r="A11" s="65" t="inlineStr">
        <is>
          <t>Cont</t>
        </is>
      </c>
      <c r="B11" s="65" t="inlineStr">
        <is>
          <t>Denumire</t>
        </is>
      </c>
      <c r="C11" s="65" t="inlineStr">
        <is>
          <t>Rol</t>
        </is>
      </c>
      <c r="D11" s="65" t="inlineStr">
        <is>
          <t>Observație</t>
        </is>
      </c>
    </row>
    <row r="12">
      <c r="A12" s="43" t="inlineStr">
        <is>
          <t>327</t>
        </is>
      </c>
      <c r="B12" s="43" t="inlineStr">
        <is>
          <t>Mărfuri în curs de aprovizionare</t>
        </is>
      </c>
      <c r="C12" s="43" t="inlineStr">
        <is>
          <t>Tranzit / reflectare</t>
        </is>
      </c>
      <c r="D12" s="43" t="inlineStr">
        <is>
          <t>Se stinge 371=327 la recepție. Fără pasul de stingere → stoc subevaluat + 327 deschis</t>
        </is>
      </c>
    </row>
    <row r="13">
      <c r="A13" s="43" t="inlineStr">
        <is>
          <t>321-328</t>
        </is>
      </c>
      <c r="B13" s="43" t="inlineStr">
        <is>
          <t>Familia 32x</t>
        </is>
      </c>
      <c r="C13" s="43" t="inlineStr">
        <is>
          <t>Tranzit / reflectare</t>
        </is>
      </c>
      <c r="D13" s="43" t="inlineStr">
        <is>
          <t>321 materii, 322 consumabile, 323 obiecte inventar, 327 mărfuri, 328 ambalaje</t>
        </is>
      </c>
    </row>
    <row r="14">
      <c r="A14" s="43" t="inlineStr">
        <is>
          <t>371 / 301</t>
        </is>
      </c>
      <c r="B14" s="43" t="inlineStr">
        <is>
          <t>Stoc real</t>
        </is>
      </c>
      <c r="C14" s="43" t="inlineStr">
        <is>
          <t>Patrimonial — Stoc</t>
        </is>
      </c>
      <c r="D14" s="43" t="inlineStr">
        <is>
          <t>Destinația finală după recepție</t>
        </is>
      </c>
    </row>
    <row r="15">
      <c r="A15" s="43" t="inlineStr">
        <is>
          <t>401.RO</t>
        </is>
      </c>
      <c r="B15" s="43" t="inlineStr">
        <is>
          <t>Furnizori RO</t>
        </is>
      </c>
      <c r="C15" s="43" t="inlineStr">
        <is>
          <t>Patrimonial — Datorie</t>
        </is>
      </c>
      <c r="D15" s="43" t="inlineStr">
        <is>
          <t>Analitic pe rezidență pentru D394</t>
        </is>
      </c>
    </row>
    <row r="16">
      <c r="A16" s="43" t="inlineStr">
        <is>
          <t>4426</t>
        </is>
      </c>
      <c r="B16" s="43" t="inlineStr">
        <is>
          <t>TVA deductibilă</t>
        </is>
      </c>
      <c r="C16" s="43" t="inlineStr">
        <is>
          <t>Tranzit / reflectare</t>
        </is>
      </c>
      <c r="D16" s="43" t="inlineStr">
        <is>
          <t>Fără sold după închiderea lunară</t>
        </is>
      </c>
    </row>
    <row r="17">
      <c r="A17" s="43" t="inlineStr">
        <is>
          <t>408</t>
        </is>
      </c>
      <c r="B17" s="43" t="inlineStr">
        <is>
          <t>Furnizori — facturi nesosite</t>
        </is>
      </c>
      <c r="C17" s="43" t="inlineStr">
        <is>
          <t>Intermediar / clarificare</t>
        </is>
      </c>
      <c r="D17" s="43" t="inlineStr">
        <is>
          <t>Cazul SIMETRIC (marfă înainte de factură) — modul separat MOD_INTERMEDIAR</t>
        </is>
      </c>
    </row>
    <row r="19">
      <c r="A19" s="42" t="inlineStr">
        <is>
          <t>Tabel C — Porți de calitate</t>
        </is>
      </c>
    </row>
    <row r="20">
      <c r="A20" s="44" t="inlineStr">
        <is>
          <t>• ΣDr = ΣCr pe fiecare bloc (B1 factură, B2 recepție)</t>
        </is>
      </c>
    </row>
    <row r="21">
      <c r="A21" s="44" t="inlineStr">
        <is>
          <t>• După B2: sold 327 = 0</t>
        </is>
      </c>
    </row>
    <row r="22">
      <c r="A22" s="44" t="inlineStr">
        <is>
          <t>• Dacă poarta „Factură înainte de marfă” = NU → modulul nu ar trebui activat (calea e F-301 direct)</t>
        </is>
      </c>
    </row>
    <row r="23">
      <c r="A23" s="44" t="inlineStr">
        <is>
          <t>• 408 nu se folosește în acest modul (e oglinda simetrică)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8" customWidth="1" style="40" min="1" max="1"/>
    <col width="16" customWidth="1" style="40" min="2" max="2"/>
    <col width="14" customWidth="1" style="40" min="3" max="3"/>
    <col width="50" customWidth="1" style="40" min="4" max="4"/>
    <col width="16" customWidth="1" style="40" min="5" max="5"/>
    <col width="14" customWidth="1" style="40" min="6" max="6"/>
    <col width="50" customWidth="1" style="40" min="7" max="7"/>
  </cols>
  <sheetData>
    <row r="1">
      <c r="A1" s="41" t="inlineStr">
        <is>
          <t>MOD_APROV_TRANZIT — Jurnale (generate automat)</t>
        </is>
      </c>
    </row>
    <row r="2">
      <c r="A2" s="44" t="inlineStr">
        <is>
          <t>Nu se scrie nimic manual. Sumele și descrierile vin din Declarații_APROV_TRANZIT.</t>
        </is>
      </c>
    </row>
    <row r="4">
      <c r="A4" s="42" t="inlineStr">
        <is>
          <t>Bloc 1 — Factură (marfă pe drum) — rol Tranzit</t>
        </is>
      </c>
    </row>
    <row r="5">
      <c r="A5" s="43" t="inlineStr">
        <is>
          <t>Data jurnal:</t>
        </is>
      </c>
      <c r="B5" s="43" t="str">
        <f>Declarații_APROV_TRANZIT!B8</f>
        <v>2026-07-10</v>
      </c>
    </row>
    <row r="7">
      <c r="A7" s="65" t="inlineStr">
        <is>
          <t>Nr</t>
        </is>
      </c>
      <c r="B7" s="65" t="inlineStr">
        <is>
          <t>Cont Dr</t>
        </is>
      </c>
      <c r="C7" s="65" t="inlineStr">
        <is>
          <t>Sumă Dr</t>
        </is>
      </c>
      <c r="D7" s="65" t="inlineStr">
        <is>
          <t>Descriere Dr</t>
        </is>
      </c>
      <c r="E7" s="65" t="inlineStr">
        <is>
          <t>Cont Cr</t>
        </is>
      </c>
      <c r="F7" s="65" t="inlineStr">
        <is>
          <t>Sumă Cr</t>
        </is>
      </c>
      <c r="G7" s="65" t="inlineStr">
        <is>
          <t>Descriere Cr</t>
        </is>
      </c>
    </row>
    <row r="8">
      <c r="A8" s="43" t="n">
        <v>1</v>
      </c>
      <c r="B8" s="43" t="str">
        <f>Declarații_APROV_TRANZIT!B21</f>
        <v>327</v>
      </c>
      <c r="C8" s="43">
        <f>Declarații_APROV_TRANZIT!B14</f>
        <v>8000</v>
      </c>
      <c r="D8" s="43" t="str">
        <f>"Marfă în curs de aprovizionare " &amp; Declarații_APROV_TRANZIT!B32</f>
        <v>Marfă în curs de aprovizionare — 2026-07 — Furnizor DEMO — F-1234/10.07.2026</v>
      </c>
      <c r="E8" s="43" t="str">
        <f>Declarații_APROV_TRANZIT!B22</f>
        <v>401.RO</v>
      </c>
      <c r="F8" s="43">
        <f>Declarații_APROV_TRANZIT!B14</f>
        <v>8000</v>
      </c>
      <c r="G8" s="43" t="str">
        <f>"Datorie furnizor (net) " &amp; Declarații_APROV_TRANZIT!B32</f>
        <v>Datorie furnizor (net) — 2026-07 — Furnizor DEMO — F-1234/10.07.2026</v>
      </c>
    </row>
    <row r="9">
      <c r="A9" s="43" t="n">
        <v>2</v>
      </c>
      <c r="B9" s="43" t="str">
        <f>Declarații_APROV_TRANZIT!B23</f>
        <v>4426</v>
      </c>
      <c r="C9" s="43">
        <f>IF(Declarații_APROV_TRANZIT!B24="DA",Declarații_APROV_TRANZIT!B16,0)</f>
        <v>1680</v>
      </c>
      <c r="D9" s="43" t="str">
        <f>"TVA deductibilă pe factură în tranzit " &amp; Declarații_APROV_TRANZIT!B32</f>
        <v>TVA deductibilă pe factură în tranzit — 2026-07 — Furnizor DEMO — F-1234/10.07.2026</v>
      </c>
      <c r="E9" s="43" t="str">
        <f>Declarații_APROV_TRANZIT!B22</f>
        <v>401.RO</v>
      </c>
      <c r="F9" s="43">
        <f>IF(Declarații_APROV_TRANZIT!B24="DA",Declarații_APROV_TRANZIT!B16,0)</f>
        <v>1680</v>
      </c>
      <c r="G9" s="43" t="str">
        <f>"Datorie furnizor (TVA) " &amp; Declarații_APROV_TRANZIT!B32</f>
        <v>Datorie furnizor (TVA) — 2026-07 — Furnizor DEMO — F-1234/10.07.2026</v>
      </c>
    </row>
    <row r="11">
      <c r="A11" s="42" t="inlineStr">
        <is>
          <t>Sumar Bloc 1</t>
        </is>
      </c>
    </row>
    <row r="12">
      <c r="A12" s="43" t="inlineStr">
        <is>
          <t>Total Dr</t>
        </is>
      </c>
      <c r="B12" s="43">
        <f>C8+C9</f>
        <v>9680</v>
      </c>
    </row>
    <row r="13">
      <c r="A13" s="43" t="inlineStr">
        <is>
          <t>Total Cr</t>
        </is>
      </c>
      <c r="B13" s="43">
        <f>F8+F9</f>
        <v>9680</v>
      </c>
    </row>
    <row r="14">
      <c r="A14" s="43" t="inlineStr">
        <is>
          <t>Check B1</t>
        </is>
      </c>
      <c r="B14" s="43">
        <f>B12-B13</f>
        <v>0</v>
      </c>
      <c r="C14" s="43" t="str">
        <f>IF(ABS(B14)&lt;0.01,"OK","EROARE")</f>
        <v>OK</v>
      </c>
    </row>
    <row r="16">
      <c r="A16" s="42" t="inlineStr">
        <is>
          <t>Bloc 2 — Recepție NIR — stingere tranzit (pas revelator)</t>
        </is>
      </c>
    </row>
    <row r="17">
      <c r="A17" s="43" t="inlineStr">
        <is>
          <t>Data jurnal:</t>
        </is>
      </c>
      <c r="B17" s="43" t="str">
        <f>Declarații_APROV_TRANZIT!B9</f>
        <v>2026-07-18</v>
      </c>
    </row>
    <row r="19">
      <c r="A19" s="65" t="inlineStr">
        <is>
          <t>Nr</t>
        </is>
      </c>
      <c r="B19" s="65" t="inlineStr">
        <is>
          <t>Cont Dr</t>
        </is>
      </c>
      <c r="C19" s="65" t="inlineStr">
        <is>
          <t>Sumă Dr</t>
        </is>
      </c>
      <c r="D19" s="65" t="inlineStr">
        <is>
          <t>Descriere Dr</t>
        </is>
      </c>
      <c r="E19" s="65" t="inlineStr">
        <is>
          <t>Cont Cr</t>
        </is>
      </c>
      <c r="F19" s="65" t="inlineStr">
        <is>
          <t>Sumă Cr</t>
        </is>
      </c>
      <c r="G19" s="65" t="inlineStr">
        <is>
          <t>Descriere Cr</t>
        </is>
      </c>
    </row>
    <row r="20">
      <c r="A20" s="43" t="n">
        <v>1</v>
      </c>
      <c r="B20" s="43" t="str">
        <f>Declarații_APROV_TRANZIT!B20</f>
        <v>371</v>
      </c>
      <c r="C20" s="43">
        <f>Declarații_APROV_TRANZIT!B14</f>
        <v>8000</v>
      </c>
      <c r="D20" s="43" t="str">
        <f>"Recepție stoc real (stingere tranzit) " &amp; Declarații_APROV_TRANZIT!B32</f>
        <v>Recepție stoc real (stingere tranzit) — 2026-07 — Furnizor DEMO — F-1234/10.07.2026</v>
      </c>
      <c r="E20" s="43" t="str">
        <f>Declarații_APROV_TRANZIT!B21</f>
        <v>327</v>
      </c>
      <c r="F20" s="43">
        <f>Declarații_APROV_TRANZIT!B14</f>
        <v>8000</v>
      </c>
      <c r="G20" s="43" t="str">
        <f>"Stingere 32x " &amp; Declarații_APROV_TRANZIT!B32</f>
        <v>Stingere 32x — 2026-07 — Furnizor DEMO — F-1234/10.07.2026</v>
      </c>
    </row>
    <row r="22">
      <c r="A22" s="42" t="inlineStr">
        <is>
          <t>Sumar Bloc 2</t>
        </is>
      </c>
    </row>
    <row r="23">
      <c r="A23" s="43" t="inlineStr">
        <is>
          <t>Total Dr</t>
        </is>
      </c>
      <c r="B23" s="43">
        <f>C20</f>
        <v>8000</v>
      </c>
    </row>
    <row r="24">
      <c r="A24" s="43" t="inlineStr">
        <is>
          <t>Total Cr</t>
        </is>
      </c>
      <c r="B24" s="43">
        <f>F20</f>
        <v>8000</v>
      </c>
    </row>
    <row r="25">
      <c r="A25" s="43" t="inlineStr">
        <is>
          <t>Check B2</t>
        </is>
      </c>
      <c r="B25" s="43">
        <f>B23-B24</f>
        <v>0</v>
      </c>
      <c r="C25" s="43" t="str">
        <f>IF(ABS(B25)&lt;0.01,"OK","EROARE")</f>
        <v>OK</v>
      </c>
    </row>
    <row r="27">
      <c r="A27" s="42" t="inlineStr">
        <is>
          <t>Stare terminală așteptată</t>
        </is>
      </c>
    </row>
    <row r="28">
      <c r="A28" s="44" t="inlineStr">
        <is>
          <t>Sold 327 = 0 | Stoc 371 (sau 301) reflectă marfa | 401 = total factură | 4426 conține TVA (se închide la final de lună cu MOD_INCHIDERE_TVA)</t>
        </is>
      </c>
    </row>
    <row r="30">
      <c r="A30" s="43" t="inlineStr">
        <is>
          <t>Check global (toate blocurile)</t>
        </is>
      </c>
      <c r="B30" s="43">
        <f>ABS(B14)+ABS(B25)</f>
        <v>0</v>
      </c>
      <c r="C30" s="43" t="str">
        <f>IF(B30&lt;0.01,"OK — toate blocurile se închid","EROARE — cel puțin un bloc dezechilibrat")</f>
        <v>OK — toate blocurile se închid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24" customWidth="1" style="40" min="2" max="2"/>
    <col width="14" customWidth="1" style="40" min="3" max="3"/>
    <col width="12" customWidth="1" style="40" min="4" max="4"/>
    <col width="12" customWidth="1" style="40" min="5" max="5"/>
    <col width="14" customWidth="1" style="40" min="6" max="6"/>
    <col width="50" customWidth="1" style="40" min="7" max="7"/>
    <col width="24" customWidth="1" style="40" min="8" max="8"/>
    <col width="10" customWidth="1" style="40" min="9" max="9"/>
  </cols>
  <sheetData>
    <row r="1">
      <c r="A1" s="41" t="inlineStr">
        <is>
          <t>MOD_APROV_TRANZIT — Notă pentru import</t>
        </is>
      </c>
    </row>
    <row r="2">
      <c r="A2" s="44" t="inlineStr">
        <is>
          <t>Filtrează Include=DA. Bloc 1 = data facturii; Bloc 2 = data recepției (pot fi luni diferite).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Bloc 1 — Factură tranzit</t>
        </is>
      </c>
      <c r="C5" s="43" t="str">
        <f>Declarații_APROV_TRANZIT!B8</f>
        <v>2026-07-10</v>
      </c>
      <c r="D5" s="43" t="str">
        <f>Jurnale_APROV_TRANZIT!B8</f>
        <v>327</v>
      </c>
      <c r="E5" s="43" t="str">
        <f>Jurnale_APROV_TRANZIT!E8</f>
        <v>401.RO</v>
      </c>
      <c r="F5" s="43">
        <f>Jurnale_APROV_TRANZIT!C8</f>
        <v>8000</v>
      </c>
      <c r="G5" s="43" t="str">
        <f>Jurnale_APROV_TRANZIT!D8</f>
        <v>Marfă în curs de aprovizionare — 2026-07 — Furnizor DEMO — F-1234/10.07.2026</v>
      </c>
      <c r="H5" s="43" t="str">
        <f>Declarații_APROV_TRANZIT!B11</f>
        <v>F-1234/10.07.2026</v>
      </c>
      <c r="I5" s="43" t="str">
        <f>IF(F5&gt;0,"DA","NU")</f>
        <v>DA</v>
      </c>
    </row>
    <row r="6">
      <c r="A6" s="43" t="n">
        <v>2</v>
      </c>
      <c r="B6" s="43" t="inlineStr">
        <is>
          <t>Bloc 1 — Factură tranzit</t>
        </is>
      </c>
      <c r="C6" s="43" t="str">
        <f>Declarații_APROV_TRANZIT!B8</f>
        <v>2026-07-10</v>
      </c>
      <c r="D6" s="43" t="str">
        <f>Jurnale_APROV_TRANZIT!B9</f>
        <v>4426</v>
      </c>
      <c r="E6" s="43" t="str">
        <f>Jurnale_APROV_TRANZIT!E9</f>
        <v>401.RO</v>
      </c>
      <c r="F6" s="43">
        <f>Jurnale_APROV_TRANZIT!C9</f>
        <v>1680</v>
      </c>
      <c r="G6" s="43" t="str">
        <f>Jurnale_APROV_TRANZIT!D9</f>
        <v>TVA deductibilă pe factură în tranzit — 2026-07 — Furnizor DEMO — F-1234/10.07.2026</v>
      </c>
      <c r="H6" s="43" t="str">
        <f>Declarații_APROV_TRANZIT!B11</f>
        <v>F-1234/10.07.2026</v>
      </c>
      <c r="I6" s="43" t="str">
        <f>IF(F6&gt;0,"DA","NU")</f>
        <v>DA</v>
      </c>
    </row>
    <row r="7">
      <c r="A7" s="43" t="n">
        <v>3</v>
      </c>
      <c r="B7" s="43" t="inlineStr">
        <is>
          <t>Bloc 2 — Recepție</t>
        </is>
      </c>
      <c r="C7" s="43" t="str">
        <f>Declarații_APROV_TRANZIT!B9</f>
        <v>2026-07-18</v>
      </c>
      <c r="D7" s="43" t="str">
        <f>Jurnale_APROV_TRANZIT!B20</f>
        <v>371</v>
      </c>
      <c r="E7" s="43" t="str">
        <f>Jurnale_APROV_TRANZIT!E20</f>
        <v>327</v>
      </c>
      <c r="F7" s="43">
        <f>Jurnale_APROV_TRANZIT!C20</f>
        <v>8000</v>
      </c>
      <c r="G7" s="43" t="str">
        <f>Jurnale_APROV_TRANZIT!D20</f>
        <v>Recepție stoc real (stingere tranzit) — 2026-07 — Furnizor DEMO — F-1234/10.07.2026</v>
      </c>
      <c r="H7" s="43" t="inlineStr">
        <is>
          <t>NIR</t>
        </is>
      </c>
      <c r="I7" s="43" t="str">
        <f>IF(F7&gt;0,"DA","NU")</f>
        <v>DA</v>
      </c>
    </row>
    <row r="9">
      <c r="A9" s="43" t="inlineStr">
        <is>
          <t>Rânduri de importat</t>
        </is>
      </c>
      <c r="B9" s="43">
        <f>COUNTIF(I5:I7,"DA")</f>
        <v>3</v>
      </c>
    </row>
    <row r="10">
      <c r="A10" s="43" t="inlineStr">
        <is>
          <t>Check global</t>
        </is>
      </c>
      <c r="B10" s="43">
        <f>Jurnale_APROV_TRANZIT!B30</f>
        <v>0</v>
      </c>
      <c r="C10" s="43" t="str">
        <f>IF(ABS(B10)&lt;0.01,"OK","EROARE")</f>
        <v>OK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6" customWidth="1" style="40" min="1" max="1"/>
    <col width="24" customWidth="1" style="40" min="2" max="2"/>
    <col width="58" customWidth="1" style="40" min="3" max="3"/>
  </cols>
  <sheetData>
    <row r="1">
      <c r="A1" s="41" t="inlineStr">
        <is>
          <t>MOD_TAXARE_INVERSA — Declarații (input)</t>
        </is>
      </c>
    </row>
    <row r="2">
      <c r="A2" s="44" t="inlineStr">
        <is>
          <t>Două cazuri, același mecanism. Pune DA pe cel care s-a întâmplat — pot fi și amândouă în aceeași lună, pe facturi diferite.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CUI</t>
        </is>
      </c>
      <c r="B6" s="43" t="str">
        <f>Parametri!B6</f>
        <v>RO00000000</v>
      </c>
    </row>
    <row r="7">
      <c r="A7" s="43" t="inlineStr">
        <is>
          <t>Luna (AAAA-LL)</t>
        </is>
      </c>
      <c r="B7" s="64" t="inlineStr">
        <is>
          <t>2026-07</t>
        </is>
      </c>
    </row>
    <row r="8">
      <c r="A8" s="43" t="inlineStr">
        <is>
          <t>Data jurnal</t>
        </is>
      </c>
      <c r="B8" s="64" t="inlineStr">
        <is>
          <t>2026-07-31</t>
        </is>
      </c>
    </row>
    <row r="9">
      <c r="A9" s="43" t="inlineStr">
        <is>
          <t>Cota TVA</t>
        </is>
      </c>
      <c r="B9" s="64" t="n">
        <v>0.21</v>
      </c>
    </row>
    <row r="11">
      <c r="A11" s="42" t="inlineStr">
        <is>
          <t>2. Cazul A — Achiziție intracomunitară</t>
        </is>
      </c>
    </row>
    <row r="12">
      <c r="A12" s="43" t="inlineStr">
        <is>
          <t>Se aplică? (DA/NU)</t>
        </is>
      </c>
      <c r="B12" s="64" t="inlineStr">
        <is>
          <t>DA</t>
        </is>
      </c>
    </row>
    <row r="13">
      <c r="A13" s="43" t="inlineStr">
        <is>
          <t>Furnizor UE</t>
        </is>
      </c>
      <c r="B13" s="64" t="inlineStr">
        <is>
          <t>Furnizor UE DEMO</t>
        </is>
      </c>
    </row>
    <row r="14">
      <c r="A14" s="43" t="inlineStr">
        <is>
          <t>Cod TVA valid în VIES? (DA/NU)</t>
        </is>
      </c>
      <c r="B14" s="64" t="inlineStr">
        <is>
          <t>DA</t>
        </is>
      </c>
      <c r="C14" s="44" t="inlineStr">
        <is>
          <t>Verificat la DATA operațiunii, nu azi — VIES arată starea curentă</t>
        </is>
      </c>
    </row>
    <row r="15">
      <c r="A15" s="43" t="inlineStr">
        <is>
          <t>Valoare în valută</t>
        </is>
      </c>
      <c r="B15" s="64" t="n">
        <v>15000</v>
      </c>
    </row>
    <row r="16">
      <c r="A16" s="43" t="inlineStr">
        <is>
          <t>Curs la data facturii</t>
        </is>
      </c>
      <c r="B16" s="64" t="n">
        <v>4.97</v>
      </c>
    </row>
    <row r="17">
      <c r="A17" s="43" t="inlineStr">
        <is>
          <t>Valoare în lei (auto)</t>
        </is>
      </c>
      <c r="B17" s="43">
        <f>ROUND(B15*B16,2)</f>
        <v>74550</v>
      </c>
    </row>
    <row r="18">
      <c r="A18" s="43" t="inlineStr">
        <is>
          <t>TVA autolichidată (din autofactură)</t>
        </is>
      </c>
      <c r="B18" s="64" t="n">
        <v>15655.5</v>
      </c>
    </row>
    <row r="19">
      <c r="A19" s="43" t="inlineStr">
        <is>
          <t>TVA recalculată (auto)</t>
        </is>
      </c>
      <c r="B19" s="43">
        <f>ROUND(B17*B9,2)</f>
        <v>15655.5</v>
      </c>
    </row>
    <row r="20">
      <c r="A20" s="43" t="inlineStr">
        <is>
          <t>Marfa e în tranzit? (DA = 327, NU = 371)</t>
        </is>
      </c>
      <c r="B20" s="64" t="inlineStr">
        <is>
          <t>NU</t>
        </is>
      </c>
    </row>
    <row r="22">
      <c r="A22" s="42" t="inlineStr">
        <is>
          <t>3. Cazul B — Taxare inversă internă</t>
        </is>
      </c>
    </row>
    <row r="23">
      <c r="A23" s="43" t="inlineStr">
        <is>
          <t>Se aplică? (DA/NU)</t>
        </is>
      </c>
      <c r="B23" s="64" t="inlineStr">
        <is>
          <t>DA</t>
        </is>
      </c>
    </row>
    <row r="24">
      <c r="A24" s="43" t="inlineStr">
        <is>
          <t>Furnizor RO (plătitor de TVA)</t>
        </is>
      </c>
      <c r="B24" s="64" t="inlineStr">
        <is>
          <t>Furnizor RO DEMO</t>
        </is>
      </c>
    </row>
    <row r="25">
      <c r="A25" s="43" t="inlineStr">
        <is>
          <t>Operațiunea din art. 331 CF</t>
        </is>
      </c>
      <c r="B25" s="64" t="inlineStr">
        <is>
          <t>Cereale</t>
        </is>
      </c>
    </row>
    <row r="26">
      <c r="A26" s="43" t="inlineStr">
        <is>
          <t>Valoare fără TVA</t>
        </is>
      </c>
      <c r="B26" s="64" t="n">
        <v>10000</v>
      </c>
    </row>
    <row r="27">
      <c r="A27" s="43" t="inlineStr">
        <is>
          <t>TVA autolichidată (din autofactură)</t>
        </is>
      </c>
      <c r="B27" s="64" t="n">
        <v>2100</v>
      </c>
    </row>
    <row r="28">
      <c r="A28" s="43" t="inlineStr">
        <is>
          <t>TVA recalculată (auto)</t>
        </is>
      </c>
      <c r="B28" s="43">
        <f>ROUND(B26*B9,2)</f>
        <v>2100</v>
      </c>
    </row>
    <row r="30">
      <c r="A30" s="42" t="inlineStr">
        <is>
          <t>4. Conturi</t>
        </is>
      </c>
    </row>
    <row r="31">
      <c r="A31" s="43" t="inlineStr">
        <is>
          <t>Cont stoc / cheltuială</t>
        </is>
      </c>
      <c r="B31" s="64" t="inlineStr">
        <is>
          <t>371</t>
        </is>
      </c>
    </row>
    <row r="32">
      <c r="A32" s="43" t="inlineStr">
        <is>
          <t>Cont tranzit (32x)</t>
        </is>
      </c>
      <c r="B32" s="64" t="inlineStr">
        <is>
          <t>327</t>
        </is>
      </c>
    </row>
    <row r="33">
      <c r="A33" s="43" t="inlineStr">
        <is>
          <t>Cont furnizor UE</t>
        </is>
      </c>
      <c r="B33" s="64" t="inlineStr">
        <is>
          <t>401.UE</t>
        </is>
      </c>
    </row>
    <row r="34">
      <c r="A34" s="43" t="inlineStr">
        <is>
          <t>Cont furnizor RO</t>
        </is>
      </c>
      <c r="B34" s="64" t="inlineStr">
        <is>
          <t>401.RO</t>
        </is>
      </c>
    </row>
    <row r="35">
      <c r="A35" s="43" t="inlineStr">
        <is>
          <t>Cont TVA deductibilă</t>
        </is>
      </c>
      <c r="B35" s="64" t="inlineStr">
        <is>
          <t>4426</t>
        </is>
      </c>
    </row>
    <row r="36">
      <c r="A36" s="43" t="inlineStr">
        <is>
          <t>Cont TVA colectată</t>
        </is>
      </c>
      <c r="B36" s="64" t="inlineStr">
        <is>
          <t>4427</t>
        </is>
      </c>
    </row>
    <row r="38">
      <c r="A38" s="42" t="inlineStr">
        <is>
          <t>5. Sufix</t>
        </is>
      </c>
    </row>
    <row r="39">
      <c r="A39" s="43" t="inlineStr">
        <is>
          <t>Sufix</t>
        </is>
      </c>
      <c r="B39" s="43" t="str">
        <f>"— taxare inversă " &amp; B7</f>
        <v>— taxare inversă 2026-07</v>
      </c>
    </row>
    <row r="41">
      <c r="A41" s="42" t="inlineStr">
        <is>
          <t>6. Control</t>
        </is>
      </c>
    </row>
    <row r="42">
      <c r="A42" s="43" t="inlineStr">
        <is>
          <t>Modul activ?</t>
        </is>
      </c>
      <c r="B42" s="43" t="str">
        <f>IF(INDEX(CatalogModule!$A$1:$A$200,MATCH("MOD_TAXARE_INVERSA",CatalogModule!$B$1:$B$200,0))="DA","ACTIV","INACTIV")</f>
        <v>INACTIV</v>
      </c>
    </row>
    <row r="43">
      <c r="A43" s="43" t="inlineStr">
        <is>
          <t>Verificare: TVA de pe autofactură = cotă × bază</t>
        </is>
      </c>
      <c r="B43" s="43" t="str">
        <f>IF(AND(OR(B12&lt;&gt;"DA",ABS(B18-B19)&lt;0.01),OR(B23&lt;&gt;"DA",ABS(B27-B28)&lt;0.01)),"OK — TVA corect calculată pe ambele cazuri","EROARE — TVA de pe autofactură nu corespunde cotei")</f>
        <v>OK — TVA corect calculată pe ambele cazuri</v>
      </c>
    </row>
    <row r="44">
      <c r="A44" s="43" t="inlineStr">
        <is>
          <t>Verificare: intracomunitar fără cod VIES valid</t>
        </is>
      </c>
      <c r="B44" s="43" t="str">
        <f>IF(AND(B12="DA",B14&lt;&gt;"DA"),"ATENȚIE — fără cod VIES valid, operațiunea NU e scutită la furnizor și nu poate fi declarată în D390","OK")</f>
        <v>OK</v>
      </c>
    </row>
    <row r="45">
      <c r="A45" s="43" t="inlineStr">
        <is>
          <t>Declarații de depus (auto)</t>
        </is>
      </c>
      <c r="B45" s="43" t="str">
        <f>IF(B12="DA","D300 + D390 + D394","") &amp; IF(AND(B12="DA",B23="DA")," · ","") &amp; IF(B23="DA","D300 + D394 (fără D390)","")</f>
        <v>D300 + D390 + D394 · D300 + D394 (fără D390)</v>
      </c>
    </row>
    <row r="46">
      <c r="A46" s="43" t="inlineStr">
        <is>
          <t>Derogare art. 331 CF</t>
        </is>
      </c>
      <c r="B46" s="43" t="inlineStr">
        <is>
          <t>Taxarea inversă INTERNĂ se aplică pe baza unei derogări UE care expiră la 31.12.2026. La 21.08.2026 nu era publicată o prelungire — reverifică înainte de prima factură din 2027.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style="40" min="1" max="1"/>
    <col width="44" customWidth="1" style="40" min="2" max="2"/>
    <col width="16" customWidth="1" style="40" min="3" max="3"/>
    <col width="44" customWidth="1" style="40" min="4" max="4"/>
    <col width="48" customWidth="1" style="40" min="5" max="5"/>
  </cols>
  <sheetData>
    <row r="1">
      <c r="A1" s="41" t="inlineStr">
        <is>
          <t>MOD_TAXARE_INVERSA — Reguli (tabele fixe)</t>
        </is>
      </c>
    </row>
    <row r="2">
      <c r="A2" s="44" t="inlineStr">
        <is>
          <t>Regula e dată, nu formulă. Mecanismul contabil e identic în ambele cazuri; diferă partenerul și declarația.</t>
        </is>
      </c>
    </row>
    <row r="4">
      <c r="A4" s="42" t="inlineStr">
        <is>
          <t>Tabel A — Cele două cazuri</t>
        </is>
      </c>
    </row>
    <row r="5">
      <c r="A5" s="65" t="inlineStr">
        <is>
          <t>Caz</t>
        </is>
      </c>
      <c r="B5" s="65" t="inlineStr">
        <is>
          <t>Partener</t>
        </is>
      </c>
      <c r="C5" s="65" t="inlineStr">
        <is>
          <t>Cont furnizor</t>
        </is>
      </c>
      <c r="D5" s="65" t="inlineStr">
        <is>
          <t>Ce declară</t>
        </is>
      </c>
      <c r="E5" s="65" t="inlineStr">
        <is>
          <t>Condiție</t>
        </is>
      </c>
    </row>
    <row r="6">
      <c r="A6" s="43" t="inlineStr">
        <is>
          <t>Achiziție intracomunitară</t>
        </is>
      </c>
      <c r="B6" s="43" t="inlineStr">
        <is>
          <t>Persoană impozabilă din alt stat membru</t>
        </is>
      </c>
      <c r="C6" s="43" t="inlineStr">
        <is>
          <t>401.UE</t>
        </is>
      </c>
      <c r="D6" s="43" t="inlineStr">
        <is>
          <t>D300 (casete taxare inversă) + D390 + D394</t>
        </is>
      </c>
      <c r="E6" s="43" t="inlineStr">
        <is>
          <t>Cod de TVA valid în VIES la data operațiunii</t>
        </is>
      </c>
    </row>
    <row r="7">
      <c r="A7" s="43" t="inlineStr">
        <is>
          <t>Taxare inversă internă</t>
        </is>
      </c>
      <c r="B7" s="43" t="inlineStr">
        <is>
          <t>Plătitor de TVA din România</t>
        </is>
      </c>
      <c r="C7" s="43" t="inlineStr">
        <is>
          <t>401.RO</t>
        </is>
      </c>
      <c r="D7" s="43" t="inlineStr">
        <is>
          <t>D300 (casete taxare inversă) + D394, FĂRĂ D390</t>
        </is>
      </c>
      <c r="E7" s="43" t="inlineStr">
        <is>
          <t>Bunul sau serviciul e pe lista art. 331 CF</t>
        </is>
      </c>
    </row>
    <row r="9">
      <c r="A9" s="42" t="inlineStr">
        <is>
          <t>Tabel B — Operațiuni cu taxare inversă internă (art. 331 CF)</t>
        </is>
      </c>
    </row>
    <row r="10">
      <c r="A10" s="65" t="inlineStr">
        <is>
          <t>Operațiune</t>
        </is>
      </c>
      <c r="B10" s="65" t="inlineStr">
        <is>
          <t>Prag</t>
        </is>
      </c>
    </row>
    <row r="11">
      <c r="A11" s="43" t="inlineStr">
        <is>
          <t>Cereale și plante tehnice</t>
        </is>
      </c>
      <c r="B11" s="43" t="inlineStr">
        <is>
          <t>fără prag valoric</t>
        </is>
      </c>
    </row>
    <row r="12">
      <c r="A12" s="43" t="inlineStr">
        <is>
          <t>Certificate de emisii de gaze cu efect de seră</t>
        </is>
      </c>
      <c r="B12" s="43" t="inlineStr">
        <is>
          <t>fără prag valoric</t>
        </is>
      </c>
    </row>
    <row r="13">
      <c r="A13" s="43" t="inlineStr">
        <is>
          <t>Energie electrică și gaze naturale către comercianți persoane impozabile</t>
        </is>
      </c>
      <c r="B13" s="43" t="inlineStr">
        <is>
          <t>fără prag valoric</t>
        </is>
      </c>
    </row>
    <row r="14">
      <c r="A14" s="43" t="inlineStr">
        <is>
          <t>Certificate verzi</t>
        </is>
      </c>
      <c r="B14" s="43" t="inlineStr">
        <is>
          <t>fără prag valoric</t>
        </is>
      </c>
    </row>
    <row r="15">
      <c r="A15" s="43" t="inlineStr">
        <is>
          <t>Telefoane mobile</t>
        </is>
      </c>
      <c r="B15" s="43" t="inlineStr">
        <is>
          <t>doar dacă valoarea fără TVA de pe factură ≥ 22.500 lei</t>
        </is>
      </c>
    </row>
    <row r="16">
      <c r="A16" s="43" t="inlineStr">
        <is>
          <t>Dispozitive cu circuite integrate</t>
        </is>
      </c>
      <c r="B16" s="43" t="inlineStr">
        <is>
          <t>doar dacă valoarea fără TVA de pe factură ≥ 22.500 lei</t>
        </is>
      </c>
    </row>
    <row r="17">
      <c r="A17" s="43" t="inlineStr">
        <is>
          <t>Console de jocuri</t>
        </is>
      </c>
      <c r="B17" s="43" t="inlineStr">
        <is>
          <t>doar dacă valoarea fără TVA de pe factură ≥ 22.500 lei</t>
        </is>
      </c>
    </row>
    <row r="18">
      <c r="A18" s="43" t="inlineStr">
        <is>
          <t>Tablete și laptopuri</t>
        </is>
      </c>
      <c r="B18" s="43" t="inlineStr">
        <is>
          <t>doar dacă valoarea fără TVA de pe factură ≥ 22.500 lei</t>
        </is>
      </c>
    </row>
    <row r="19">
      <c r="A19" s="44" t="inlineStr">
        <is>
          <t>Derogarea Consiliului UE pe baza căreia se aplică art. 331 expiră la 31.12.2026. Verificat la 21.08.2026: nicio prelungire publicată. Nu se presupune prelungirea automată.</t>
        </is>
      </c>
    </row>
    <row r="21">
      <c r="A21" s="42" t="inlineStr">
        <is>
          <t>Tabel C — Porți de calitate</t>
        </is>
      </c>
    </row>
    <row r="22">
      <c r="A22" s="44" t="inlineStr">
        <is>
          <t>• 4426 și 4427 primesc EXACT aceeași sumă — netul pe operațiune e zero</t>
        </is>
      </c>
    </row>
    <row r="23">
      <c r="A23" s="44" t="inlineStr">
        <is>
          <t>• D390 doar la intracomunitar; un partener intern trecut acolo se vede la ANAF prin necorelare cu VIES</t>
        </is>
      </c>
    </row>
    <row r="24">
      <c r="A24" s="44" t="inlineStr">
        <is>
          <t>• Codul VIES se verifică la DATA operațiunii, nu la data când te uiți</t>
        </is>
      </c>
    </row>
    <row r="25">
      <c r="A25" s="44" t="inlineStr">
        <is>
          <t>• Fără TVA plătită efectiv: autolichidarea nu produce flux de trezorerie</t>
        </is>
      </c>
    </row>
    <row r="26">
      <c r="A26" s="44" t="inlineStr">
        <is>
          <t>• La închiderea lunară, sumele astea intră în 4426/4427 ca oricare altele și se anulează reciproc — vezi MOD_INCHIDERE_TVA</t>
        </is>
      </c>
    </row>
    <row r="28">
      <c r="A28" s="42" t="inlineStr">
        <is>
          <t>Temei legal</t>
        </is>
      </c>
    </row>
    <row r="29">
      <c r="A29" s="65" t="inlineStr">
        <is>
          <t>Ce se sprijină pe el</t>
        </is>
      </c>
      <c r="B29" s="65" t="inlineStr">
        <is>
          <t>Temei</t>
        </is>
      </c>
    </row>
    <row r="30">
      <c r="A30" s="43" t="inlineStr">
        <is>
          <t>Taxare inversă la achiziții intracomunitare de bunuri</t>
        </is>
      </c>
      <c r="B30" s="43" t="inlineStr">
        <is>
          <t>art. 307 alin. (2) Cod fiscal — persoana obligată la plată e beneficiarul</t>
        </is>
      </c>
    </row>
    <row r="31">
      <c r="A31" s="43" t="inlineStr">
        <is>
          <t>Taxare inversă internă, pe lista limitativă de operațiuni</t>
        </is>
      </c>
      <c r="B31" s="43" t="inlineStr">
        <is>
          <t>art. 331 Cod fiscal — pe baza derogării UE, valabilă până la 31.12.2026</t>
        </is>
      </c>
    </row>
    <row r="32">
      <c r="A32" s="43" t="inlineStr">
        <is>
          <t>Declarația recapitulativă pentru operațiunile intracomunitare</t>
        </is>
      </c>
      <c r="B32" s="43" t="inlineStr">
        <is>
          <t>art. 325 Cod fiscal — D390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0" customWidth="1" style="40" min="1" max="1"/>
    <col width="16" customWidth="1" style="40" min="2" max="2"/>
    <col width="14" customWidth="1" style="40" min="3" max="3"/>
    <col width="50" customWidth="1" style="40" min="4" max="4"/>
    <col width="16" customWidth="1" style="40" min="5" max="5"/>
    <col width="14" customWidth="1" style="40" min="6" max="6"/>
    <col width="50" customWidth="1" style="40" min="7" max="7"/>
  </cols>
  <sheetData>
    <row r="1">
      <c r="A1" s="41" t="inlineStr">
        <is>
          <t>MOD_TAXARE_INVERSA — Jurnale (generate automat)</t>
        </is>
      </c>
    </row>
    <row r="2">
      <c r="A2" s="44" t="inlineStr">
        <is>
          <t>Fiecare caz iese cu zero dacă nu e activat. Pasul de autolichidare are aceeași sumă pe ambele părți — asta e chiar mecanismul, nu o coincidență.</t>
        </is>
      </c>
    </row>
    <row r="4">
      <c r="A4" s="42" t="inlineStr">
        <is>
          <t>Bloc A — Achiziție intracomunitară</t>
        </is>
      </c>
    </row>
    <row r="5">
      <c r="A5" s="43" t="inlineStr">
        <is>
          <t>Data:</t>
        </is>
      </c>
      <c r="B5" s="43" t="str">
        <f>Declarații_TAXARE_INVERSA!B8</f>
        <v>2026-07-31</v>
      </c>
    </row>
    <row r="6">
      <c r="A6" s="65" t="inlineStr">
        <is>
          <t>Nr</t>
        </is>
      </c>
      <c r="B6" s="65" t="inlineStr">
        <is>
          <t>Cont Dr</t>
        </is>
      </c>
      <c r="C6" s="65" t="inlineStr">
        <is>
          <t>Sumă Dr</t>
        </is>
      </c>
      <c r="D6" s="65" t="inlineStr">
        <is>
          <t>Descriere Dr</t>
        </is>
      </c>
      <c r="E6" s="65" t="inlineStr">
        <is>
          <t>Cont Cr</t>
        </is>
      </c>
      <c r="F6" s="65" t="inlineStr">
        <is>
          <t>Sumă Cr</t>
        </is>
      </c>
      <c r="G6" s="65" t="inlineStr">
        <is>
          <t>Descriere Cr</t>
        </is>
      </c>
    </row>
    <row r="7">
      <c r="A7" s="43" t="n">
        <v>1</v>
      </c>
      <c r="B7" s="43" t="str">
        <f>IF(Declarații_TAXARE_INVERSA!B20="DA",Declarații_TAXARE_INVERSA!B32,Declarații_TAXARE_INVERSA!B31)</f>
        <v>371</v>
      </c>
      <c r="C7" s="43">
        <f>IF(Declarații_TAXARE_INVERSA!B12="DA",Declarații_TAXARE_INVERSA!B17,0)</f>
        <v>74550</v>
      </c>
      <c r="D7" s="43" t="str">
        <f>"Achiziție intracomunitară " &amp; Declarații_TAXARE_INVERSA!B13 &amp; " " &amp; Declarații_TAXARE_INVERSA!B39</f>
        <v>Achiziție intracomunitară Furnizor UE DEMO — taxare inversă 2026-07</v>
      </c>
      <c r="E7" s="43" t="str">
        <f>Declarații_TAXARE_INVERSA!B33</f>
        <v>401.UE</v>
      </c>
      <c r="F7" s="43">
        <f>IF(Declarații_TAXARE_INVERSA!B12="DA",Declarații_TAXARE_INVERSA!B17,0)</f>
        <v>74550</v>
      </c>
      <c r="G7" s="43" t="str">
        <f>"Datorie furnizor UE " &amp; Declarații_TAXARE_INVERSA!B39</f>
        <v>Datorie furnizor UE — taxare inversă 2026-07</v>
      </c>
    </row>
    <row r="8">
      <c r="A8" s="43" t="inlineStr">
        <is>
          <t>Check A1 (factura)</t>
        </is>
      </c>
      <c r="B8" s="43">
        <f>C7-F7</f>
        <v>0</v>
      </c>
      <c r="C8" s="43" t="str">
        <f>IF(ABS(B8)&lt;0.01,"OK","EROARE")</f>
        <v>OK</v>
      </c>
    </row>
    <row r="9">
      <c r="A9" s="43" t="n">
        <v>2</v>
      </c>
      <c r="B9" s="43" t="str">
        <f>Declarații_TAXARE_INVERSA!B35</f>
        <v>4426</v>
      </c>
      <c r="C9" s="43">
        <f>IF(Declarații_TAXARE_INVERSA!B12="DA",Declarații_TAXARE_INVERSA!B18,0)</f>
        <v>15655.5</v>
      </c>
      <c r="D9" s="43" t="str">
        <f>"TVA deductibilă prin autolichidare " &amp; Declarații_TAXARE_INVERSA!B39</f>
        <v>TVA deductibilă prin autolichidare — taxare inversă 2026-07</v>
      </c>
      <c r="E9" s="43" t="str">
        <f>Declarații_TAXARE_INVERSA!B36</f>
        <v>4427</v>
      </c>
      <c r="F9" s="43">
        <f>IF(Declarații_TAXARE_INVERSA!B12="DA",Declarații_TAXARE_INVERSA!B18,0)</f>
        <v>15655.5</v>
      </c>
      <c r="G9" s="43" t="str">
        <f>"TVA colectată prin autolichidare " &amp; Declarații_TAXARE_INVERSA!B39</f>
        <v>TVA colectată prin autolichidare — taxare inversă 2026-07</v>
      </c>
    </row>
    <row r="10">
      <c r="A10" s="43" t="inlineStr">
        <is>
          <t>Check A2 (autolichidare = cotă × bază)</t>
        </is>
      </c>
      <c r="B10" s="43">
        <f>C9-IF(Declarații_TAXARE_INVERSA!B12="DA",Declarații_TAXARE_INVERSA!B19,0)</f>
        <v>0</v>
      </c>
      <c r="C10" s="43" t="str">
        <f>IF(ABS(B10)&lt;0.01,"OK — 4426 = 4427 = cotă × bază","EROARE — suma din notă nu e cotă × bază")</f>
        <v>OK — 4426 = 4427 = cotă × bază</v>
      </c>
    </row>
    <row r="12">
      <c r="A12" s="42" t="inlineStr">
        <is>
          <t>Bloc B — Taxare inversă internă</t>
        </is>
      </c>
    </row>
    <row r="13">
      <c r="A13" s="65" t="inlineStr">
        <is>
          <t>Nr</t>
        </is>
      </c>
      <c r="B13" s="65" t="inlineStr">
        <is>
          <t>Cont Dr</t>
        </is>
      </c>
      <c r="C13" s="65" t="inlineStr">
        <is>
          <t>Sumă Dr</t>
        </is>
      </c>
      <c r="D13" s="65" t="inlineStr">
        <is>
          <t>Descriere Dr</t>
        </is>
      </c>
      <c r="E13" s="65" t="inlineStr">
        <is>
          <t>Cont Cr</t>
        </is>
      </c>
      <c r="F13" s="65" t="inlineStr">
        <is>
          <t>Sumă Cr</t>
        </is>
      </c>
      <c r="G13" s="65" t="inlineStr">
        <is>
          <t>Descriere Cr</t>
        </is>
      </c>
    </row>
    <row r="14">
      <c r="A14" s="43" t="n">
        <v>1</v>
      </c>
      <c r="B14" s="43" t="str">
        <f>Declarații_TAXARE_INVERSA!B31</f>
        <v>371</v>
      </c>
      <c r="C14" s="43">
        <f>IF(Declarații_TAXARE_INVERSA!B23="DA",Declarații_TAXARE_INVERSA!B26,0)</f>
        <v>10000</v>
      </c>
      <c r="D14" s="43" t="str">
        <f>"Achiziție cu taxare inversă (" &amp; Declarații_TAXARE_INVERSA!B25 &amp; ") " &amp; Declarații_TAXARE_INVERSA!B39</f>
        <v>Achiziție cu taxare inversă (Cereale) — taxare inversă 2026-07</v>
      </c>
      <c r="E14" s="43" t="str">
        <f>Declarații_TAXARE_INVERSA!B34</f>
        <v>401.RO</v>
      </c>
      <c r="F14" s="43">
        <f>IF(Declarații_TAXARE_INVERSA!B23="DA",Declarații_TAXARE_INVERSA!B26,0)</f>
        <v>10000</v>
      </c>
      <c r="G14" s="43" t="str">
        <f>"Datorie furnizor RO " &amp; Declarații_TAXARE_INVERSA!B39</f>
        <v>Datorie furnizor RO — taxare inversă 2026-07</v>
      </c>
    </row>
    <row r="15">
      <c r="A15" s="43" t="inlineStr">
        <is>
          <t>Check B1 (factura)</t>
        </is>
      </c>
      <c r="B15" s="43">
        <f>C14-F14</f>
        <v>0</v>
      </c>
      <c r="C15" s="43" t="str">
        <f>IF(ABS(B15)&lt;0.01,"OK","EROARE")</f>
        <v>OK</v>
      </c>
    </row>
    <row r="16">
      <c r="A16" s="43" t="n">
        <v>2</v>
      </c>
      <c r="B16" s="43" t="str">
        <f>Declarații_TAXARE_INVERSA!B35</f>
        <v>4426</v>
      </c>
      <c r="C16" s="43">
        <f>IF(Declarații_TAXARE_INVERSA!B23="DA",Declarații_TAXARE_INVERSA!B27,0)</f>
        <v>2100</v>
      </c>
      <c r="D16" s="43" t="str">
        <f>"TVA deductibilă prin autolichidare " &amp; Declarații_TAXARE_INVERSA!B39</f>
        <v>TVA deductibilă prin autolichidare — taxare inversă 2026-07</v>
      </c>
      <c r="E16" s="43" t="str">
        <f>Declarații_TAXARE_INVERSA!B36</f>
        <v>4427</v>
      </c>
      <c r="F16" s="43">
        <f>IF(Declarații_TAXARE_INVERSA!B23="DA",Declarații_TAXARE_INVERSA!B27,0)</f>
        <v>2100</v>
      </c>
      <c r="G16" s="43" t="str">
        <f>"TVA colectată prin autolichidare " &amp; Declarații_TAXARE_INVERSA!B39</f>
        <v>TVA colectată prin autolichidare — taxare inversă 2026-07</v>
      </c>
    </row>
    <row r="17">
      <c r="A17" s="43" t="inlineStr">
        <is>
          <t>Check B2 (autolichidare = cotă × bază)</t>
        </is>
      </c>
      <c r="B17" s="43">
        <f>C16-IF(Declarații_TAXARE_INVERSA!B23="DA",Declarații_TAXARE_INVERSA!B28,0)</f>
        <v>0</v>
      </c>
      <c r="C17" s="43" t="str">
        <f>IF(ABS(B17)&lt;0.01,"OK — 4426 = 4427 = cotă × bază","EROARE — suma din notă nu e cotă × bază")</f>
        <v>OK — 4426 = 4427 = cotă × bază</v>
      </c>
    </row>
    <row r="19">
      <c r="A19" s="43" t="inlineStr">
        <is>
          <t>Check global</t>
        </is>
      </c>
      <c r="B19" s="43">
        <f>ABS(B8)+ABS(B10)+ABS(B15)+ABS(B17)</f>
        <v>0</v>
      </c>
      <c r="C19" s="43" t="str">
        <f>IF(B19&lt;0.01,"OK — toate blocurile se închid","EROARE — cel puțin un bloc dezechilibrat")</f>
        <v>OK — toate blocurile se închid</v>
      </c>
    </row>
    <row r="21">
      <c r="A21" s="42" t="inlineStr">
        <is>
          <t>Stare terminală</t>
        </is>
      </c>
    </row>
    <row r="22">
      <c r="A22" s="44" t="inlineStr">
        <is>
          <t>Nicio TVA de plată suplimentară din operațiunile astea: 4426 și 4427 s-au mișcat cu aceeași sumă și se anulează la închiderea lunară. Ce rămâne e raportarea: D300 la ambele, D390 doar la intracomunitar.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26" customWidth="1" style="40" min="2" max="2"/>
    <col width="14" customWidth="1" style="40" min="3" max="3"/>
    <col width="12" customWidth="1" style="40" min="4" max="4"/>
    <col width="12" customWidth="1" style="40" min="5" max="5"/>
    <col width="14" customWidth="1" style="40" min="6" max="6"/>
    <col width="50" customWidth="1" style="40" min="7" max="7"/>
    <col width="24" customWidth="1" style="40" min="8" max="8"/>
    <col width="10" customWidth="1" style="40" min="9" max="9"/>
  </cols>
  <sheetData>
    <row r="1">
      <c r="A1" s="41" t="inlineStr">
        <is>
          <t>MOD_TAXARE_INVERSA — Notă pentru import</t>
        </is>
      </c>
    </row>
    <row r="2">
      <c r="A2" s="44" t="inlineStr">
        <is>
          <t>Filtrează Include=DA. Cazurile neactivate ies cu sumă 0 și apar ca NU.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A Intracomunitar — factura</t>
        </is>
      </c>
      <c r="C5" s="43" t="str">
        <f>Declarații_TAXARE_INVERSA!B8</f>
        <v>2026-07-31</v>
      </c>
      <c r="D5" s="43" t="str">
        <f>Jurnale_TAXARE_INVERSA!B7</f>
        <v>371</v>
      </c>
      <c r="E5" s="43" t="str">
        <f>Jurnale_TAXARE_INVERSA!E7</f>
        <v>401.UE</v>
      </c>
      <c r="F5" s="43">
        <f>Jurnale_TAXARE_INVERSA!C7</f>
        <v>74550</v>
      </c>
      <c r="G5" s="43" t="str">
        <f>Jurnale_TAXARE_INVERSA!D7</f>
        <v>Achiziție intracomunitară Furnizor UE DEMO — taxare inversă 2026-07</v>
      </c>
      <c r="H5" s="43" t="inlineStr">
        <is>
          <t>Factură furnizor UE</t>
        </is>
      </c>
      <c r="I5" s="43" t="str">
        <f>IF(AND(ISNUMBER(F5),F5&gt;0),"DA","NU")</f>
        <v>DA</v>
      </c>
    </row>
    <row r="6">
      <c r="A6" s="43" t="n">
        <v>2</v>
      </c>
      <c r="B6" s="43" t="inlineStr">
        <is>
          <t>A Intracomunitar — autolichidare</t>
        </is>
      </c>
      <c r="C6" s="43" t="str">
        <f>Declarații_TAXARE_INVERSA!B8</f>
        <v>2026-07-31</v>
      </c>
      <c r="D6" s="43" t="str">
        <f>Jurnale_TAXARE_INVERSA!B9</f>
        <v>4426</v>
      </c>
      <c r="E6" s="43" t="str">
        <f>Jurnale_TAXARE_INVERSA!E9</f>
        <v>4427</v>
      </c>
      <c r="F6" s="43">
        <f>Jurnale_TAXARE_INVERSA!C9</f>
        <v>15655.5</v>
      </c>
      <c r="G6" s="43" t="str">
        <f>Jurnale_TAXARE_INVERSA!D9</f>
        <v>TVA deductibilă prin autolichidare — taxare inversă 2026-07</v>
      </c>
      <c r="H6" s="43" t="inlineStr">
        <is>
          <t>Autofactură</t>
        </is>
      </c>
      <c r="I6" s="43" t="str">
        <f>IF(AND(ISNUMBER(F6),F6&gt;0),"DA","NU")</f>
        <v>DA</v>
      </c>
    </row>
    <row r="7">
      <c r="A7" s="43" t="n">
        <v>3</v>
      </c>
      <c r="B7" s="43" t="inlineStr">
        <is>
          <t>B Intern — factura</t>
        </is>
      </c>
      <c r="C7" s="43" t="str">
        <f>Declarații_TAXARE_INVERSA!B8</f>
        <v>2026-07-31</v>
      </c>
      <c r="D7" s="43" t="str">
        <f>Jurnale_TAXARE_INVERSA!B14</f>
        <v>371</v>
      </c>
      <c r="E7" s="43" t="str">
        <f>Jurnale_TAXARE_INVERSA!E14</f>
        <v>401.RO</v>
      </c>
      <c r="F7" s="43">
        <f>Jurnale_TAXARE_INVERSA!C14</f>
        <v>10000</v>
      </c>
      <c r="G7" s="43" t="str">
        <f>Jurnale_TAXARE_INVERSA!D14</f>
        <v>Achiziție cu taxare inversă (Cereale) — taxare inversă 2026-07</v>
      </c>
      <c r="H7" s="43" t="inlineStr">
        <is>
          <t>Factură (mențiune taxare inversă)</t>
        </is>
      </c>
      <c r="I7" s="43" t="str">
        <f>IF(AND(ISNUMBER(F7),F7&gt;0),"DA","NU")</f>
        <v>DA</v>
      </c>
    </row>
    <row r="8">
      <c r="A8" s="43" t="n">
        <v>4</v>
      </c>
      <c r="B8" s="43" t="inlineStr">
        <is>
          <t>B Intern — autolichidare</t>
        </is>
      </c>
      <c r="C8" s="43" t="str">
        <f>Declarații_TAXARE_INVERSA!B8</f>
        <v>2026-07-31</v>
      </c>
      <c r="D8" s="43" t="str">
        <f>Jurnale_TAXARE_INVERSA!B16</f>
        <v>4426</v>
      </c>
      <c r="E8" s="43" t="str">
        <f>Jurnale_TAXARE_INVERSA!E16</f>
        <v>4427</v>
      </c>
      <c r="F8" s="43">
        <f>Jurnale_TAXARE_INVERSA!C16</f>
        <v>2100</v>
      </c>
      <c r="G8" s="43" t="str">
        <f>Jurnale_TAXARE_INVERSA!D16</f>
        <v>TVA deductibilă prin autolichidare — taxare inversă 2026-07</v>
      </c>
      <c r="H8" s="43" t="inlineStr">
        <is>
          <t>Autofactură</t>
        </is>
      </c>
      <c r="I8" s="43" t="str">
        <f>IF(AND(ISNUMBER(F8),F8&gt;0),"DA","NU")</f>
        <v>DA</v>
      </c>
    </row>
    <row r="10">
      <c r="A10" s="43" t="inlineStr">
        <is>
          <t>Rânduri de importat</t>
        </is>
      </c>
      <c r="B10" s="43">
        <f>COUNTIF(I5:I8,"DA")</f>
        <v>4</v>
      </c>
    </row>
    <row r="11">
      <c r="A11" s="43" t="inlineStr">
        <is>
          <t>Check global</t>
        </is>
      </c>
      <c r="B11" s="43">
        <f>Jurnale_TAXARE_INVERSA!B19</f>
        <v>0</v>
      </c>
      <c r="C11" s="43" t="str">
        <f>IF(ABS(B11)&lt;0.01,"OK","EROARE")</f>
        <v>OK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6" customWidth="1" style="40" min="1" max="1"/>
    <col width="26" customWidth="1" style="40" min="2" max="2"/>
    <col width="52" customWidth="1" style="40" min="3" max="3"/>
  </cols>
  <sheetData>
    <row r="1">
      <c r="A1" s="41" t="inlineStr">
        <is>
          <t>MOD_VANZ_AMANUNT — Declarații (input)</t>
        </is>
      </c>
    </row>
    <row r="2">
      <c r="A2" s="44" t="inlineStr">
        <is>
          <t>Gestiune amănunt la PVA. Corelații: 371×c/(100+c)=4428 și 707−607=rulaj D 378. Completează galben.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Gestiune (analitic)</t>
        </is>
      </c>
      <c r="B6" s="64" t="inlineStr">
        <is>
          <t>AM.21</t>
        </is>
      </c>
    </row>
    <row r="7">
      <c r="A7" s="43" t="inlineStr">
        <is>
          <t>Luna</t>
        </is>
      </c>
      <c r="B7" s="64" t="inlineStr">
        <is>
          <t>2026-07</t>
        </is>
      </c>
    </row>
    <row r="8">
      <c r="A8" s="43" t="inlineStr">
        <is>
          <t>Data aprovizionare</t>
        </is>
      </c>
      <c r="B8" s="64" t="inlineStr">
        <is>
          <t>2026-07-05</t>
        </is>
      </c>
    </row>
    <row r="9">
      <c r="A9" s="43" t="inlineStr">
        <is>
          <t>Data vânzare (Z-report)</t>
        </is>
      </c>
      <c r="B9" s="64" t="inlineStr">
        <is>
          <t>2026-07-31</t>
        </is>
      </c>
    </row>
    <row r="11">
      <c r="A11" s="42" t="inlineStr">
        <is>
          <t>2. Aprovizionare</t>
        </is>
      </c>
    </row>
    <row r="12">
      <c r="A12" s="43" t="inlineStr">
        <is>
          <t>Cost (fără TVA)</t>
        </is>
      </c>
      <c r="B12" s="64" t="n">
        <v>10000</v>
      </c>
    </row>
    <row r="13">
      <c r="A13" s="43" t="inlineStr">
        <is>
          <t>Adaos %</t>
        </is>
      </c>
      <c r="B13" s="64" t="n">
        <v>0.3</v>
      </c>
    </row>
    <row r="14">
      <c r="A14" s="43" t="inlineStr">
        <is>
          <t>Cotă TVA</t>
        </is>
      </c>
      <c r="B14" s="64" t="n">
        <v>0.21</v>
      </c>
    </row>
    <row r="15">
      <c r="A15" s="43" t="inlineStr">
        <is>
          <t>Adaos (lei)</t>
        </is>
      </c>
      <c r="B15" s="43">
        <f>B12*B13</f>
        <v>3000</v>
      </c>
    </row>
    <row r="16">
      <c r="A16" s="43" t="inlineStr">
        <is>
          <t>Bază PVA (cost+adaos)</t>
        </is>
      </c>
      <c r="B16" s="43">
        <f>B12+B15</f>
        <v>13000</v>
      </c>
    </row>
    <row r="17">
      <c r="A17" s="43" t="inlineStr">
        <is>
          <t>TVA în PVA</t>
        </is>
      </c>
      <c r="B17" s="43">
        <f>B16*B14</f>
        <v>2730</v>
      </c>
    </row>
    <row r="18">
      <c r="A18" s="43" t="inlineStr">
        <is>
          <t>PVA total (371)</t>
        </is>
      </c>
      <c r="B18" s="43">
        <f>B16+B17</f>
        <v>15730</v>
      </c>
    </row>
    <row r="19">
      <c r="A19" s="43" t="inlineStr">
        <is>
          <t>TVA deductibilă (pe cost)</t>
        </is>
      </c>
      <c r="B19" s="43">
        <f>B12*B14</f>
        <v>2100</v>
      </c>
    </row>
    <row r="21">
      <c r="A21" s="42" t="inlineStr">
        <is>
          <t>3. Conturi</t>
        </is>
      </c>
    </row>
    <row r="22">
      <c r="A22" s="43" t="inlineStr">
        <is>
          <t>Cont stoc (371.gest.cotă)</t>
        </is>
      </c>
      <c r="B22" s="64" t="inlineStr">
        <is>
          <t>371.AM.21</t>
        </is>
      </c>
    </row>
    <row r="23">
      <c r="A23" s="43" t="inlineStr">
        <is>
          <t>Cont adaos (378)</t>
        </is>
      </c>
      <c r="B23" s="64" t="inlineStr">
        <is>
          <t>378.AM.21</t>
        </is>
      </c>
    </row>
    <row r="24">
      <c r="A24" s="43" t="inlineStr">
        <is>
          <t>Cont TVA neexigibilă (4428)</t>
        </is>
      </c>
      <c r="B24" s="64" t="inlineStr">
        <is>
          <t>4428.AM</t>
        </is>
      </c>
    </row>
    <row r="25">
      <c r="A25" s="43" t="inlineStr">
        <is>
          <t>Cont furnizor</t>
        </is>
      </c>
      <c r="B25" s="64" t="inlineStr">
        <is>
          <t>401.RO</t>
        </is>
      </c>
    </row>
    <row r="26">
      <c r="A26" s="43" t="inlineStr">
        <is>
          <t>Cont TVA deductibilă</t>
        </is>
      </c>
      <c r="B26" s="64" t="inlineStr">
        <is>
          <t>4426</t>
        </is>
      </c>
    </row>
    <row r="27">
      <c r="A27" s="43" t="inlineStr">
        <is>
          <t>Cont cheltuială (607)</t>
        </is>
      </c>
      <c r="B27" s="64" t="inlineStr">
        <is>
          <t>607</t>
        </is>
      </c>
    </row>
    <row r="28">
      <c r="A28" s="43" t="inlineStr">
        <is>
          <t>Cont venit (707)</t>
        </is>
      </c>
      <c r="B28" s="64" t="inlineStr">
        <is>
          <t>707</t>
        </is>
      </c>
    </row>
    <row r="29">
      <c r="A29" s="43" t="inlineStr">
        <is>
          <t>Cont TVA colectată</t>
        </is>
      </c>
      <c r="B29" s="64" t="inlineStr">
        <is>
          <t>4427</t>
        </is>
      </c>
    </row>
    <row r="30">
      <c r="A30" s="43" t="inlineStr">
        <is>
          <t>Cont casă / bancă</t>
        </is>
      </c>
      <c r="B30" s="64" t="inlineStr">
        <is>
          <t>531.1</t>
        </is>
      </c>
    </row>
    <row r="31">
      <c r="A31" s="43" t="inlineStr">
        <is>
          <t>Cont TVA de plată</t>
        </is>
      </c>
      <c r="B31" s="64" t="inlineStr">
        <is>
          <t>4423</t>
        </is>
      </c>
    </row>
    <row r="33">
      <c r="A33" s="42" t="inlineStr">
        <is>
          <t>4. Corelații (auto)</t>
        </is>
      </c>
    </row>
    <row r="34">
      <c r="A34" s="43" t="inlineStr">
        <is>
          <t>Corelație 1: 371×c/(100+c) =?</t>
        </is>
      </c>
      <c r="B34" s="43">
        <f>B18*B14/(1+B14)</f>
        <v>2730</v>
      </c>
    </row>
    <row r="35">
      <c r="A35" s="43" t="inlineStr">
        <is>
          <t>Trebuie = 4428</t>
        </is>
      </c>
      <c r="B35" s="43" t="str">
        <f>IF(ABS(B34-B17)&lt;0.01,"OK — corelație 1 ține","EROARE")</f>
        <v>OK — corelație 1 ține</v>
      </c>
    </row>
    <row r="36">
      <c r="A36" s="43" t="inlineStr">
        <is>
          <t>Corelație 2: 707−607 =?</t>
        </is>
      </c>
      <c r="B36" s="43">
        <f>B16-B12</f>
        <v>3000</v>
      </c>
    </row>
    <row r="37">
      <c r="A37" s="43" t="inlineStr">
        <is>
          <t>Trebuie = adaos (rulaj D 378)</t>
        </is>
      </c>
      <c r="B37" s="43" t="str">
        <f>IF(ABS(B36-B15)&lt;0.01,"OK — corelație 2 ține","EROARE")</f>
        <v>OK — corelație 2 ține</v>
      </c>
    </row>
    <row r="39">
      <c r="A39" s="42" t="inlineStr">
        <is>
          <t>5. Sufix</t>
        </is>
      </c>
    </row>
    <row r="40">
      <c r="A40" s="43" t="inlineStr">
        <is>
          <t>Sufix</t>
        </is>
      </c>
      <c r="B40" s="43" t="str">
        <f>"— amănunt " &amp; B6 &amp; " — " &amp; B7</f>
        <v>— amănunt AM.21 — 2026-07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34" customWidth="1" style="40" min="2" max="2"/>
    <col width="26" customWidth="1" style="40" min="3" max="3"/>
    <col width="40" customWidth="1" style="40" min="4" max="4"/>
    <col width="36" customWidth="1" style="40" min="5" max="5"/>
    <col width="22" customWidth="1" style="40" min="6" max="6"/>
  </cols>
  <sheetData>
    <row r="1">
      <c r="A1" s="41" t="inlineStr">
        <is>
          <t>MOD_VANZ_AMANUNT — Reguli (tabele fixe)</t>
        </is>
      </c>
    </row>
    <row r="2">
      <c r="A2" s="44" t="inlineStr">
        <is>
          <t>Regula e dată, nu formulă. Se editează doar când se schimbă politica de gestiune sau cotele.</t>
        </is>
      </c>
    </row>
    <row r="4">
      <c r="A4" s="42" t="inlineStr">
        <is>
          <t>Tabel A — Secvența operațională</t>
        </is>
      </c>
    </row>
    <row r="5">
      <c r="A5" s="65" t="inlineStr">
        <is>
          <t>Pas</t>
        </is>
      </c>
      <c r="B5" s="65" t="inlineStr">
        <is>
          <t>Cont Dr</t>
        </is>
      </c>
      <c r="C5" s="65" t="inlineStr">
        <is>
          <t>Cont Cr</t>
        </is>
      </c>
      <c r="D5" s="65" t="inlineStr">
        <is>
          <t>Sumă (sursă)</t>
        </is>
      </c>
      <c r="E5" s="65" t="inlineStr">
        <is>
          <t>Condiție</t>
        </is>
      </c>
      <c r="F5" s="65" t="inlineStr">
        <is>
          <t>Temei / observație</t>
        </is>
      </c>
    </row>
    <row r="6">
      <c r="A6" s="43" t="n">
        <v>1</v>
      </c>
      <c r="B6" s="43" t="inlineStr">
        <is>
          <t>371.gest.cotă</t>
        </is>
      </c>
      <c r="C6" s="43" t="inlineStr">
        <is>
          <t>401 + 378 + 4428</t>
        </is>
      </c>
      <c r="D6" s="43" t="inlineStr">
        <is>
          <t>PVA = cost+adaos+TVA_PVA</t>
        </is>
      </c>
      <c r="E6" s="43" t="inlineStr">
        <is>
          <t>La aprovizionare amănunt</t>
        </is>
      </c>
      <c r="F6" s="43" t="inlineStr">
        <is>
          <t>Stoc la preț de vânzare cu amănuntul</t>
        </is>
      </c>
    </row>
    <row r="7">
      <c r="A7" s="43" t="n">
        <v>2</v>
      </c>
      <c r="B7" s="43" t="inlineStr">
        <is>
          <t>4426</t>
        </is>
      </c>
      <c r="C7" s="43" t="inlineStr">
        <is>
          <t>401</t>
        </is>
      </c>
      <c r="D7" s="43" t="inlineStr">
        <is>
          <t>cost × cotă</t>
        </is>
      </c>
      <c r="E7" s="43" t="inlineStr">
        <is>
          <t>Din factură furnizor</t>
        </is>
      </c>
      <c r="F7" s="43" t="inlineStr">
        <is>
          <t>TVA deductibilă ≠ TVA din PVA</t>
        </is>
      </c>
    </row>
    <row r="8">
      <c r="A8" s="43" t="n">
        <v>3</v>
      </c>
      <c r="B8" s="43" t="inlineStr">
        <is>
          <t>607 + 378 + 4428</t>
        </is>
      </c>
      <c r="C8" s="43" t="inlineStr">
        <is>
          <t>371.gest.cotă</t>
        </is>
      </c>
      <c r="D8" s="43" t="inlineStr">
        <is>
          <t>proporțional pe PVA vândut</t>
        </is>
      </c>
      <c r="E8" s="43" t="inlineStr">
        <is>
          <t>La vânzare / Z-report</t>
        </is>
      </c>
      <c r="F8" s="43" t="inlineStr">
        <is>
          <t>Descărcare proporțională (nu doar cost)</t>
        </is>
      </c>
    </row>
    <row r="9">
      <c r="A9" s="43" t="n">
        <v>4</v>
      </c>
      <c r="B9" s="43" t="inlineStr">
        <is>
          <t>531/512</t>
        </is>
      </c>
      <c r="C9" s="43" t="inlineStr">
        <is>
          <t>707 + 4427</t>
        </is>
      </c>
      <c r="D9" s="43" t="inlineStr">
        <is>
          <t>bază + TVA = PVA vândut</t>
        </is>
      </c>
      <c r="E9" s="43" t="inlineStr">
        <is>
          <t>La vânzare</t>
        </is>
      </c>
      <c r="F9" s="43" t="inlineStr">
        <is>
          <t>Venit pe bază (cost+adaos), TVA colectată</t>
        </is>
      </c>
    </row>
    <row r="10">
      <c r="A10" s="43" t="n">
        <v>5</v>
      </c>
      <c r="B10" s="43" t="inlineStr">
        <is>
          <t>4427</t>
        </is>
      </c>
      <c r="C10" s="43" t="inlineStr">
        <is>
          <t>4426 + 4423</t>
        </is>
      </c>
      <c r="D10" s="43" t="inlineStr">
        <is>
          <t>rulaje lunare</t>
        </is>
      </c>
      <c r="E10" s="43" t="inlineStr">
        <is>
          <t>La închidere TVA</t>
        </is>
      </c>
      <c r="F10" s="43" t="inlineStr">
        <is>
          <t>Vezi MOD_INCHIDERE_TVA</t>
        </is>
      </c>
    </row>
    <row r="11">
      <c r="A11" s="43" t="n">
        <v>6</v>
      </c>
      <c r="B11" s="43" t="inlineStr">
        <is>
          <t>707 + 4427</t>
        </is>
      </c>
      <c r="C11" s="43" t="inlineStr">
        <is>
          <t>411/531</t>
        </is>
      </c>
      <c r="D11" s="43" t="inlineStr">
        <is>
          <t>proporțional retur</t>
        </is>
      </c>
      <c r="E11" s="43" t="inlineStr">
        <is>
          <t>La retur client</t>
        </is>
      </c>
      <c r="F11" s="43" t="inlineStr">
        <is>
          <t>Storno venit+TVA; apoi reîncarcă 371+378+4428 (F-318)</t>
        </is>
      </c>
    </row>
    <row r="13">
      <c r="A13" s="42" t="inlineStr">
        <is>
          <t>Tabel B — Corelații de control (obligatorii pe cifre)</t>
        </is>
      </c>
    </row>
    <row r="14">
      <c r="A14" s="65" t="inlineStr">
        <is>
          <t>ID</t>
        </is>
      </c>
      <c r="B14" s="65" t="inlineStr">
        <is>
          <t>Formulă</t>
        </is>
      </c>
      <c r="C14" s="65" t="inlineStr">
        <is>
          <t>Când</t>
        </is>
      </c>
      <c r="D14" s="65" t="inlineStr">
        <is>
          <t>Ce o rupe legitim</t>
        </is>
      </c>
      <c r="E14" s="65" t="inlineStr">
        <is>
          <t>Ce o rupe suspect</t>
        </is>
      </c>
      <c r="F14" s="65" t="inlineStr">
        <is>
          <t>Flux</t>
        </is>
      </c>
    </row>
    <row r="15">
      <c r="A15" s="43" t="inlineStr">
        <is>
          <t>C-01</t>
        </is>
      </c>
      <c r="B15" s="43" t="inlineStr">
        <is>
          <t>sold 371 × c/(100+c) = sold 4428</t>
        </is>
      </c>
      <c r="C15" s="43" t="inlineStr">
        <is>
          <t>Pe gestiune+cotă, oricând</t>
        </is>
      </c>
      <c r="D15" s="43" t="inlineStr">
        <is>
          <t>Vânzare parțială, retur, transfer gestiuni</t>
        </is>
      </c>
      <c r="E15" s="43" t="inlineStr">
        <is>
          <t>4428 omis; descărcare fără 378/4428</t>
        </is>
      </c>
      <c r="F15" s="43" t="inlineStr">
        <is>
          <t>F-316, F-318, F-317</t>
        </is>
      </c>
    </row>
    <row r="16">
      <c r="A16" s="43" t="inlineStr">
        <is>
          <t>C-02</t>
        </is>
      </c>
      <c r="B16" s="43" t="inlineStr">
        <is>
          <t>707 − 607 = rulaj D 378</t>
        </is>
      </c>
      <c r="C16" s="43" t="inlineStr">
        <is>
          <t>Pe perioadă</t>
        </is>
      </c>
      <c r="D16" s="43" t="inlineStr">
        <is>
          <t>Retur, 709, discount furnizor pe stoc vândut</t>
        </is>
      </c>
      <c r="E16" s="43" t="inlineStr">
        <is>
          <t>607 greșit; 378 nestins</t>
        </is>
      </c>
      <c r="F16" s="43" t="inlineStr">
        <is>
          <t>F-316, F-318, F-317</t>
        </is>
      </c>
    </row>
    <row r="18">
      <c r="A18" s="42" t="inlineStr">
        <is>
          <t>Tabel C — Porți</t>
        </is>
      </c>
    </row>
    <row r="19">
      <c r="A19" s="44" t="inlineStr">
        <is>
          <t>• ΣDr=ΣCr pe fiecare bloc (verificare cu ABS la global — erorile nu se anulează)</t>
        </is>
      </c>
    </row>
    <row r="20">
      <c r="A20" s="44" t="inlineStr">
        <is>
          <t>• După vânzare integrală: sold 371=378=4428=0 pe gestiune</t>
        </is>
      </c>
    </row>
    <row r="21">
      <c r="A21" s="44" t="inlineStr">
        <is>
          <t>• Vânzare parțială: C-01 pe soldul RĂMAS, nu pe rulajul de la intrare</t>
        </is>
      </c>
    </row>
    <row r="22">
      <c r="A22" s="44" t="inlineStr">
        <is>
          <t>• Retur: reîncarcă proporțional 371+378+4428 — omisiunea 378/4428 = ruptură suspectă C-01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2" customWidth="1" style="40" min="1" max="1"/>
    <col width="16" customWidth="1" style="40" min="2" max="2"/>
    <col width="14" customWidth="1" style="40" min="3" max="3"/>
    <col width="46" customWidth="1" style="40" min="4" max="4"/>
    <col width="16" customWidth="1" style="40" min="5" max="5"/>
    <col width="14" customWidth="1" style="40" min="6" max="6"/>
    <col width="46" customWidth="1" style="40" min="7" max="7"/>
  </cols>
  <sheetData>
    <row r="1">
      <c r="A1" s="41" t="inlineStr">
        <is>
          <t>MOD_VANZ_AMANUNT — Jurnale</t>
        </is>
      </c>
    </row>
    <row r="3">
      <c r="A3" s="42" t="inlineStr">
        <is>
          <t>Bloc 1 — Aprovizionare la PVA</t>
        </is>
      </c>
    </row>
    <row r="4">
      <c r="A4" s="43" t="inlineStr">
        <is>
          <t>Data:</t>
        </is>
      </c>
      <c r="B4" s="43" t="str">
        <f>Declarații_AMANUNT!B8</f>
        <v>2026-07-05</v>
      </c>
    </row>
    <row r="5">
      <c r="A5" s="65" t="inlineStr">
        <is>
          <t>Nr</t>
        </is>
      </c>
      <c r="B5" s="65" t="inlineStr">
        <is>
          <t>Cont Dr</t>
        </is>
      </c>
      <c r="C5" s="65" t="inlineStr">
        <is>
          <t>Sumă Dr</t>
        </is>
      </c>
      <c r="D5" s="65" t="inlineStr">
        <is>
          <t>Descriere Dr</t>
        </is>
      </c>
      <c r="E5" s="65" t="inlineStr">
        <is>
          <t>Cont Cr</t>
        </is>
      </c>
      <c r="F5" s="65" t="inlineStr">
        <is>
          <t>Sumă Cr</t>
        </is>
      </c>
      <c r="G5" s="65" t="inlineStr">
        <is>
          <t>Descriere Cr</t>
        </is>
      </c>
    </row>
    <row r="6">
      <c r="A6" s="43" t="n">
        <v>1</v>
      </c>
      <c r="B6" s="43" t="str">
        <f>Declarații_AMANUNT!B22</f>
        <v>371.AM.21</v>
      </c>
      <c r="C6" s="43">
        <f>Declarații_AMANUNT!B18</f>
        <v>15730</v>
      </c>
      <c r="D6" s="43" t="str">
        <f>"Intrare stoc la PVA " &amp; Declarații_AMANUNT!B40</f>
        <v>Intrare stoc la PVA — amănunt AM.21 — 2026-07</v>
      </c>
      <c r="E6" s="43" t="str">
        <f>Declarații_AMANUNT!B25</f>
        <v>401.RO</v>
      </c>
      <c r="F6" s="43">
        <f>Declarații_AMANUNT!B12</f>
        <v>10000</v>
      </c>
      <c r="G6" s="43" t="str">
        <f>"Datorie furnizor (cost) " &amp; Declarații_AMANUNT!B40</f>
        <v>Datorie furnizor (cost) — amănunt AM.21 — 2026-07</v>
      </c>
    </row>
    <row r="7">
      <c r="A7" s="43" t="n">
        <v>2</v>
      </c>
      <c r="B7" s="43" t="n">
        <v>0</v>
      </c>
      <c r="C7" s="43" t="n">
        <v>0</v>
      </c>
      <c r="E7" s="43" t="str">
        <f>Declarații_AMANUNT!B23</f>
        <v>378.AM.21</v>
      </c>
      <c r="F7" s="43">
        <f>Declarații_AMANUNT!B15</f>
        <v>3000</v>
      </c>
      <c r="G7" s="43" t="str">
        <f>"Adaos comercial " &amp; Declarații_AMANUNT!B40</f>
        <v>Adaos comercial — amănunt AM.21 — 2026-07</v>
      </c>
    </row>
    <row r="8">
      <c r="A8" s="43" t="n">
        <v>3</v>
      </c>
      <c r="B8" s="43" t="n">
        <v>0</v>
      </c>
      <c r="C8" s="43" t="n">
        <v>0</v>
      </c>
      <c r="E8" s="43" t="str">
        <f>Declarații_AMANUNT!B24</f>
        <v>4428.AM</v>
      </c>
      <c r="F8" s="43">
        <f>Declarații_AMANUNT!B17</f>
        <v>2730</v>
      </c>
      <c r="G8" s="43" t="str">
        <f>"TVA neexigibilă în PVA " &amp; Declarații_AMANUNT!B40</f>
        <v>TVA neexigibilă în PVA — amănunt AM.21 — 2026-07</v>
      </c>
    </row>
    <row r="9">
      <c r="A9" s="43" t="inlineStr">
        <is>
          <t>Check B1 (371 = cost+adaos+TVA PVA)</t>
        </is>
      </c>
      <c r="B9" s="43">
        <f>C6-(F6+F7+F8)</f>
        <v>0</v>
      </c>
      <c r="C9" s="43" t="str">
        <f>IF(ABS(B9)&lt;0.01,"OK","EROARE")</f>
        <v>OK</v>
      </c>
    </row>
    <row r="11">
      <c r="A11" s="42" t="inlineStr">
        <is>
          <t>Bloc 2 — TVA deductibilă din factură</t>
        </is>
      </c>
    </row>
    <row r="12">
      <c r="A12" s="65" t="inlineStr">
        <is>
          <t>Nr</t>
        </is>
      </c>
      <c r="B12" s="65" t="inlineStr">
        <is>
          <t>Cont Dr</t>
        </is>
      </c>
      <c r="C12" s="65" t="inlineStr">
        <is>
          <t>Sumă Dr</t>
        </is>
      </c>
      <c r="D12" s="65" t="inlineStr">
        <is>
          <t>Descriere Dr</t>
        </is>
      </c>
      <c r="E12" s="65" t="inlineStr">
        <is>
          <t>Cont Cr</t>
        </is>
      </c>
      <c r="F12" s="65" t="inlineStr">
        <is>
          <t>Sumă Cr</t>
        </is>
      </c>
      <c r="G12" s="65" t="inlineStr">
        <is>
          <t>Descriere Cr</t>
        </is>
      </c>
    </row>
    <row r="13">
      <c r="A13" s="43" t="n">
        <v>1</v>
      </c>
      <c r="B13" s="43" t="str">
        <f>Declarații_AMANUNT!B26</f>
        <v>4426</v>
      </c>
      <c r="C13" s="43">
        <f>Declarații_AMANUNT!B19</f>
        <v>2100</v>
      </c>
      <c r="D13" s="43" t="str">
        <f>"TVA deductibilă pe cost " &amp; Declarații_AMANUNT!B40</f>
        <v>TVA deductibilă pe cost — amănunt AM.21 — 2026-07</v>
      </c>
      <c r="E13" s="43" t="str">
        <f>Declarații_AMANUNT!B25</f>
        <v>401.RO</v>
      </c>
      <c r="F13" s="43">
        <f>Declarații_AMANUNT!B19</f>
        <v>2100</v>
      </c>
      <c r="G13" s="43" t="str">
        <f>"Datorie furnizor (TVA) " &amp; Declarații_AMANUNT!B40</f>
        <v>Datorie furnizor (TVA) — amănunt AM.21 — 2026-07</v>
      </c>
    </row>
    <row r="14">
      <c r="A14" s="43" t="inlineStr">
        <is>
          <t>Check B2</t>
        </is>
      </c>
      <c r="B14" s="43">
        <f>C13-F13</f>
        <v>0</v>
      </c>
      <c r="C14" s="43" t="str">
        <f>IF(ABS(B14)&lt;0.01,"OK","EROARE")</f>
        <v>OK</v>
      </c>
    </row>
    <row r="16">
      <c r="A16" s="42" t="inlineStr">
        <is>
          <t>Bloc 3 — Descărcare gestiune la PVA</t>
        </is>
      </c>
    </row>
    <row r="17">
      <c r="A17" s="43" t="inlineStr">
        <is>
          <t>Data:</t>
        </is>
      </c>
      <c r="B17" s="43" t="str">
        <f>Declarații_AMANUNT!B9</f>
        <v>2026-07-31</v>
      </c>
    </row>
    <row r="18">
      <c r="A18" s="65" t="inlineStr">
        <is>
          <t>Nr</t>
        </is>
      </c>
      <c r="B18" s="65" t="inlineStr">
        <is>
          <t>Cont Dr</t>
        </is>
      </c>
      <c r="C18" s="65" t="inlineStr">
        <is>
          <t>Sumă Dr</t>
        </is>
      </c>
      <c r="D18" s="65" t="inlineStr">
        <is>
          <t>Descriere Dr</t>
        </is>
      </c>
      <c r="E18" s="65" t="inlineStr">
        <is>
          <t>Cont Cr</t>
        </is>
      </c>
      <c r="F18" s="65" t="inlineStr">
        <is>
          <t>Sumă Cr</t>
        </is>
      </c>
      <c r="G18" s="65" t="inlineStr">
        <is>
          <t>Descriere Cr</t>
        </is>
      </c>
    </row>
    <row r="19">
      <c r="A19" s="43" t="n">
        <v>1</v>
      </c>
      <c r="B19" s="43" t="str">
        <f>Declarații_AMANUNT!B27</f>
        <v>607</v>
      </c>
      <c r="C19" s="43">
        <f>Declarații_AMANUNT!B12</f>
        <v>10000</v>
      </c>
      <c r="D19" s="43" t="str">
        <f>"Descărcare la cost " &amp; Declarații_AMANUNT!B40</f>
        <v>Descărcare la cost — amănunt AM.21 — 2026-07</v>
      </c>
      <c r="E19" s="43" t="str">
        <f>Declarații_AMANUNT!B22</f>
        <v>371.AM.21</v>
      </c>
      <c r="F19" s="43">
        <f>Declarații_AMANUNT!B18</f>
        <v>15730</v>
      </c>
      <c r="G19" s="43" t="str">
        <f>"Stingere stoc PVA " &amp; Declarații_AMANUNT!B40</f>
        <v>Stingere stoc PVA — amănunt AM.21 — 2026-07</v>
      </c>
    </row>
    <row r="20">
      <c r="A20" s="43" t="n">
        <v>2</v>
      </c>
      <c r="B20" s="43" t="str">
        <f>Declarații_AMANUNT!B23</f>
        <v>378.AM.21</v>
      </c>
      <c r="C20" s="43">
        <f>Declarații_AMANUNT!B15</f>
        <v>3000</v>
      </c>
      <c r="D20" s="43" t="str">
        <f>"Stingere adaos " &amp; Declarații_AMANUNT!B40</f>
        <v>Stingere adaos — amănunt AM.21 — 2026-07</v>
      </c>
      <c r="E20" s="43" t="n">
        <v>0</v>
      </c>
      <c r="F20" s="43" t="n">
        <v>0</v>
      </c>
    </row>
    <row r="21">
      <c r="A21" s="43" t="n">
        <v>3</v>
      </c>
      <c r="B21" s="43" t="str">
        <f>Declarații_AMANUNT!B24</f>
        <v>4428.AM</v>
      </c>
      <c r="C21" s="43">
        <f>Declarații_AMANUNT!B17</f>
        <v>2730</v>
      </c>
      <c r="D21" s="43" t="str">
        <f>"Stingere TVA neexigibilă " &amp; Declarații_AMANUNT!B40</f>
        <v>Stingere TVA neexigibilă — amănunt AM.21 — 2026-07</v>
      </c>
      <c r="E21" s="43" t="n">
        <v>0</v>
      </c>
      <c r="F21" s="43" t="n">
        <v>0</v>
      </c>
    </row>
    <row r="22">
      <c r="A22" s="43" t="inlineStr">
        <is>
          <t>Check B3</t>
        </is>
      </c>
      <c r="B22" s="43">
        <f>(C19+C20+C21)-F19</f>
        <v>0</v>
      </c>
      <c r="C22" s="43" t="str">
        <f>IF(ABS(B22)&lt;0.01,"OK","EROARE")</f>
        <v>OK</v>
      </c>
    </row>
    <row r="24">
      <c r="A24" s="42" t="inlineStr">
        <is>
          <t>Bloc 4 — Venit + TVA colectată</t>
        </is>
      </c>
    </row>
    <row r="25">
      <c r="A25" s="65" t="inlineStr">
        <is>
          <t>Nr</t>
        </is>
      </c>
      <c r="B25" s="65" t="inlineStr">
        <is>
          <t>Cont Dr</t>
        </is>
      </c>
      <c r="C25" s="65" t="inlineStr">
        <is>
          <t>Sumă Dr</t>
        </is>
      </c>
      <c r="D25" s="65" t="inlineStr">
        <is>
          <t>Descriere Dr</t>
        </is>
      </c>
      <c r="E25" s="65" t="inlineStr">
        <is>
          <t>Cont Cr</t>
        </is>
      </c>
      <c r="F25" s="65" t="inlineStr">
        <is>
          <t>Sumă Cr</t>
        </is>
      </c>
      <c r="G25" s="65" t="inlineStr">
        <is>
          <t>Descriere Cr</t>
        </is>
      </c>
    </row>
    <row r="26">
      <c r="A26" s="43" t="n">
        <v>1</v>
      </c>
      <c r="B26" s="43" t="str">
        <f>Declarații_AMANUNT!B30</f>
        <v>531.1</v>
      </c>
      <c r="C26" s="43">
        <f>Declarații_AMANUNT!B18</f>
        <v>15730</v>
      </c>
      <c r="D26" s="43" t="str">
        <f>"Încasare amănunt " &amp; Declarații_AMANUNT!B40</f>
        <v>Încasare amănunt — amănunt AM.21 — 2026-07</v>
      </c>
      <c r="E26" s="43" t="str">
        <f>Declarații_AMANUNT!B28</f>
        <v>707</v>
      </c>
      <c r="F26" s="43">
        <f>Declarații_AMANUNT!B16</f>
        <v>13000</v>
      </c>
      <c r="G26" s="43" t="str">
        <f>"Venit amănunt (bază) " &amp; Declarații_AMANUNT!B40</f>
        <v>Venit amănunt (bază) — amănunt AM.21 — 2026-07</v>
      </c>
    </row>
    <row r="27">
      <c r="A27" s="43" t="n">
        <v>2</v>
      </c>
      <c r="B27" s="43" t="n">
        <v>0</v>
      </c>
      <c r="C27" s="43" t="n">
        <v>0</v>
      </c>
      <c r="E27" s="43" t="str">
        <f>Declarații_AMANUNT!B29</f>
        <v>4427</v>
      </c>
      <c r="F27" s="43">
        <f>Declarații_AMANUNT!B17</f>
        <v>2730</v>
      </c>
      <c r="G27" s="43" t="str">
        <f>"TVA colectată " &amp; Declarații_AMANUNT!B40</f>
        <v>TVA colectată — amănunt AM.21 — 2026-07</v>
      </c>
    </row>
    <row r="28">
      <c r="A28" s="43" t="inlineStr">
        <is>
          <t>Check B4</t>
        </is>
      </c>
      <c r="B28" s="43">
        <f>C26-(F26+F27)</f>
        <v>0</v>
      </c>
      <c r="C28" s="43" t="str">
        <f>IF(ABS(B28)&lt;0.01,"OK","EROARE")</f>
        <v>OK</v>
      </c>
    </row>
    <row r="30">
      <c r="A30" s="42" t="inlineStr">
        <is>
          <t>Bloc 5 — Închidere TVA</t>
        </is>
      </c>
    </row>
    <row r="31">
      <c r="A31" s="65" t="inlineStr">
        <is>
          <t>Nr</t>
        </is>
      </c>
      <c r="B31" s="65" t="inlineStr">
        <is>
          <t>Cont Dr</t>
        </is>
      </c>
      <c r="C31" s="65" t="inlineStr">
        <is>
          <t>Sumă Dr</t>
        </is>
      </c>
      <c r="D31" s="65" t="inlineStr">
        <is>
          <t>Descriere Dr</t>
        </is>
      </c>
      <c r="E31" s="65" t="inlineStr">
        <is>
          <t>Cont Cr</t>
        </is>
      </c>
      <c r="F31" s="65" t="inlineStr">
        <is>
          <t>Sumă Cr</t>
        </is>
      </c>
      <c r="G31" s="65" t="inlineStr">
        <is>
          <t>Descriere Cr</t>
        </is>
      </c>
    </row>
    <row r="32">
      <c r="A32" s="43" t="n">
        <v>1</v>
      </c>
      <c r="B32" s="43" t="str">
        <f>Declarații_AMANUNT!B29</f>
        <v>4427</v>
      </c>
      <c r="C32" s="43">
        <f>Declarații_AMANUNT!B17</f>
        <v>2730</v>
      </c>
      <c r="D32" s="43" t="str">
        <f>"Închidere TVA colectată " &amp; Declarații_AMANUNT!B40</f>
        <v>Închidere TVA colectată — amănunt AM.21 — 2026-07</v>
      </c>
      <c r="E32" s="43" t="str">
        <f>Declarații_AMANUNT!B26</f>
        <v>4426</v>
      </c>
      <c r="F32" s="43">
        <f>Declarații_AMANUNT!B19</f>
        <v>2100</v>
      </c>
      <c r="G32" s="43" t="str">
        <f>"Închidere TVA deductibilă " &amp; Declarații_AMANUNT!B40</f>
        <v>Închidere TVA deductibilă — amănunt AM.21 — 2026-07</v>
      </c>
    </row>
    <row r="33">
      <c r="A33" s="43" t="n">
        <v>2</v>
      </c>
      <c r="B33" s="43" t="n">
        <v>0</v>
      </c>
      <c r="C33" s="43" t="n">
        <v>0</v>
      </c>
      <c r="E33" s="43" t="str">
        <f>Declarații_AMANUNT!B31</f>
        <v>4423</v>
      </c>
      <c r="F33" s="43">
        <f>Declarații_AMANUNT!B17-Declarații_AMANUNT!B19</f>
        <v>630</v>
      </c>
      <c r="G33" s="43" t="str">
        <f>"TVA de plată " &amp; Declarații_AMANUNT!B40</f>
        <v>TVA de plată — amănunt AM.21 — 2026-07</v>
      </c>
    </row>
    <row r="34">
      <c r="A34" s="43" t="inlineStr">
        <is>
          <t>Check B5</t>
        </is>
      </c>
      <c r="B34" s="43">
        <f>C32-(F32+F33)</f>
        <v>0</v>
      </c>
      <c r="C34" s="43" t="str">
        <f>IF(ABS(B34)&lt;0.01,"OK","EROARE")</f>
        <v>OK</v>
      </c>
    </row>
    <row r="36">
      <c r="A36" s="43" t="inlineStr">
        <is>
          <t>Check global</t>
        </is>
      </c>
      <c r="B36" s="43">
        <f>ABS(B9)+ABS(B14)+ABS(B22)+ABS(B28)+ABS(B34)</f>
        <v>0</v>
      </c>
      <c r="C36" s="43" t="str">
        <f>IF(B36&lt;0.01,"OK — toate blocurile se închid","EROARE — cel puțin un bloc dezechilibrat")</f>
        <v>OK — toate blocurile se închid</v>
      </c>
    </row>
    <row r="38">
      <c r="A38" s="42" t="inlineStr">
        <is>
          <t>Corelații (din Declarații)</t>
        </is>
      </c>
    </row>
    <row r="39">
      <c r="A39" s="43" t="str">
        <f>Declarații_AMANUNT!B35</f>
        <v>OK — corelație 1 ține</v>
      </c>
    </row>
    <row r="40">
      <c r="A40" s="43" t="str">
        <f>Declarații_AMANUNT!B37</f>
        <v>OK — corelație 2 ține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8" customWidth="1" style="40" min="2" max="2"/>
    <col width="14" customWidth="1" style="40" min="3" max="3"/>
    <col width="14" customWidth="1" style="40" min="4" max="4"/>
    <col width="14" customWidth="1" style="40" min="5" max="5"/>
    <col width="14" customWidth="1" style="40" min="6" max="6"/>
    <col width="14" customWidth="1" style="40" min="7" max="7"/>
    <col width="12" customWidth="1" style="40" min="8" max="8"/>
    <col width="10" customWidth="1" style="40" min="9" max="9"/>
  </cols>
  <sheetData>
    <row r="1">
      <c r="A1" s="41" t="inlineStr">
        <is>
          <t>MOD_VANZ_AMANUNT — Notă pentru import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B1</t>
        </is>
      </c>
      <c r="C5" s="43" t="str">
        <f>Declarații_AMANUNT!B8</f>
        <v>2026-07-05</v>
      </c>
      <c r="D5" s="43" t="str">
        <f>Jurnale_AMANUNT!B6</f>
        <v>371.AM.21</v>
      </c>
      <c r="E5" s="43" t="str">
        <f>Jurnale_AMANUNT!E6</f>
        <v>401.RO</v>
      </c>
      <c r="F5" s="43">
        <f>Jurnale_AMANUNT!F6</f>
        <v>10000</v>
      </c>
      <c r="G5" s="43" t="inlineStr">
        <is>
          <t>Cost</t>
        </is>
      </c>
      <c r="H5" s="43" t="inlineStr">
        <is>
          <t>Amănunt</t>
        </is>
      </c>
      <c r="I5" s="43" t="str">
        <f>IF(AND(ISNUMBER(F5),F5&gt;0),"DA","NU")</f>
        <v>DA</v>
      </c>
    </row>
    <row r="6">
      <c r="A6" s="43" t="n">
        <v>2</v>
      </c>
      <c r="B6" s="43" t="inlineStr">
        <is>
          <t>B1</t>
        </is>
      </c>
      <c r="C6" s="43" t="str">
        <f>Declarații_AMANUNT!B8</f>
        <v>2026-07-05</v>
      </c>
      <c r="D6" s="43" t="str">
        <f>Jurnale_AMANUNT!B6</f>
        <v>371.AM.21</v>
      </c>
      <c r="E6" s="43" t="str">
        <f>Jurnale_AMANUNT!E7</f>
        <v>378.AM.21</v>
      </c>
      <c r="F6" s="43">
        <f>Jurnale_AMANUNT!F7</f>
        <v>3000</v>
      </c>
      <c r="G6" s="43" t="inlineStr">
        <is>
          <t>Adaos</t>
        </is>
      </c>
      <c r="H6" s="43" t="inlineStr">
        <is>
          <t>Amănunt</t>
        </is>
      </c>
      <c r="I6" s="43" t="str">
        <f>IF(AND(ISNUMBER(F6),F6&gt;0),"DA","NU")</f>
        <v>DA</v>
      </c>
    </row>
    <row r="7">
      <c r="A7" s="43" t="n">
        <v>3</v>
      </c>
      <c r="B7" s="43" t="inlineStr">
        <is>
          <t>B1</t>
        </is>
      </c>
      <c r="C7" s="43" t="str">
        <f>Declarații_AMANUNT!B8</f>
        <v>2026-07-05</v>
      </c>
      <c r="D7" s="43" t="str">
        <f>Jurnale_AMANUNT!B6</f>
        <v>371.AM.21</v>
      </c>
      <c r="E7" s="43" t="str">
        <f>Jurnale_AMANUNT!E8</f>
        <v>4428.AM</v>
      </c>
      <c r="F7" s="43">
        <f>Jurnale_AMANUNT!F8</f>
        <v>2730</v>
      </c>
      <c r="G7" s="43" t="inlineStr">
        <is>
          <t>TVA PVA</t>
        </is>
      </c>
      <c r="H7" s="43" t="inlineStr">
        <is>
          <t>Amănunt</t>
        </is>
      </c>
      <c r="I7" s="43" t="str">
        <f>IF(AND(ISNUMBER(F7),F7&gt;0),"DA","NU")</f>
        <v>DA</v>
      </c>
    </row>
    <row r="8">
      <c r="A8" s="43" t="n">
        <v>4</v>
      </c>
      <c r="B8" s="43" t="inlineStr">
        <is>
          <t>B2</t>
        </is>
      </c>
      <c r="C8" s="43" t="str">
        <f>Declarații_AMANUNT!B8</f>
        <v>2026-07-05</v>
      </c>
      <c r="D8" s="43" t="str">
        <f>Jurnale_AMANUNT!B13</f>
        <v>4426</v>
      </c>
      <c r="E8" s="43" t="str">
        <f>Jurnale_AMANUNT!E13</f>
        <v>401.RO</v>
      </c>
      <c r="F8" s="43">
        <f>Jurnale_AMANUNT!C13</f>
        <v>2100</v>
      </c>
      <c r="G8" s="43" t="inlineStr">
        <is>
          <t>TVA ded</t>
        </is>
      </c>
      <c r="H8" s="43" t="inlineStr">
        <is>
          <t>Amănunt</t>
        </is>
      </c>
      <c r="I8" s="43" t="str">
        <f>IF(AND(ISNUMBER(F8),F8&gt;0),"DA","NU")</f>
        <v>DA</v>
      </c>
    </row>
    <row r="9">
      <c r="A9" s="43" t="n">
        <v>5</v>
      </c>
      <c r="B9" s="43" t="inlineStr">
        <is>
          <t>B3</t>
        </is>
      </c>
      <c r="C9" s="43" t="str">
        <f>Declarații_AMANUNT!B9</f>
        <v>2026-07-31</v>
      </c>
      <c r="D9" s="43" t="str">
        <f>Jurnale_AMANUNT!B19</f>
        <v>607</v>
      </c>
      <c r="E9" s="43" t="str">
        <f>Jurnale_AMANUNT!E19</f>
        <v>371.AM.21</v>
      </c>
      <c r="F9" s="43">
        <f>Jurnale_AMANUNT!C19</f>
        <v>10000</v>
      </c>
      <c r="G9" s="43" t="inlineStr">
        <is>
          <t>Desc cost</t>
        </is>
      </c>
      <c r="H9" s="43" t="inlineStr">
        <is>
          <t>Amănunt</t>
        </is>
      </c>
      <c r="I9" s="43" t="str">
        <f>IF(AND(ISNUMBER(F9),F9&gt;0),"DA","NU")</f>
        <v>DA</v>
      </c>
    </row>
    <row r="10">
      <c r="A10" s="43" t="n">
        <v>6</v>
      </c>
      <c r="B10" s="43" t="inlineStr">
        <is>
          <t>B3</t>
        </is>
      </c>
      <c r="C10" s="43" t="str">
        <f>Declarații_AMANUNT!B9</f>
        <v>2026-07-31</v>
      </c>
      <c r="D10" s="43" t="str">
        <f>Jurnale_AMANUNT!B20</f>
        <v>378.AM.21</v>
      </c>
      <c r="E10" s="43" t="str">
        <f>Jurnale_AMANUNT!E19</f>
        <v>371.AM.21</v>
      </c>
      <c r="F10" s="43">
        <f>Jurnale_AMANUNT!C20</f>
        <v>3000</v>
      </c>
      <c r="G10" s="43" t="inlineStr">
        <is>
          <t>Desc adaos</t>
        </is>
      </c>
      <c r="H10" s="43" t="inlineStr">
        <is>
          <t>Amănunt</t>
        </is>
      </c>
      <c r="I10" s="43" t="str">
        <f>IF(AND(ISNUMBER(F10),F10&gt;0),"DA","NU")</f>
        <v>DA</v>
      </c>
    </row>
    <row r="11">
      <c r="A11" s="43" t="n">
        <v>7</v>
      </c>
      <c r="B11" s="43" t="inlineStr">
        <is>
          <t>B3</t>
        </is>
      </c>
      <c r="C11" s="43" t="str">
        <f>Declarații_AMANUNT!B9</f>
        <v>2026-07-31</v>
      </c>
      <c r="D11" s="43" t="str">
        <f>Jurnale_AMANUNT!B21</f>
        <v>4428.AM</v>
      </c>
      <c r="E11" s="43" t="str">
        <f>Jurnale_AMANUNT!E19</f>
        <v>371.AM.21</v>
      </c>
      <c r="F11" s="43">
        <f>Jurnale_AMANUNT!C21</f>
        <v>2730</v>
      </c>
      <c r="G11" s="43" t="inlineStr">
        <is>
          <t>Desc 4428</t>
        </is>
      </c>
      <c r="H11" s="43" t="inlineStr">
        <is>
          <t>Amănunt</t>
        </is>
      </c>
      <c r="I11" s="43" t="str">
        <f>IF(AND(ISNUMBER(F11),F11&gt;0),"DA","NU")</f>
        <v>DA</v>
      </c>
    </row>
    <row r="12">
      <c r="A12" s="43" t="n">
        <v>8</v>
      </c>
      <c r="B12" s="43" t="inlineStr">
        <is>
          <t>B4</t>
        </is>
      </c>
      <c r="C12" s="43" t="str">
        <f>Declarații_AMANUNT!B9</f>
        <v>2026-07-31</v>
      </c>
      <c r="D12" s="43" t="str">
        <f>Jurnale_AMANUNT!B26</f>
        <v>531.1</v>
      </c>
      <c r="E12" s="43" t="str">
        <f>Jurnale_AMANUNT!E26</f>
        <v>707</v>
      </c>
      <c r="F12" s="43">
        <f>Jurnale_AMANUNT!F26</f>
        <v>13000</v>
      </c>
      <c r="G12" s="43" t="inlineStr">
        <is>
          <t>Venit</t>
        </is>
      </c>
      <c r="H12" s="43" t="inlineStr">
        <is>
          <t>Amănunt</t>
        </is>
      </c>
      <c r="I12" s="43" t="str">
        <f>IF(AND(ISNUMBER(F12),F12&gt;0),"DA","NU")</f>
        <v>DA</v>
      </c>
    </row>
    <row r="13">
      <c r="A13" s="43" t="n">
        <v>9</v>
      </c>
      <c r="B13" s="43" t="inlineStr">
        <is>
          <t>B4</t>
        </is>
      </c>
      <c r="C13" s="43" t="str">
        <f>Declarații_AMANUNT!B9</f>
        <v>2026-07-31</v>
      </c>
      <c r="D13" s="43" t="str">
        <f>Jurnale_AMANUNT!B26</f>
        <v>531.1</v>
      </c>
      <c r="E13" s="43" t="str">
        <f>Jurnale_AMANUNT!E27</f>
        <v>4427</v>
      </c>
      <c r="F13" s="43">
        <f>Jurnale_AMANUNT!F27</f>
        <v>2730</v>
      </c>
      <c r="G13" s="43" t="inlineStr">
        <is>
          <t>TVA col</t>
        </is>
      </c>
      <c r="H13" s="43" t="inlineStr">
        <is>
          <t>Amănunt</t>
        </is>
      </c>
      <c r="I13" s="43" t="str">
        <f>IF(AND(ISNUMBER(F13),F13&gt;0),"DA","NU")</f>
        <v>DA</v>
      </c>
    </row>
    <row r="14">
      <c r="A14" s="43" t="n">
        <v>10</v>
      </c>
      <c r="B14" s="43" t="inlineStr">
        <is>
          <t>B5</t>
        </is>
      </c>
      <c r="C14" s="43" t="str">
        <f>Declarații_AMANUNT!B9</f>
        <v>2026-07-31</v>
      </c>
      <c r="D14" s="43" t="str">
        <f>Jurnale_AMANUNT!B32</f>
        <v>4427</v>
      </c>
      <c r="E14" s="43" t="str">
        <f>Jurnale_AMANUNT!E32</f>
        <v>4426</v>
      </c>
      <c r="F14" s="43">
        <f>Jurnale_AMANUNT!F32</f>
        <v>2100</v>
      </c>
      <c r="G14" s="43" t="inlineStr">
        <is>
          <t>Înch 4426</t>
        </is>
      </c>
      <c r="H14" s="43" t="inlineStr">
        <is>
          <t>Amănunt</t>
        </is>
      </c>
      <c r="I14" s="43" t="str">
        <f>IF(AND(ISNUMBER(F14),F14&gt;0),"DA","NU")</f>
        <v>DA</v>
      </c>
    </row>
    <row r="15">
      <c r="A15" s="43" t="n">
        <v>11</v>
      </c>
      <c r="B15" s="43" t="inlineStr">
        <is>
          <t>B5</t>
        </is>
      </c>
      <c r="C15" s="43" t="str">
        <f>Declarații_AMANUNT!B9</f>
        <v>2026-07-31</v>
      </c>
      <c r="D15" s="43" t="str">
        <f>Jurnale_AMANUNT!B32</f>
        <v>4427</v>
      </c>
      <c r="E15" s="43" t="str">
        <f>Jurnale_AMANUNT!E33</f>
        <v>4423</v>
      </c>
      <c r="F15" s="43">
        <f>Jurnale_AMANUNT!F33</f>
        <v>630</v>
      </c>
      <c r="G15" s="43" t="inlineStr">
        <is>
          <t>TVA plată</t>
        </is>
      </c>
      <c r="H15" s="43" t="inlineStr">
        <is>
          <t>Amănunt</t>
        </is>
      </c>
      <c r="I15" s="43" t="str">
        <f>IF(AND(ISNUMBER(F15),F15&gt;0),"DA","NU")</f>
        <v>DA</v>
      </c>
    </row>
    <row r="17">
      <c r="A17" s="43" t="inlineStr">
        <is>
          <t>Check global</t>
        </is>
      </c>
      <c r="B17" s="43">
        <f>Jurnale_AMANUNT!B36</f>
        <v>0</v>
      </c>
      <c r="C17" s="43" t="str">
        <f>IF(ABS(B17)&lt;0.01,"OK","EROARE")</f>
        <v>OK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50" customWidth="1" style="40" min="1" max="1"/>
    <col width="22" customWidth="1" style="40" min="2" max="2"/>
    <col width="60" customWidth="1" style="40" min="3" max="3"/>
  </cols>
  <sheetData>
    <row r="1">
      <c r="A1" s="41" t="inlineStr">
        <is>
          <t>MOD_IMPORT — Declarații (input)</t>
        </is>
      </c>
    </row>
    <row r="2">
      <c r="A2" s="44" t="inlineStr">
        <is>
          <t>Două căi alternative. De regulă se aplică una singură pe un import — pune DA pe cea folosită.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CUI</t>
        </is>
      </c>
      <c r="B6" s="43" t="str">
        <f>Parametri!B6</f>
        <v>RO00000000</v>
      </c>
    </row>
    <row r="7">
      <c r="A7" s="43" t="inlineStr">
        <is>
          <t>Luna (AAAA-LL)</t>
        </is>
      </c>
      <c r="B7" s="64" t="inlineStr">
        <is>
          <t>2026-07</t>
        </is>
      </c>
    </row>
    <row r="8">
      <c r="A8" s="43" t="inlineStr">
        <is>
          <t>Data jurnal (DVI)</t>
        </is>
      </c>
      <c r="B8" s="64" t="inlineStr">
        <is>
          <t>2026-07-31</t>
        </is>
      </c>
    </row>
    <row r="9">
      <c r="A9" s="43" t="inlineStr">
        <is>
          <t>Cota TVA</t>
        </is>
      </c>
      <c r="B9" s="64" t="n">
        <v>0.21</v>
      </c>
    </row>
    <row r="11">
      <c r="A11" s="42" t="inlineStr">
        <is>
          <t>2. Calea A — Import prin comisionar</t>
        </is>
      </c>
    </row>
    <row r="12">
      <c r="A12" s="43" t="inlineStr">
        <is>
          <t>Se aplică? (DA/NU)</t>
        </is>
      </c>
      <c r="B12" s="64" t="inlineStr">
        <is>
          <t>DA</t>
        </is>
      </c>
    </row>
    <row r="13">
      <c r="A13" s="43" t="inlineStr">
        <is>
          <t>Furnizor extern</t>
        </is>
      </c>
      <c r="B13" s="64" t="inlineStr">
        <is>
          <t>Furnizor EXT DEMO</t>
        </is>
      </c>
    </row>
    <row r="14">
      <c r="A14" s="43" t="inlineStr">
        <is>
          <t>Comisionar vamal</t>
        </is>
      </c>
      <c r="B14" s="64" t="inlineStr">
        <is>
          <t>Comisionar DEMO</t>
        </is>
      </c>
    </row>
    <row r="15">
      <c r="A15" s="43" t="inlineStr">
        <is>
          <t>Valoarea mărfii (lei)</t>
        </is>
      </c>
      <c r="B15" s="64" t="n">
        <v>100000</v>
      </c>
      <c r="C15" s="44" t="inlineStr">
        <is>
          <t>15.000–20.000 EUR × cursul de la data DVI</t>
        </is>
      </c>
    </row>
    <row r="16">
      <c r="A16" s="43" t="inlineStr">
        <is>
          <t>Taxe vamale</t>
        </is>
      </c>
      <c r="B16" s="64" t="n">
        <v>3000</v>
      </c>
    </row>
    <row r="17">
      <c r="A17" s="43" t="inlineStr">
        <is>
          <t>Transport INTERN (după vămuire)</t>
        </is>
      </c>
      <c r="B17" s="64" t="n">
        <v>2000</v>
      </c>
      <c r="C17" s="44" t="inlineStr">
        <is>
          <t>Intră în COST, dar NU în baza TVA vamală</t>
        </is>
      </c>
    </row>
    <row r="18">
      <c r="A18" s="43" t="inlineStr">
        <is>
          <t>Baza TVA vamală (auto) = marfă + taxe</t>
        </is>
      </c>
      <c r="B18" s="43">
        <f>B15+B16</f>
        <v>103000</v>
      </c>
      <c r="C18" s="44" t="inlineStr">
        <is>
          <t>Fără transportul intern — acela are TVA-ul lui pe factura transportatorului</t>
        </is>
      </c>
    </row>
    <row r="19">
      <c r="A19" s="43" t="inlineStr">
        <is>
          <t>TVA vamală (auto)</t>
        </is>
      </c>
      <c r="B19" s="43">
        <f>ROUND(B18*B9,2)</f>
        <v>21630</v>
      </c>
    </row>
    <row r="20">
      <c r="A20" s="43" t="inlineStr">
        <is>
          <t>Costul final al stocului (auto)</t>
        </is>
      </c>
      <c r="B20" s="43">
        <f>B15+B16+B17</f>
        <v>105000</v>
      </c>
    </row>
    <row r="22">
      <c r="A22" s="42" t="inlineStr">
        <is>
          <t>3. Calea B — Import cu plată directă în vamă</t>
        </is>
      </c>
    </row>
    <row r="23">
      <c r="A23" s="43" t="inlineStr">
        <is>
          <t>Se aplică? (DA/NU)</t>
        </is>
      </c>
      <c r="B23" s="64" t="inlineStr">
        <is>
          <t>DA</t>
        </is>
      </c>
    </row>
    <row r="24">
      <c r="A24" s="43" t="inlineStr">
        <is>
          <t>Furnizor extern</t>
        </is>
      </c>
      <c r="B24" s="64" t="inlineStr">
        <is>
          <t>Furnizor EXT DEMO 2</t>
        </is>
      </c>
    </row>
    <row r="25">
      <c r="A25" s="43" t="inlineStr">
        <is>
          <t>Valoarea mărfii (lei)</t>
        </is>
      </c>
      <c r="B25" s="64" t="n">
        <v>50000</v>
      </c>
    </row>
    <row r="26">
      <c r="A26" s="43" t="inlineStr">
        <is>
          <t>Taxe vamale (plătite direct)</t>
        </is>
      </c>
      <c r="B26" s="64" t="n">
        <v>2000</v>
      </c>
    </row>
    <row r="27">
      <c r="A27" s="43" t="inlineStr">
        <is>
          <t>Baza TVA vamală (auto) = marfă + taxe</t>
        </is>
      </c>
      <c r="B27" s="43">
        <f>B25+B26</f>
        <v>52000</v>
      </c>
    </row>
    <row r="28">
      <c r="A28" s="43" t="inlineStr">
        <is>
          <t>TVA vamală (auto)</t>
        </is>
      </c>
      <c r="B28" s="43">
        <f>ROUND(B27*B9,2)</f>
        <v>10920</v>
      </c>
    </row>
    <row r="29">
      <c r="A29" s="43" t="inlineStr">
        <is>
          <t>Costul final al stocului (auto)</t>
        </is>
      </c>
      <c r="B29" s="43">
        <f>B25+B26</f>
        <v>52000</v>
      </c>
    </row>
    <row r="31">
      <c r="A31" s="42" t="inlineStr">
        <is>
          <t>4. Conturi</t>
        </is>
      </c>
    </row>
    <row r="32">
      <c r="A32" s="43" t="inlineStr">
        <is>
          <t>Cont stoc</t>
        </is>
      </c>
      <c r="B32" s="64" t="inlineStr">
        <is>
          <t>371</t>
        </is>
      </c>
    </row>
    <row r="33">
      <c r="A33" s="43" t="inlineStr">
        <is>
          <t>Furnizor extern</t>
        </is>
      </c>
      <c r="B33" s="64" t="inlineStr">
        <is>
          <t>401.EXT</t>
        </is>
      </c>
    </row>
    <row r="34">
      <c r="A34" s="43" t="inlineStr">
        <is>
          <t>Intermediar TVA vamală</t>
        </is>
      </c>
      <c r="B34" s="64" t="inlineStr">
        <is>
          <t>446.VAMA</t>
        </is>
      </c>
    </row>
    <row r="35">
      <c r="A35" s="43" t="inlineStr">
        <is>
          <t>Furnizor comisionar</t>
        </is>
      </c>
      <c r="B35" s="64" t="inlineStr">
        <is>
          <t>401</t>
        </is>
      </c>
    </row>
    <row r="36">
      <c r="A36" s="43" t="inlineStr">
        <is>
          <t>Furnizor intern / transport</t>
        </is>
      </c>
      <c r="B36" s="64" t="inlineStr">
        <is>
          <t>401.RO</t>
        </is>
      </c>
    </row>
    <row r="37">
      <c r="A37" s="43" t="inlineStr">
        <is>
          <t>TVA deductibilă</t>
        </is>
      </c>
      <c r="B37" s="64" t="inlineStr">
        <is>
          <t>4426</t>
        </is>
      </c>
    </row>
    <row r="38">
      <c r="A38" s="43" t="inlineStr">
        <is>
          <t>Bancă</t>
        </is>
      </c>
      <c r="B38" s="64" t="inlineStr">
        <is>
          <t>512.1</t>
        </is>
      </c>
    </row>
    <row r="40">
      <c r="A40" s="42" t="inlineStr">
        <is>
          <t>5. Sufix</t>
        </is>
      </c>
    </row>
    <row r="41">
      <c r="A41" s="43" t="inlineStr">
        <is>
          <t>Sufix</t>
        </is>
      </c>
      <c r="B41" s="43" t="str">
        <f>"— import " &amp; B7</f>
        <v>— import 2026-07</v>
      </c>
    </row>
    <row r="43">
      <c r="A43" s="42" t="inlineStr">
        <is>
          <t>6. Control</t>
        </is>
      </c>
    </row>
    <row r="44">
      <c r="A44" s="43" t="inlineStr">
        <is>
          <t>Modul activ?</t>
        </is>
      </c>
      <c r="B44" s="43" t="str">
        <f>IF(INDEX(CatalogModule!$A$1:$A$200,MATCH("MOD_IMPORT",CatalogModule!$B$1:$B$200,0))="DA","ACTIV","INACTIV")</f>
        <v>INACTIV</v>
      </c>
    </row>
    <row r="45">
      <c r="A45" s="43" t="inlineStr">
        <is>
          <t>Verificare: baza TVA exclude transportul intern</t>
        </is>
      </c>
      <c r="B45" s="43" t="str">
        <f>IF(OR(B12&lt;&gt;"DA",ABS(B18-(B20-B17))&lt;0.01),"OK — baza = marfă + taxe, fără transportul intern","EROARE — transportul intern a intrat în baza TVA")</f>
        <v>OK — baza = marfă + taxe, fără transportul intern</v>
      </c>
    </row>
    <row r="46">
      <c r="A46" s="43" t="inlineStr">
        <is>
          <t>Cât ar costa greșeala (informativ)</t>
        </is>
      </c>
      <c r="B46" s="43" t="str">
        <f>IF(B12="DA","TVA calculată pe cost în loc de bază: +" &amp; TEXT(ROUND(B17*B9,2),"0.00") &amp; " lei dedusă de două ori","—")</f>
        <v>TVA calculată pe cost în loc de bază: +420.00 lei dedusă de două ori</v>
      </c>
      <c r="C46" s="44" t="inlineStr">
        <is>
          <t>Transportul intern are deja TVA pe factura transportatorului</t>
        </is>
      </c>
    </row>
    <row r="47">
      <c r="A47" s="43" t="inlineStr">
        <is>
          <t>Cale aleasă</t>
        </is>
      </c>
      <c r="B47" s="43" t="str">
        <f>IF(AND(B12="DA",B23="DA"),"ATENȚIE — de regulă un import merge pe o singură cale",IF(B12="DA","Prin comisionar — 446.VAMA se stinge",IF(B23="DA","Plată directă — fără intermediar","—")))</f>
        <v>ATENȚIE — de regulă un import merge pe o singură cale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4" customWidth="1" style="40" min="1" max="1"/>
    <col width="16" customWidth="1" style="40" min="2" max="2"/>
    <col width="22" customWidth="1" style="40" min="3" max="3"/>
    <col width="58" customWidth="1" style="40" min="4" max="4"/>
  </cols>
  <sheetData>
    <row r="1">
      <c r="A1" s="41" t="inlineStr">
        <is>
          <t>MOD_IMPORT — Reguli (tabele fixe)</t>
        </is>
      </c>
    </row>
    <row r="2">
      <c r="A2" s="44" t="inlineStr">
        <is>
          <t>Regula e dată, nu formulă. Tabelul A e cel care se citește cel mai des: spune ce intră unde.</t>
        </is>
      </c>
    </row>
    <row r="4">
      <c r="A4" s="42" t="inlineStr">
        <is>
          <t>Tabel A — Ce intră în cost și ce intră în baza TVA vamală</t>
        </is>
      </c>
    </row>
    <row r="5">
      <c r="A5" s="65" t="inlineStr">
        <is>
          <t>Element</t>
        </is>
      </c>
      <c r="B5" s="65" t="inlineStr">
        <is>
          <t>În cost?</t>
        </is>
      </c>
      <c r="C5" s="65" t="inlineStr">
        <is>
          <t>În baza TVA?</t>
        </is>
      </c>
      <c r="D5" s="65" t="inlineStr">
        <is>
          <t>Observație</t>
        </is>
      </c>
    </row>
    <row r="6">
      <c r="A6" s="43" t="inlineStr">
        <is>
          <t>Valoarea mărfii de pe factura externă</t>
        </is>
      </c>
      <c r="B6" s="43" t="inlineStr">
        <is>
          <t>DA</t>
        </is>
      </c>
      <c r="C6" s="43" t="inlineStr">
        <is>
          <t>DA</t>
        </is>
      </c>
      <c r="D6" s="43" t="inlineStr">
        <is>
          <t>Convertită la cursul de la data DVI</t>
        </is>
      </c>
    </row>
    <row r="7">
      <c r="A7" s="43" t="inlineStr">
        <is>
          <t>Taxe vamale</t>
        </is>
      </c>
      <c r="B7" s="43" t="inlineStr">
        <is>
          <t>DA</t>
        </is>
      </c>
      <c r="C7" s="43" t="inlineStr">
        <is>
          <t>DA</t>
        </is>
      </c>
      <c r="D7" s="43" t="inlineStr">
        <is>
          <t>Sunt parte din baza de impozitare la import</t>
        </is>
      </c>
    </row>
    <row r="8">
      <c r="A8" s="43" t="inlineStr">
        <is>
          <t>Comisioane vamale, taxe de manipulare</t>
        </is>
      </c>
      <c r="B8" s="43" t="inlineStr">
        <is>
          <t>DA</t>
        </is>
      </c>
      <c r="C8" s="43" t="inlineStr">
        <is>
          <t>DA</t>
        </is>
      </c>
      <c r="D8" s="43" t="inlineStr">
        <is>
          <t>Dacă apar pe DVI, urmează același regim ca taxele</t>
        </is>
      </c>
    </row>
    <row r="9">
      <c r="A9" s="43" t="inlineStr">
        <is>
          <t>Transport EXTERN, până la frontieră</t>
        </is>
      </c>
      <c r="B9" s="43" t="inlineStr">
        <is>
          <t>DA</t>
        </is>
      </c>
      <c r="C9" s="43" t="inlineStr">
        <is>
          <t>DA</t>
        </is>
      </c>
      <c r="D9" s="43" t="inlineStr">
        <is>
          <t>Intră în baza vamală dacă e până la primul loc de destinație din UE</t>
        </is>
      </c>
    </row>
    <row r="10">
      <c r="A10" s="43" t="inlineStr">
        <is>
          <t>Transport INTERN, după vămuire</t>
        </is>
      </c>
      <c r="B10" s="43" t="inlineStr">
        <is>
          <t>DA</t>
        </is>
      </c>
      <c r="C10" s="43" t="inlineStr">
        <is>
          <t>NU</t>
        </is>
      </c>
      <c r="D10" s="43" t="inlineStr">
        <is>
          <t>Cost de achiziție, dar are TVA-ul lui pe factura transportatorului</t>
        </is>
      </c>
    </row>
    <row r="11">
      <c r="A11" s="43" t="inlineStr">
        <is>
          <t>TVA-ul vamal însuși</t>
        </is>
      </c>
      <c r="B11" s="43" t="inlineStr">
        <is>
          <t>NU</t>
        </is>
      </c>
      <c r="C11" s="43" t="inlineStr">
        <is>
          <t>—</t>
        </is>
      </c>
      <c r="D11" s="43" t="inlineStr">
        <is>
          <t>Merge pe 4426, nu în costul stocului</t>
        </is>
      </c>
    </row>
    <row r="12">
      <c r="A12" s="44" t="inlineStr">
        <is>
          <t>Cele două coloane NU coincid. Transportul intern e singurul element care intră în cost fără să intre în bază — acolo se face greșeala.</t>
        </is>
      </c>
    </row>
    <row r="14">
      <c r="A14" s="42" t="inlineStr">
        <is>
          <t>Tabel B — Cele două căi</t>
        </is>
      </c>
    </row>
    <row r="15">
      <c r="A15" s="65" t="inlineStr">
        <is>
          <t>Cale</t>
        </is>
      </c>
      <c r="B15" s="65" t="inlineStr">
        <is>
          <t>Cine plătește TVA în vamă</t>
        </is>
      </c>
      <c r="C15" s="65" t="inlineStr">
        <is>
          <t>Cont folosit</t>
        </is>
      </c>
      <c r="D15" s="65" t="inlineStr">
        <is>
          <t>Stare terminală</t>
        </is>
      </c>
    </row>
    <row r="16">
      <c r="A16" s="43" t="inlineStr">
        <is>
          <t>Prin comisionar</t>
        </is>
      </c>
      <c r="B16" s="43" t="inlineStr">
        <is>
          <t>Comisionarul avansează TVA-ul</t>
        </is>
      </c>
      <c r="C16" s="43" t="inlineStr">
        <is>
          <t>446.VAMA — intermediar, până la stingerea datoriei</t>
        </is>
      </c>
      <c r="D16" s="43" t="inlineStr">
        <is>
          <t>446.VAMA: rulaj D = rulaj C, sold 0</t>
        </is>
      </c>
    </row>
    <row r="17">
      <c r="A17" s="43" t="inlineStr">
        <is>
          <t>Plată directă în vamă</t>
        </is>
      </c>
      <c r="B17" s="43" t="inlineStr">
        <is>
          <t>Firma, din contul propriu</t>
        </is>
      </c>
      <c r="C17" s="43" t="inlineStr">
        <is>
          <t>Fără intermediar — direct 4426 = 512</t>
        </is>
      </c>
      <c r="D17" s="43" t="inlineStr">
        <is>
          <t>401.EXT rămâne doar cu valoarea mărfii</t>
        </is>
      </c>
    </row>
    <row r="19">
      <c r="A19" s="42" t="inlineStr">
        <is>
          <t>Tabel C — Porți de calitate</t>
        </is>
      </c>
    </row>
    <row r="20">
      <c r="A20" s="44" t="inlineStr">
        <is>
          <t>• ΣDr = ΣCr pe fiecare bloc</t>
        </is>
      </c>
    </row>
    <row r="21">
      <c r="A21" s="44" t="inlineStr">
        <is>
          <t>• Baza TVA vamală = valoarea mărfii + taxele vamale, NU costul complet</t>
        </is>
      </c>
    </row>
    <row r="22">
      <c r="A22" s="44" t="inlineStr">
        <is>
          <t>• 446.VAMA: rulaj debitor = rulaj creditor, sold 0. Un sold rămas înseamnă datorie nestinsă față de comisionarul care a avansat TVA-ul</t>
        </is>
      </c>
    </row>
    <row r="23">
      <c r="A23" s="44" t="inlineStr">
        <is>
          <t>• 401.EXT rămâne doar cu valoarea mărfii — taxele și TVA-ul nu se datorează furnizorului extern</t>
        </is>
      </c>
    </row>
    <row r="24">
      <c r="A24" s="44" t="inlineStr">
        <is>
          <t>• TVA-ul vamal merge pe 4426 și se închide lunar ca oricare altul (vezi MOD_INCHIDERE_TVA); nu intră niciodată în costul stocului</t>
        </is>
      </c>
    </row>
    <row r="26">
      <c r="A26" s="42" t="inlineStr">
        <is>
          <t>Temei legal</t>
        </is>
      </c>
    </row>
    <row r="27">
      <c r="A27" s="65" t="inlineStr">
        <is>
          <t>Ce se sprijină pe el</t>
        </is>
      </c>
      <c r="B27" s="65" t="inlineStr">
        <is>
          <t>Temei</t>
        </is>
      </c>
    </row>
    <row r="28">
      <c r="A28" s="43" t="inlineStr">
        <is>
          <t>Baza de impozitare la import = valoarea în vamă + taxele vamale datorate</t>
        </is>
      </c>
      <c r="B28" s="43" t="inlineStr">
        <is>
          <t>art. 289 Cod fiscal</t>
        </is>
      </c>
    </row>
    <row r="29">
      <c r="A29" s="43" t="inlineStr">
        <is>
          <t>Taxele vamale intră în costul de achiziție al stocului</t>
        </is>
      </c>
      <c r="B29" s="43" t="inlineStr">
        <is>
          <t>OMFP 1802/2014, pct. 8 — costul include taxele nerecuperabile</t>
        </is>
      </c>
    </row>
    <row r="30">
      <c r="A30" s="43" t="inlineStr">
        <is>
          <t>Transportul intern e cost de achiziție, dar nu intră în baza vamală</t>
        </is>
      </c>
      <c r="B30" s="43" t="inlineStr">
        <is>
          <t>art. 289 CF (baza vamală) coroborat cu OMFP 1802/2014, pct. 8 (costul)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6" customWidth="1" style="40" min="1" max="1"/>
    <col width="16" customWidth="1" style="40" min="2" max="2"/>
    <col width="14" customWidth="1" style="40" min="3" max="3"/>
    <col width="52" customWidth="1" style="40" min="4" max="4"/>
    <col width="16" customWidth="1" style="40" min="5" max="5"/>
    <col width="14" customWidth="1" style="40" min="6" max="6"/>
    <col width="52" customWidth="1" style="40" min="7" max="7"/>
  </cols>
  <sheetData>
    <row r="1">
      <c r="A1" s="41" t="inlineStr">
        <is>
          <t>MOD_IMPORT — Jurnale (generate automat)</t>
        </is>
      </c>
    </row>
    <row r="2">
      <c r="A2" s="44" t="inlineStr">
        <is>
          <t>Calea A are exact două note pentru TVA-ul vamal: una îl aduce pe 4426 prin intermediar, alta stinge intermediarul. Sărită a doua, 446.VAMA rămâne deschis la infinit.</t>
        </is>
      </c>
    </row>
    <row r="4">
      <c r="A4" s="42" t="inlineStr">
        <is>
          <t>Bloc A — Import prin comisionar</t>
        </is>
      </c>
    </row>
    <row r="5">
      <c r="A5" s="43" t="inlineStr">
        <is>
          <t>Data:</t>
        </is>
      </c>
      <c r="B5" s="43" t="str">
        <f>Declarații_IMPORT!B8</f>
        <v>2026-07-31</v>
      </c>
    </row>
    <row r="6">
      <c r="A6" s="65" t="inlineStr">
        <is>
          <t>Nr</t>
        </is>
      </c>
      <c r="B6" s="65" t="inlineStr">
        <is>
          <t>Cont Dr</t>
        </is>
      </c>
      <c r="C6" s="65" t="inlineStr">
        <is>
          <t>Sumă Dr</t>
        </is>
      </c>
      <c r="D6" s="65" t="inlineStr">
        <is>
          <t>Descriere Dr</t>
        </is>
      </c>
      <c r="E6" s="65" t="inlineStr">
        <is>
          <t>Cont Cr</t>
        </is>
      </c>
      <c r="F6" s="65" t="inlineStr">
        <is>
          <t>Sumă Cr</t>
        </is>
      </c>
      <c r="G6" s="65" t="inlineStr">
        <is>
          <t>Descriere Cr</t>
        </is>
      </c>
    </row>
    <row r="7">
      <c r="A7" s="43" t="n">
        <v>1</v>
      </c>
      <c r="B7" s="43" t="str">
        <f>Declarații_IMPORT!B32</f>
        <v>371</v>
      </c>
      <c r="C7" s="43">
        <f>IF(Declarații_IMPORT!B12="DA",Declarații_IMPORT!B15,0)</f>
        <v>100000</v>
      </c>
      <c r="D7" s="43" t="str">
        <f>"Marfă din import (doar valoarea externă) " &amp; Declarații_IMPORT!B41</f>
        <v>Marfă din import (doar valoarea externă) — import 2026-07</v>
      </c>
      <c r="E7" s="43" t="str">
        <f>Declarații_IMPORT!B33</f>
        <v>401.EXT</v>
      </c>
      <c r="F7" s="43">
        <f>IF(Declarații_IMPORT!B12="DA",Declarații_IMPORT!B15,0)</f>
        <v>100000</v>
      </c>
      <c r="G7" s="43" t="str">
        <f>"Datorie furnizor extern " &amp; Declarații_IMPORT!B41</f>
        <v>Datorie furnizor extern — import 2026-07</v>
      </c>
    </row>
    <row r="8">
      <c r="A8" s="43" t="inlineStr">
        <is>
          <t>Check A1 (factura externă)</t>
        </is>
      </c>
      <c r="B8" s="43">
        <f>C7-F7</f>
        <v>0</v>
      </c>
      <c r="C8" s="43" t="str">
        <f>IF(ABS(B8)&lt;0.01,"OK","EROARE")</f>
        <v>OK</v>
      </c>
    </row>
    <row r="9">
      <c r="A9" s="43" t="n">
        <v>2</v>
      </c>
      <c r="B9" s="43" t="str">
        <f>Declarații_IMPORT!B37</f>
        <v>4426</v>
      </c>
      <c r="C9" s="43">
        <f>IF(Declarații_IMPORT!B12="DA",Declarații_IMPORT!B19,0)</f>
        <v>21630</v>
      </c>
      <c r="D9" s="43" t="str">
        <f>"TVA vamală, avansată de comisionar " &amp; Declarații_IMPORT!B41</f>
        <v>TVA vamală, avansată de comisionar — import 2026-07</v>
      </c>
      <c r="E9" s="43" t="str">
        <f>Declarații_IMPORT!B34</f>
        <v>446.VAMA</v>
      </c>
      <c r="F9" s="43">
        <f>IF(Declarații_IMPORT!B12="DA",Declarații_IMPORT!B19,0)</f>
        <v>21630</v>
      </c>
      <c r="G9" s="43" t="str">
        <f>"Intermediar 446.VAMA (pas revelator) " &amp; Declarații_IMPORT!B41</f>
        <v>Intermediar 446.VAMA (pas revelator) — import 2026-07</v>
      </c>
    </row>
    <row r="10">
      <c r="A10" s="43" t="inlineStr">
        <is>
          <t>Check A2 (TVA prin intermediar)</t>
        </is>
      </c>
      <c r="B10" s="43">
        <f>C9-F9</f>
        <v>0</v>
      </c>
      <c r="C10" s="43" t="str">
        <f>IF(ABS(B10)&lt;0.01,"OK","EROARE")</f>
        <v>OK</v>
      </c>
    </row>
    <row r="11">
      <c r="A11" s="43" t="n">
        <v>3</v>
      </c>
      <c r="B11" s="43" t="str">
        <f>Declarații_IMPORT!B34</f>
        <v>446.VAMA</v>
      </c>
      <c r="C11" s="43">
        <f>IF(Declarații_IMPORT!B12="DA",Declarații_IMPORT!B19,0)</f>
        <v>21630</v>
      </c>
      <c r="D11" s="43" t="str">
        <f>"Stingerea intermediarului " &amp; Declarații_IMPORT!B41</f>
        <v>Stingerea intermediarului — import 2026-07</v>
      </c>
      <c r="E11" s="43" t="str">
        <f>Declarații_IMPORT!B35</f>
        <v>401</v>
      </c>
      <c r="F11" s="43">
        <f>IF(Declarații_IMPORT!B12="DA",Declarații_IMPORT!B19,0)</f>
        <v>21630</v>
      </c>
      <c r="G11" s="43" t="str">
        <f>"Datorie reală față de comisionar " &amp; Declarații_IMPORT!B41</f>
        <v>Datorie reală față de comisionar — import 2026-07</v>
      </c>
    </row>
    <row r="12">
      <c r="A12" s="43" t="inlineStr">
        <is>
          <t>Check A3 (stingerea intermediarului)</t>
        </is>
      </c>
      <c r="B12" s="43">
        <f>C11-F11</f>
        <v>0</v>
      </c>
      <c r="C12" s="43" t="str">
        <f>IF(ABS(B12)&lt;0.01,"OK","EROARE")</f>
        <v>OK</v>
      </c>
    </row>
    <row r="13">
      <c r="A13" s="43" t="n">
        <v>4</v>
      </c>
      <c r="B13" s="43" t="str">
        <f>Declarații_IMPORT!B32</f>
        <v>371</v>
      </c>
      <c r="C13" s="43">
        <f>IF(Declarații_IMPORT!B12="DA",Declarații_IMPORT!B16,0)</f>
        <v>3000</v>
      </c>
      <c r="D13" s="43" t="str">
        <f>"Taxe vamale în costul stocului " &amp; Declarații_IMPORT!B41</f>
        <v>Taxe vamale în costul stocului — import 2026-07</v>
      </c>
      <c r="E13" s="43" t="str">
        <f>Declarații_IMPORT!B36</f>
        <v>401.RO</v>
      </c>
      <c r="F13" s="43">
        <f>IF(Declarații_IMPORT!B12="DA",Declarații_IMPORT!B16,0)</f>
        <v>3000</v>
      </c>
      <c r="G13" s="43" t="str">
        <f>"Datorie taxe vamale " &amp; Declarații_IMPORT!B41</f>
        <v>Datorie taxe vamale — import 2026-07</v>
      </c>
    </row>
    <row r="14">
      <c r="A14" s="43" t="n">
        <v>5</v>
      </c>
      <c r="B14" s="43" t="str">
        <f>Declarații_IMPORT!B32</f>
        <v>371</v>
      </c>
      <c r="C14" s="43">
        <f>IF(Declarații_IMPORT!B12="DA",Declarații_IMPORT!B17,0)</f>
        <v>2000</v>
      </c>
      <c r="D14" s="43" t="str">
        <f>"Transport intern în cost (NU în baza TVA) " &amp; Declarații_IMPORT!B41</f>
        <v>Transport intern în cost (NU în baza TVA) — import 2026-07</v>
      </c>
      <c r="E14" s="43" t="str">
        <f>Declarații_IMPORT!B36</f>
        <v>401.RO</v>
      </c>
      <c r="F14" s="43">
        <f>IF(Declarații_IMPORT!B12="DA",Declarații_IMPORT!B17,0)</f>
        <v>2000</v>
      </c>
      <c r="G14" s="43" t="str">
        <f>"Datorie transportator " &amp; Declarații_IMPORT!B41</f>
        <v>Datorie transportator — import 2026-07</v>
      </c>
    </row>
    <row r="15">
      <c r="A15" s="43" t="inlineStr">
        <is>
          <t>Check A4 (taxe + transport în cost)</t>
        </is>
      </c>
      <c r="B15" s="43">
        <f>(C13+C14)-(F13+F14)</f>
        <v>0</v>
      </c>
      <c r="C15" s="43" t="str">
        <f>IF(ABS(B15)&lt;0.01,"OK","EROARE")</f>
        <v>OK</v>
      </c>
    </row>
    <row r="16">
      <c r="A16" s="43" t="inlineStr">
        <is>
          <t>Check A5 (446.VAMA sold 0)</t>
        </is>
      </c>
      <c r="B16" s="43">
        <f>F9-C11</f>
        <v>0</v>
      </c>
      <c r="C16" s="43" t="str">
        <f>IF(ABS(B16)&lt;0.01,"OK — 446.VAMA rulaj D = rulaj C, sold 0","EROARE — intermediarul rămâne deschis")</f>
        <v>OK — 446.VAMA rulaj D = rulaj C, sold 0</v>
      </c>
    </row>
    <row r="18">
      <c r="A18" s="42" t="inlineStr">
        <is>
          <t>Bloc B — Import cu plată directă în vamă</t>
        </is>
      </c>
    </row>
    <row r="19">
      <c r="A19" s="65" t="inlineStr">
        <is>
          <t>Nr</t>
        </is>
      </c>
      <c r="B19" s="65" t="inlineStr">
        <is>
          <t>Cont Dr</t>
        </is>
      </c>
      <c r="C19" s="65" t="inlineStr">
        <is>
          <t>Sumă Dr</t>
        </is>
      </c>
      <c r="D19" s="65" t="inlineStr">
        <is>
          <t>Descriere Dr</t>
        </is>
      </c>
      <c r="E19" s="65" t="inlineStr">
        <is>
          <t>Cont Cr</t>
        </is>
      </c>
      <c r="F19" s="65" t="inlineStr">
        <is>
          <t>Sumă Cr</t>
        </is>
      </c>
      <c r="G19" s="65" t="inlineStr">
        <is>
          <t>Descriere Cr</t>
        </is>
      </c>
    </row>
    <row r="20">
      <c r="A20" s="43" t="n">
        <v>1</v>
      </c>
      <c r="B20" s="43" t="str">
        <f>Declarații_IMPORT!B32</f>
        <v>371</v>
      </c>
      <c r="C20" s="43">
        <f>IF(Declarații_IMPORT!B23="DA",Declarații_IMPORT!B25,0)</f>
        <v>50000</v>
      </c>
      <c r="D20" s="43" t="str">
        <f>"Marfă din import " &amp; Declarații_IMPORT!B41</f>
        <v>Marfă din import — import 2026-07</v>
      </c>
      <c r="E20" s="43" t="str">
        <f>Declarații_IMPORT!B33</f>
        <v>401.EXT</v>
      </c>
      <c r="F20" s="43">
        <f>IF(Declarații_IMPORT!B23="DA",Declarații_IMPORT!B25,0)</f>
        <v>50000</v>
      </c>
      <c r="G20" s="43" t="str">
        <f>"Datorie furnizor extern " &amp; Declarații_IMPORT!B41</f>
        <v>Datorie furnizor extern — import 2026-07</v>
      </c>
    </row>
    <row r="21">
      <c r="A21" s="43" t="inlineStr">
        <is>
          <t>Check B1 (factura externă)</t>
        </is>
      </c>
      <c r="B21" s="43">
        <f>C20-F20</f>
        <v>0</v>
      </c>
      <c r="C21" s="43" t="str">
        <f>IF(ABS(B21)&lt;0.01,"OK","EROARE")</f>
        <v>OK</v>
      </c>
    </row>
    <row r="22">
      <c r="A22" s="43" t="n">
        <v>2</v>
      </c>
      <c r="B22" s="43" t="str">
        <f>Declarații_IMPORT!B32</f>
        <v>371</v>
      </c>
      <c r="C22" s="43">
        <f>IF(Declarații_IMPORT!B23="DA",Declarații_IMPORT!B26,0)</f>
        <v>2000</v>
      </c>
      <c r="D22" s="43" t="str">
        <f>"Taxe vamale plătite direct, în cost " &amp; Declarații_IMPORT!B41</f>
        <v>Taxe vamale plătite direct, în cost — import 2026-07</v>
      </c>
      <c r="E22" s="43" t="str">
        <f>Declarații_IMPORT!B38</f>
        <v>512.1</v>
      </c>
      <c r="F22" s="43">
        <f>IF(Declarații_IMPORT!B23="DA",Declarații_IMPORT!B26,0)</f>
        <v>2000</v>
      </c>
      <c r="G22" s="43" t="str">
        <f>"Ieșire bancă " &amp; Declarații_IMPORT!B41</f>
        <v>Ieșire bancă — import 2026-07</v>
      </c>
    </row>
    <row r="23">
      <c r="A23" s="43" t="inlineStr">
        <is>
          <t>Check B2 (taxe vamale)</t>
        </is>
      </c>
      <c r="B23" s="43">
        <f>C22-F22</f>
        <v>0</v>
      </c>
      <c r="C23" s="43" t="str">
        <f>IF(ABS(B23)&lt;0.01,"OK","EROARE")</f>
        <v>OK</v>
      </c>
    </row>
    <row r="24">
      <c r="A24" s="43" t="n">
        <v>3</v>
      </c>
      <c r="B24" s="43" t="str">
        <f>Declarații_IMPORT!B37</f>
        <v>4426</v>
      </c>
      <c r="C24" s="43">
        <f>IF(Declarații_IMPORT!B23="DA",Declarații_IMPORT!B28,0)</f>
        <v>10920</v>
      </c>
      <c r="D24" s="43" t="str">
        <f>"TVA vamală plătită direct " &amp; Declarații_IMPORT!B41</f>
        <v>TVA vamală plătită direct — import 2026-07</v>
      </c>
      <c r="E24" s="43" t="str">
        <f>Declarații_IMPORT!B38</f>
        <v>512.1</v>
      </c>
      <c r="F24" s="43">
        <f>IF(Declarații_IMPORT!B23="DA",Declarații_IMPORT!B28,0)</f>
        <v>10920</v>
      </c>
      <c r="G24" s="43" t="str">
        <f>"Ieșire bancă " &amp; Declarații_IMPORT!B41</f>
        <v>Ieșire bancă — import 2026-07</v>
      </c>
    </row>
    <row r="25">
      <c r="A25" s="43" t="inlineStr">
        <is>
          <t>Check B3 (TVA vamală)</t>
        </is>
      </c>
      <c r="B25" s="43">
        <f>C24-F24</f>
        <v>0</v>
      </c>
      <c r="C25" s="43" t="str">
        <f>IF(ABS(B25)&lt;0.01,"OK","EROARE")</f>
        <v>OK</v>
      </c>
    </row>
    <row r="27">
      <c r="A27" s="43" t="inlineStr">
        <is>
          <t>Check global</t>
        </is>
      </c>
      <c r="B27" s="43">
        <f>ABS(B8)+ABS(B10)+ABS(B12)+ABS(B15)+ABS(B16)+ABS(B21)+ABS(B23)+ABS(B25)</f>
        <v>0</v>
      </c>
      <c r="C27" s="43" t="str">
        <f>IF(B27&lt;0.01,"OK — toate blocurile se închid","EROARE — cel puțin un bloc dezechilibrat")</f>
        <v>OK — toate blocurile se închid</v>
      </c>
    </row>
    <row r="29">
      <c r="A29" s="42" t="inlineStr">
        <is>
          <t>Stare terminală</t>
        </is>
      </c>
    </row>
    <row r="30">
      <c r="A30" s="44" t="inlineStr">
        <is>
          <t>Calea A: 446.VAMA sold 0, stoc la 105.000 (marfă + taxe + transport), TVA 21.630 pe 4426, datorie 100.000 către furnizorul extern și 21.630 către comisionar. Calea B: stoc 52.000, TVA 10.920 pe 4426, 401.EXT doar 50.000 — fără intermediar, pentru că nimeni n-a avansat nimic.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30" customWidth="1" style="40" min="2" max="2"/>
    <col width="14" customWidth="1" style="40" min="3" max="3"/>
    <col width="12" customWidth="1" style="40" min="4" max="4"/>
    <col width="12" customWidth="1" style="40" min="5" max="5"/>
    <col width="14" customWidth="1" style="40" min="6" max="6"/>
    <col width="52" customWidth="1" style="40" min="7" max="7"/>
    <col width="22" customWidth="1" style="40" min="8" max="8"/>
    <col width="10" customWidth="1" style="40" min="9" max="9"/>
  </cols>
  <sheetData>
    <row r="1">
      <c r="A1" s="41" t="inlineStr">
        <is>
          <t>MOD_IMPORT — Notă pentru import</t>
        </is>
      </c>
    </row>
    <row r="2">
      <c r="A2" s="44" t="inlineStr">
        <is>
          <t>Filtrează Include=DA. Calea neactivată iese cu sumă 0 și apare ca NU.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A Comisionar — marfa</t>
        </is>
      </c>
      <c r="C5" s="43" t="str">
        <f>Declarații_IMPORT!B8</f>
        <v>2026-07-31</v>
      </c>
      <c r="D5" s="43" t="str">
        <f>Jurnale_IMPORT!B7</f>
        <v>371</v>
      </c>
      <c r="E5" s="43" t="str">
        <f>Jurnale_IMPORT!E7</f>
        <v>401.EXT</v>
      </c>
      <c r="F5" s="43">
        <f>Jurnale_IMPORT!C7</f>
        <v>100000</v>
      </c>
      <c r="G5" s="43" t="str">
        <f>Jurnale_IMPORT!D7</f>
        <v>Marfă din import (doar valoarea externă) — import 2026-07</v>
      </c>
      <c r="H5" s="43" t="inlineStr">
        <is>
          <t>Factură externă</t>
        </is>
      </c>
      <c r="I5" s="43" t="str">
        <f>IF(AND(ISNUMBER(F5),F5&gt;0),"DA","NU")</f>
        <v>DA</v>
      </c>
    </row>
    <row r="6">
      <c r="A6" s="43" t="n">
        <v>2</v>
      </c>
      <c r="B6" s="43" t="inlineStr">
        <is>
          <t>A Comisionar — TVA vamală</t>
        </is>
      </c>
      <c r="C6" s="43" t="str">
        <f>Declarații_IMPORT!B8</f>
        <v>2026-07-31</v>
      </c>
      <c r="D6" s="43" t="str">
        <f>Jurnale_IMPORT!B9</f>
        <v>4426</v>
      </c>
      <c r="E6" s="43" t="str">
        <f>Jurnale_IMPORT!E9</f>
        <v>446.VAMA</v>
      </c>
      <c r="F6" s="43">
        <f>Jurnale_IMPORT!C9</f>
        <v>21630</v>
      </c>
      <c r="G6" s="43" t="str">
        <f>Jurnale_IMPORT!D9</f>
        <v>TVA vamală, avansată de comisionar — import 2026-07</v>
      </c>
      <c r="H6" s="43" t="inlineStr">
        <is>
          <t>DVI</t>
        </is>
      </c>
      <c r="I6" s="43" t="str">
        <f>IF(AND(ISNUMBER(F6),F6&gt;0),"DA","NU")</f>
        <v>DA</v>
      </c>
    </row>
    <row r="7">
      <c r="A7" s="43" t="n">
        <v>3</v>
      </c>
      <c r="B7" s="43" t="inlineStr">
        <is>
          <t>A Comisionar — stingere 446</t>
        </is>
      </c>
      <c r="C7" s="43" t="str">
        <f>Declarații_IMPORT!B8</f>
        <v>2026-07-31</v>
      </c>
      <c r="D7" s="43" t="str">
        <f>Jurnale_IMPORT!B11</f>
        <v>446.VAMA</v>
      </c>
      <c r="E7" s="43" t="str">
        <f>Jurnale_IMPORT!E11</f>
        <v>401</v>
      </c>
      <c r="F7" s="43">
        <f>Jurnale_IMPORT!C11</f>
        <v>21630</v>
      </c>
      <c r="G7" s="43" t="str">
        <f>Jurnale_IMPORT!D11</f>
        <v>Stingerea intermediarului — import 2026-07</v>
      </c>
      <c r="H7" s="43" t="inlineStr">
        <is>
          <t>Factură comisionar</t>
        </is>
      </c>
      <c r="I7" s="43" t="str">
        <f>IF(AND(ISNUMBER(F7),F7&gt;0),"DA","NU")</f>
        <v>DA</v>
      </c>
    </row>
    <row r="8">
      <c r="A8" s="43" t="n">
        <v>4</v>
      </c>
      <c r="B8" s="43" t="inlineStr">
        <is>
          <t>A Comisionar — taxe vamale</t>
        </is>
      </c>
      <c r="C8" s="43" t="str">
        <f>Declarații_IMPORT!B8</f>
        <v>2026-07-31</v>
      </c>
      <c r="D8" s="43" t="str">
        <f>Jurnale_IMPORT!B13</f>
        <v>371</v>
      </c>
      <c r="E8" s="43" t="str">
        <f>Jurnale_IMPORT!E13</f>
        <v>401.RO</v>
      </c>
      <c r="F8" s="43">
        <f>Jurnale_IMPORT!C13</f>
        <v>3000</v>
      </c>
      <c r="G8" s="43" t="str">
        <f>Jurnale_IMPORT!D13</f>
        <v>Taxe vamale în costul stocului — import 2026-07</v>
      </c>
      <c r="H8" s="43" t="inlineStr">
        <is>
          <t>DVI</t>
        </is>
      </c>
      <c r="I8" s="43" t="str">
        <f>IF(AND(ISNUMBER(F8),F8&gt;0),"DA","NU")</f>
        <v>DA</v>
      </c>
    </row>
    <row r="9">
      <c r="A9" s="43" t="n">
        <v>5</v>
      </c>
      <c r="B9" s="43" t="inlineStr">
        <is>
          <t>A Comisionar — transport intern</t>
        </is>
      </c>
      <c r="C9" s="43" t="str">
        <f>Declarații_IMPORT!B8</f>
        <v>2026-07-31</v>
      </c>
      <c r="D9" s="43" t="str">
        <f>Jurnale_IMPORT!B14</f>
        <v>371</v>
      </c>
      <c r="E9" s="43" t="str">
        <f>Jurnale_IMPORT!E14</f>
        <v>401.RO</v>
      </c>
      <c r="F9" s="43">
        <f>Jurnale_IMPORT!C14</f>
        <v>2000</v>
      </c>
      <c r="G9" s="43" t="str">
        <f>Jurnale_IMPORT!D14</f>
        <v>Transport intern în cost (NU în baza TVA) — import 2026-07</v>
      </c>
      <c r="H9" s="43" t="inlineStr">
        <is>
          <t>Factură transport</t>
        </is>
      </c>
      <c r="I9" s="43" t="str">
        <f>IF(AND(ISNUMBER(F9),F9&gt;0),"DA","NU")</f>
        <v>DA</v>
      </c>
    </row>
    <row r="10">
      <c r="A10" s="43" t="n">
        <v>6</v>
      </c>
      <c r="B10" s="43" t="inlineStr">
        <is>
          <t>B Direct — marfa</t>
        </is>
      </c>
      <c r="C10" s="43" t="str">
        <f>Declarații_IMPORT!B8</f>
        <v>2026-07-31</v>
      </c>
      <c r="D10" s="43" t="str">
        <f>Jurnale_IMPORT!B20</f>
        <v>371</v>
      </c>
      <c r="E10" s="43" t="str">
        <f>Jurnale_IMPORT!E20</f>
        <v>401.EXT</v>
      </c>
      <c r="F10" s="43">
        <f>Jurnale_IMPORT!C20</f>
        <v>50000</v>
      </c>
      <c r="G10" s="43" t="str">
        <f>Jurnale_IMPORT!D20</f>
        <v>Marfă din import — import 2026-07</v>
      </c>
      <c r="H10" s="43" t="inlineStr">
        <is>
          <t>Factură externă</t>
        </is>
      </c>
      <c r="I10" s="43" t="str">
        <f>IF(AND(ISNUMBER(F10),F10&gt;0),"DA","NU")</f>
        <v>DA</v>
      </c>
    </row>
    <row r="11">
      <c r="A11" s="43" t="n">
        <v>7</v>
      </c>
      <c r="B11" s="43" t="inlineStr">
        <is>
          <t>B Direct — taxe vamale</t>
        </is>
      </c>
      <c r="C11" s="43" t="str">
        <f>Declarații_IMPORT!B8</f>
        <v>2026-07-31</v>
      </c>
      <c r="D11" s="43" t="str">
        <f>Jurnale_IMPORT!B22</f>
        <v>371</v>
      </c>
      <c r="E11" s="43" t="str">
        <f>Jurnale_IMPORT!E22</f>
        <v>512.1</v>
      </c>
      <c r="F11" s="43">
        <f>Jurnale_IMPORT!C22</f>
        <v>2000</v>
      </c>
      <c r="G11" s="43" t="str">
        <f>Jurnale_IMPORT!D22</f>
        <v>Taxe vamale plătite direct, în cost — import 2026-07</v>
      </c>
      <c r="H11" s="43" t="inlineStr">
        <is>
          <t>DVI + extras</t>
        </is>
      </c>
      <c r="I11" s="43" t="str">
        <f>IF(AND(ISNUMBER(F11),F11&gt;0),"DA","NU")</f>
        <v>DA</v>
      </c>
    </row>
    <row r="12">
      <c r="A12" s="43" t="n">
        <v>8</v>
      </c>
      <c r="B12" s="43" t="inlineStr">
        <is>
          <t>B Direct — TVA vamală</t>
        </is>
      </c>
      <c r="C12" s="43" t="str">
        <f>Declarații_IMPORT!B8</f>
        <v>2026-07-31</v>
      </c>
      <c r="D12" s="43" t="str">
        <f>Jurnale_IMPORT!B24</f>
        <v>4426</v>
      </c>
      <c r="E12" s="43" t="str">
        <f>Jurnale_IMPORT!E24</f>
        <v>512.1</v>
      </c>
      <c r="F12" s="43">
        <f>Jurnale_IMPORT!C24</f>
        <v>10920</v>
      </c>
      <c r="G12" s="43" t="str">
        <f>Jurnale_IMPORT!D24</f>
        <v>TVA vamală plătită direct — import 2026-07</v>
      </c>
      <c r="H12" s="43" t="inlineStr">
        <is>
          <t>DVI + extras</t>
        </is>
      </c>
      <c r="I12" s="43" t="str">
        <f>IF(AND(ISNUMBER(F12),F12&gt;0),"DA","NU")</f>
        <v>DA</v>
      </c>
    </row>
    <row r="14">
      <c r="A14" s="43" t="inlineStr">
        <is>
          <t>Rânduri de importat</t>
        </is>
      </c>
      <c r="B14" s="43">
        <f>COUNTIF(I5:I12,"DA")</f>
        <v>8</v>
      </c>
    </row>
    <row r="15">
      <c r="A15" s="43" t="inlineStr">
        <is>
          <t>Check global</t>
        </is>
      </c>
      <c r="B15" s="43">
        <f>Jurnale_IMPORT!B27</f>
        <v>0</v>
      </c>
      <c r="C15" s="43" t="str">
        <f>IF(ABS(B15)&lt;0.01,"OK","EROARE")</f>
        <v>OK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40" customWidth="1" style="40" min="1" max="1"/>
    <col width="24" customWidth="1" style="40" min="2" max="2"/>
    <col width="54" customWidth="1" style="40" min="3" max="3"/>
  </cols>
  <sheetData>
    <row r="1">
      <c r="A1" s="41" t="inlineStr">
        <is>
          <t>MOD_TVA_INCASARE — Declarații (input)</t>
        </is>
      </c>
    </row>
    <row r="2">
      <c r="A2" s="44" t="inlineStr">
        <is>
          <t>Rol dual 4428.INC: pe achiziție până la plată → 4426; pe vânzare până la încasare → 4427. Nu se amestecă cu 4428.AM.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Luna</t>
        </is>
      </c>
      <c r="B6" s="64" t="inlineStr">
        <is>
          <t>2026-07</t>
        </is>
      </c>
    </row>
    <row r="8">
      <c r="A8" s="42" t="inlineStr">
        <is>
          <t>2. Achiziție (TVA la încasare)</t>
        </is>
      </c>
    </row>
    <row r="9">
      <c r="A9" s="43" t="inlineStr">
        <is>
          <t>Data factură achiziție</t>
        </is>
      </c>
      <c r="B9" s="64" t="inlineStr">
        <is>
          <t>2026-07-08</t>
        </is>
      </c>
    </row>
    <row r="10">
      <c r="A10" s="43" t="inlineStr">
        <is>
          <t>Data plată furnizor</t>
        </is>
      </c>
      <c r="B10" s="64" t="inlineStr">
        <is>
          <t>2026-07-20</t>
        </is>
      </c>
    </row>
    <row r="11">
      <c r="A11" s="43" t="inlineStr">
        <is>
          <t>Sumă netă achiziție</t>
        </is>
      </c>
      <c r="B11" s="64" t="n">
        <v>5000</v>
      </c>
    </row>
    <row r="12">
      <c r="A12" s="43" t="inlineStr">
        <is>
          <t>Cotă TVA</t>
        </is>
      </c>
      <c r="B12" s="64" t="n">
        <v>0.21</v>
      </c>
    </row>
    <row r="13">
      <c r="A13" s="43" t="inlineStr">
        <is>
          <t>TVA achiziție</t>
        </is>
      </c>
      <c r="B13" s="43">
        <f>B11*B12</f>
        <v>1050</v>
      </c>
    </row>
    <row r="14">
      <c r="A14" s="43" t="inlineStr">
        <is>
          <t>Total factură achiziție</t>
        </is>
      </c>
      <c r="B14" s="43">
        <f>B11+B13</f>
        <v>6050</v>
      </c>
    </row>
    <row r="16">
      <c r="A16" s="42" t="inlineStr">
        <is>
          <t>3. Vânzare (TVA la încasare)</t>
        </is>
      </c>
    </row>
    <row r="17">
      <c r="A17" s="43" t="inlineStr">
        <is>
          <t>Data factură vânzare</t>
        </is>
      </c>
      <c r="B17" s="64" t="inlineStr">
        <is>
          <t>2026-07-12</t>
        </is>
      </c>
    </row>
    <row r="18">
      <c r="A18" s="43" t="inlineStr">
        <is>
          <t>Data încasare client</t>
        </is>
      </c>
      <c r="B18" s="64" t="inlineStr">
        <is>
          <t>2026-07-28</t>
        </is>
      </c>
    </row>
    <row r="19">
      <c r="A19" s="43" t="inlineStr">
        <is>
          <t>Sumă netă vânzare</t>
        </is>
      </c>
      <c r="B19" s="64" t="n">
        <v>8000</v>
      </c>
    </row>
    <row r="20">
      <c r="A20" s="43" t="inlineStr">
        <is>
          <t>TVA vânzare</t>
        </is>
      </c>
      <c r="B20" s="43">
        <f>B19*B12</f>
        <v>1680</v>
      </c>
    </row>
    <row r="21">
      <c r="A21" s="43" t="inlineStr">
        <is>
          <t>Total factură vânzare</t>
        </is>
      </c>
      <c r="B21" s="43">
        <f>B19+B20</f>
        <v>9680</v>
      </c>
    </row>
    <row r="23">
      <c r="A23" s="42" t="inlineStr">
        <is>
          <t>4. Conturi</t>
        </is>
      </c>
    </row>
    <row r="24">
      <c r="A24" s="43" t="inlineStr">
        <is>
          <t>Cont stoc / cheltuială</t>
        </is>
      </c>
      <c r="B24" s="64" t="inlineStr">
        <is>
          <t>301</t>
        </is>
      </c>
    </row>
    <row r="25">
      <c r="A25" s="43" t="inlineStr">
        <is>
          <t>Cont furnizor</t>
        </is>
      </c>
      <c r="B25" s="64" t="inlineStr">
        <is>
          <t>401.RO</t>
        </is>
      </c>
    </row>
    <row r="26">
      <c r="A26" s="43" t="inlineStr">
        <is>
          <t>Cont client</t>
        </is>
      </c>
      <c r="B26" s="64" t="inlineStr">
        <is>
          <t>411.RO</t>
        </is>
      </c>
    </row>
    <row r="27">
      <c r="A27" s="43" t="inlineStr">
        <is>
          <t>Cont venit</t>
        </is>
      </c>
      <c r="B27" s="64" t="inlineStr">
        <is>
          <t>707</t>
        </is>
      </c>
    </row>
    <row r="28">
      <c r="A28" s="43" t="inlineStr">
        <is>
          <t>Cont 4428.INC</t>
        </is>
      </c>
      <c r="B28" s="64" t="inlineStr">
        <is>
          <t>4428.INC</t>
        </is>
      </c>
    </row>
    <row r="29">
      <c r="A29" s="43" t="inlineStr">
        <is>
          <t>Cont 4426</t>
        </is>
      </c>
      <c r="B29" s="64" t="inlineStr">
        <is>
          <t>4426</t>
        </is>
      </c>
    </row>
    <row r="30">
      <c r="A30" s="43" t="inlineStr">
        <is>
          <t>Cont 4427</t>
        </is>
      </c>
      <c r="B30" s="64" t="inlineStr">
        <is>
          <t>4427</t>
        </is>
      </c>
    </row>
    <row r="31">
      <c r="A31" s="43" t="inlineStr">
        <is>
          <t>Cont trezorerie</t>
        </is>
      </c>
      <c r="B31" s="64" t="inlineStr">
        <is>
          <t>512.1</t>
        </is>
      </c>
    </row>
    <row r="33">
      <c r="A33" s="42" t="inlineStr">
        <is>
          <t>5. Sufix</t>
        </is>
      </c>
    </row>
    <row r="34">
      <c r="A34" s="43" t="inlineStr">
        <is>
          <t>Sufix</t>
        </is>
      </c>
      <c r="B34" s="43" t="str">
        <f>"— TVA la încasare " &amp; B6</f>
        <v>— TVA la încasare 2026-07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24" customWidth="1" style="40" min="2" max="2"/>
    <col width="20" customWidth="1" style="40" min="3" max="3"/>
    <col width="18" customWidth="1" style="40" min="4" max="4"/>
    <col width="44" customWidth="1" style="40" min="5" max="5"/>
    <col width="44" customWidth="1" style="40" min="6" max="6"/>
  </cols>
  <sheetData>
    <row r="1">
      <c r="A1" s="41" t="inlineStr">
        <is>
          <t>MOD_TVA_INCASARE — Reguli (tabele fixe)</t>
        </is>
      </c>
    </row>
    <row r="2">
      <c r="A2" s="44" t="inlineStr">
        <is>
          <t>Rol dual 4428.INC: pe achiziție până la plată → 4426; pe vânzare până la încasare → 4427. Separat de 4428.AM.</t>
        </is>
      </c>
    </row>
    <row r="4">
      <c r="A4" s="42" t="inlineStr">
        <is>
          <t>Tabel A — Secvența operațională</t>
        </is>
      </c>
    </row>
    <row r="5">
      <c r="A5" s="65" t="inlineStr">
        <is>
          <t>Pas</t>
        </is>
      </c>
      <c r="B5" s="65" t="inlineStr">
        <is>
          <t>Cont Dr</t>
        </is>
      </c>
      <c r="C5" s="65" t="inlineStr">
        <is>
          <t>Cont Cr</t>
        </is>
      </c>
      <c r="D5" s="65" t="inlineStr">
        <is>
          <t>Sumă (sursă)</t>
        </is>
      </c>
      <c r="E5" s="65" t="inlineStr">
        <is>
          <t>Condiție</t>
        </is>
      </c>
      <c r="F5" s="65" t="inlineStr">
        <is>
          <t>Temei / observație</t>
        </is>
      </c>
    </row>
    <row r="6">
      <c r="A6" s="43" t="n">
        <v>1</v>
      </c>
      <c r="B6" s="43" t="inlineStr">
        <is>
          <t>3xx/6xx + 4428.INC</t>
        </is>
      </c>
      <c r="C6" s="43" t="inlineStr">
        <is>
          <t>401</t>
        </is>
      </c>
      <c r="D6" s="43" t="inlineStr">
        <is>
          <t>net + TVA</t>
        </is>
      </c>
      <c r="E6" s="43" t="inlineStr">
        <is>
          <t>La factură achiziție (regim TVA la încasare)</t>
        </is>
      </c>
      <c r="F6" s="43" t="inlineStr">
        <is>
          <t>TVA NU intră pe 4426 la factură</t>
        </is>
      </c>
    </row>
    <row r="7">
      <c r="A7" s="43" t="n">
        <v>2</v>
      </c>
      <c r="B7" s="43" t="inlineStr">
        <is>
          <t>401</t>
        </is>
      </c>
      <c r="C7" s="43" t="inlineStr">
        <is>
          <t>512</t>
        </is>
      </c>
      <c r="D7" s="43" t="inlineStr">
        <is>
          <t>total factură</t>
        </is>
      </c>
      <c r="E7" s="43" t="inlineStr">
        <is>
          <t>La plată furnizor</t>
        </is>
      </c>
      <c r="F7" s="43" t="inlineStr">
        <is>
          <t>Stingere datorie</t>
        </is>
      </c>
    </row>
    <row r="8">
      <c r="A8" s="43" t="n">
        <v>3</v>
      </c>
      <c r="B8" s="43" t="inlineStr">
        <is>
          <t>4426</t>
        </is>
      </c>
      <c r="C8" s="43" t="inlineStr">
        <is>
          <t>4428.INC</t>
        </is>
      </c>
      <c r="D8" s="43" t="inlineStr">
        <is>
          <t>TVA</t>
        </is>
      </c>
      <c r="E8" s="43" t="inlineStr">
        <is>
          <t>La plată (același moment sau ulterior)</t>
        </is>
      </c>
      <c r="F8" s="43" t="inlineStr">
        <is>
          <t>TVA devine exigibilă / deductibilă</t>
        </is>
      </c>
    </row>
    <row r="9">
      <c r="A9" s="43" t="n">
        <v>4</v>
      </c>
      <c r="B9" s="43" t="inlineStr">
        <is>
          <t>411</t>
        </is>
      </c>
      <c r="C9" s="43" t="inlineStr">
        <is>
          <t>7xx + 4428.INC</t>
        </is>
      </c>
      <c r="D9" s="43" t="inlineStr">
        <is>
          <t>net + TVA</t>
        </is>
      </c>
      <c r="E9" s="43" t="inlineStr">
        <is>
          <t>La factură vânzare (regim TVA la încasare)</t>
        </is>
      </c>
      <c r="F9" s="43" t="inlineStr">
        <is>
          <t>TVA NU intră pe 4427 la factură</t>
        </is>
      </c>
    </row>
    <row r="10">
      <c r="A10" s="43" t="n">
        <v>5</v>
      </c>
      <c r="B10" s="43" t="inlineStr">
        <is>
          <t>512</t>
        </is>
      </c>
      <c r="C10" s="43" t="inlineStr">
        <is>
          <t>411</t>
        </is>
      </c>
      <c r="D10" s="43" t="inlineStr">
        <is>
          <t>total factură</t>
        </is>
      </c>
      <c r="E10" s="43" t="inlineStr">
        <is>
          <t>La încasare client</t>
        </is>
      </c>
      <c r="F10" s="43" t="inlineStr">
        <is>
          <t>Stingere creanță</t>
        </is>
      </c>
    </row>
    <row r="11">
      <c r="A11" s="43" t="n">
        <v>6</v>
      </c>
      <c r="B11" s="43" t="inlineStr">
        <is>
          <t>4428.INC</t>
        </is>
      </c>
      <c r="C11" s="43" t="inlineStr">
        <is>
          <t>4427</t>
        </is>
      </c>
      <c r="D11" s="43" t="inlineStr">
        <is>
          <t>TVA</t>
        </is>
      </c>
      <c r="E11" s="43" t="inlineStr">
        <is>
          <t>La încasare</t>
        </is>
      </c>
      <c r="F11" s="43" t="inlineStr">
        <is>
          <t>TVA devine exigibilă / colectată</t>
        </is>
      </c>
    </row>
    <row r="13">
      <c r="A13" s="42" t="inlineStr">
        <is>
          <t>Tabel B — Porți de calitate</t>
        </is>
      </c>
    </row>
    <row r="14">
      <c r="A14" s="44" t="inlineStr">
        <is>
          <t>• ΣDr=ΣCr pe fiecare moment (global cu ABS)</t>
        </is>
      </c>
    </row>
    <row r="15">
      <c r="A15" s="44" t="inlineStr">
        <is>
          <t>• Sold 4428.INC = 0 după toate plățile și încasările perioadei</t>
        </is>
      </c>
    </row>
    <row r="16">
      <c r="A16" s="44" t="inlineStr">
        <is>
          <t>• 4428.INC ≠ 4428.AM (analitice separate — amănunt vs TVA la încasare)</t>
        </is>
      </c>
    </row>
    <row r="17">
      <c r="A17" s="44" t="inlineStr">
        <is>
          <t>• La închiderea lunară TVA: doar 4426/4427 exigibile intră în MOD_INCHIDERE_TVA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style="40" min="1" max="1"/>
    <col width="16" customWidth="1" style="40" min="2" max="2"/>
    <col width="14" customWidth="1" style="40" min="3" max="3"/>
    <col width="46" customWidth="1" style="40" min="4" max="4"/>
    <col width="16" customWidth="1" style="40" min="5" max="5"/>
    <col width="14" customWidth="1" style="40" min="6" max="6"/>
    <col width="46" customWidth="1" style="40" min="7" max="7"/>
  </cols>
  <sheetData>
    <row r="1">
      <c r="A1" s="41" t="inlineStr">
        <is>
          <t>MOD_TVA_INCASARE — Jurnale</t>
        </is>
      </c>
    </row>
    <row r="3">
      <c r="A3" s="42" t="inlineStr">
        <is>
          <t>Bloc 1 — Factură achiziție (TVA neexigibilă)</t>
        </is>
      </c>
    </row>
    <row r="4">
      <c r="A4" s="43" t="inlineStr">
        <is>
          <t>Data:</t>
        </is>
      </c>
      <c r="B4" s="43" t="str">
        <f>Declarații_TVA_INC!B9</f>
        <v>2026-07-08</v>
      </c>
    </row>
    <row r="5">
      <c r="A5" s="65" t="inlineStr">
        <is>
          <t>Nr</t>
        </is>
      </c>
      <c r="B5" s="65" t="inlineStr">
        <is>
          <t>Cont Dr</t>
        </is>
      </c>
      <c r="C5" s="65" t="inlineStr">
        <is>
          <t>Sumă Dr</t>
        </is>
      </c>
      <c r="D5" s="65" t="inlineStr">
        <is>
          <t>Descriere Dr</t>
        </is>
      </c>
      <c r="E5" s="65" t="inlineStr">
        <is>
          <t>Cont Cr</t>
        </is>
      </c>
      <c r="F5" s="65" t="inlineStr">
        <is>
          <t>Sumă Cr</t>
        </is>
      </c>
      <c r="G5" s="65" t="inlineStr">
        <is>
          <t>Descriere Cr</t>
        </is>
      </c>
    </row>
    <row r="6">
      <c r="A6" s="43" t="n">
        <v>1</v>
      </c>
      <c r="B6" s="43" t="str">
        <f>Declarații_TVA_INC!B24</f>
        <v>301</v>
      </c>
      <c r="C6" s="43">
        <f>Declarații_TVA_INC!B11</f>
        <v>5000</v>
      </c>
      <c r="D6" s="43" t="str">
        <f>"Achiziție (net) " &amp; Declarații_TVA_INC!B34</f>
        <v>Achiziție (net) — TVA la încasare 2026-07</v>
      </c>
      <c r="E6" s="43" t="str">
        <f>Declarații_TVA_INC!B25</f>
        <v>401.RO</v>
      </c>
      <c r="F6" s="43">
        <f>Declarații_TVA_INC!B14</f>
        <v>6050</v>
      </c>
      <c r="G6" s="43" t="str">
        <f>"Datorie furnizor total " &amp; Declarații_TVA_INC!B34</f>
        <v>Datorie furnizor total — TVA la încasare 2026-07</v>
      </c>
    </row>
    <row r="7">
      <c r="A7" s="43" t="n">
        <v>2</v>
      </c>
      <c r="B7" s="43" t="str">
        <f>Declarații_TVA_INC!B28</f>
        <v>4428.INC</v>
      </c>
      <c r="C7" s="43">
        <f>Declarații_TVA_INC!B13</f>
        <v>1050</v>
      </c>
      <c r="D7" s="43" t="str">
        <f>"TVA neexigibilă achiziție " &amp; Declarații_TVA_INC!B34</f>
        <v>TVA neexigibilă achiziție — TVA la încasare 2026-07</v>
      </c>
      <c r="E7" s="43" t="n">
        <v>0</v>
      </c>
      <c r="F7" s="43" t="n">
        <v>0</v>
      </c>
    </row>
    <row r="8">
      <c r="A8" s="43" t="inlineStr">
        <is>
          <t>Check B1</t>
        </is>
      </c>
      <c r="B8" s="43">
        <f>(C6+C7)-F6</f>
        <v>0</v>
      </c>
      <c r="C8" s="43" t="str">
        <f>IF(ABS(B8)&lt;0.01,"OK","EROARE")</f>
        <v>OK</v>
      </c>
    </row>
    <row r="10">
      <c r="A10" s="42" t="inlineStr">
        <is>
          <t>Bloc 2 — Plată furnizor (TVA devine exigibilă)</t>
        </is>
      </c>
    </row>
    <row r="11">
      <c r="A11" s="43" t="inlineStr">
        <is>
          <t>Data:</t>
        </is>
      </c>
      <c r="B11" s="43" t="str">
        <f>Declarații_TVA_INC!B10</f>
        <v>2026-07-20</v>
      </c>
    </row>
    <row r="12">
      <c r="A12" s="65" t="inlineStr">
        <is>
          <t>Nr</t>
        </is>
      </c>
      <c r="B12" s="65" t="inlineStr">
        <is>
          <t>Cont Dr</t>
        </is>
      </c>
      <c r="C12" s="65" t="inlineStr">
        <is>
          <t>Sumă Dr</t>
        </is>
      </c>
      <c r="D12" s="65" t="inlineStr">
        <is>
          <t>Descriere Dr</t>
        </is>
      </c>
      <c r="E12" s="65" t="inlineStr">
        <is>
          <t>Cont Cr</t>
        </is>
      </c>
      <c r="F12" s="65" t="inlineStr">
        <is>
          <t>Sumă Cr</t>
        </is>
      </c>
      <c r="G12" s="65" t="inlineStr">
        <is>
          <t>Descriere Cr</t>
        </is>
      </c>
    </row>
    <row r="13">
      <c r="A13" s="43" t="n">
        <v>1</v>
      </c>
      <c r="B13" s="43" t="str">
        <f>Declarații_TVA_INC!B25</f>
        <v>401.RO</v>
      </c>
      <c r="C13" s="43">
        <f>Declarații_TVA_INC!B14</f>
        <v>6050</v>
      </c>
      <c r="D13" s="43" t="str">
        <f>"Plată furnizor " &amp; Declarații_TVA_INC!B34</f>
        <v>Plată furnizor — TVA la încasare 2026-07</v>
      </c>
      <c r="E13" s="43" t="str">
        <f>Declarații_TVA_INC!B31</f>
        <v>512.1</v>
      </c>
      <c r="F13" s="43">
        <f>Declarații_TVA_INC!B14</f>
        <v>6050</v>
      </c>
      <c r="G13" s="43" t="str">
        <f>"Ieșire bancă " &amp; Declarații_TVA_INC!B34</f>
        <v>Ieșire bancă — TVA la încasare 2026-07</v>
      </c>
    </row>
    <row r="14">
      <c r="A14" s="43" t="n">
        <v>2</v>
      </c>
      <c r="B14" s="43" t="str">
        <f>Declarații_TVA_INC!B29</f>
        <v>4426</v>
      </c>
      <c r="C14" s="43">
        <f>Declarații_TVA_INC!B13</f>
        <v>1050</v>
      </c>
      <c r="D14" s="43" t="str">
        <f>"TVA deductibilă (exigibilă) " &amp; Declarații_TVA_INC!B34</f>
        <v>TVA deductibilă (exigibilă) — TVA la încasare 2026-07</v>
      </c>
      <c r="E14" s="43" t="str">
        <f>Declarații_TVA_INC!B28</f>
        <v>4428.INC</v>
      </c>
      <c r="F14" s="43">
        <f>Declarații_TVA_INC!B13</f>
        <v>1050</v>
      </c>
      <c r="G14" s="43" t="str">
        <f>"Stingere 4428.INC achiziție " &amp; Declarații_TVA_INC!B34</f>
        <v>Stingere 4428.INC achiziție — TVA la încasare 2026-07</v>
      </c>
    </row>
    <row r="15">
      <c r="A15" s="43" t="inlineStr">
        <is>
          <t>Check B2</t>
        </is>
      </c>
      <c r="B15" s="43">
        <f>(C13+C14)-(F13+F14)</f>
        <v>0</v>
      </c>
      <c r="C15" s="43" t="str">
        <f>IF(ABS(B15)&lt;0.01,"OK","EROARE")</f>
        <v>OK</v>
      </c>
    </row>
    <row r="17">
      <c r="A17" s="42" t="inlineStr">
        <is>
          <t>Bloc 3 — Factură vânzare (TVA neexigibilă)</t>
        </is>
      </c>
    </row>
    <row r="18">
      <c r="A18" s="43" t="inlineStr">
        <is>
          <t>Data:</t>
        </is>
      </c>
      <c r="B18" s="43" t="str">
        <f>Declarații_TVA_INC!B17</f>
        <v>2026-07-12</v>
      </c>
    </row>
    <row r="19">
      <c r="A19" s="65" t="inlineStr">
        <is>
          <t>Nr</t>
        </is>
      </c>
      <c r="B19" s="65" t="inlineStr">
        <is>
          <t>Cont Dr</t>
        </is>
      </c>
      <c r="C19" s="65" t="inlineStr">
        <is>
          <t>Sumă Dr</t>
        </is>
      </c>
      <c r="D19" s="65" t="inlineStr">
        <is>
          <t>Descriere Dr</t>
        </is>
      </c>
      <c r="E19" s="65" t="inlineStr">
        <is>
          <t>Cont Cr</t>
        </is>
      </c>
      <c r="F19" s="65" t="inlineStr">
        <is>
          <t>Sumă Cr</t>
        </is>
      </c>
      <c r="G19" s="65" t="inlineStr">
        <is>
          <t>Descriere Cr</t>
        </is>
      </c>
    </row>
    <row r="20">
      <c r="A20" s="43" t="n">
        <v>1</v>
      </c>
      <c r="B20" s="43" t="str">
        <f>Declarații_TVA_INC!B26</f>
        <v>411.RO</v>
      </c>
      <c r="C20" s="43">
        <f>Declarații_TVA_INC!B21</f>
        <v>9680</v>
      </c>
      <c r="D20" s="43" t="str">
        <f>"Creanță client total " &amp; Declarații_TVA_INC!B34</f>
        <v>Creanță client total — TVA la încasare 2026-07</v>
      </c>
      <c r="E20" s="43" t="str">
        <f>Declarații_TVA_INC!B27</f>
        <v>707</v>
      </c>
      <c r="F20" s="43">
        <f>Declarații_TVA_INC!B19</f>
        <v>8000</v>
      </c>
      <c r="G20" s="43" t="str">
        <f>"Venit " &amp; Declarații_TVA_INC!B34</f>
        <v>Venit — TVA la încasare 2026-07</v>
      </c>
    </row>
    <row r="21">
      <c r="A21" s="43" t="n">
        <v>2</v>
      </c>
      <c r="B21" s="43" t="n">
        <v>0</v>
      </c>
      <c r="C21" s="43" t="n">
        <v>0</v>
      </c>
      <c r="E21" s="43" t="str">
        <f>Declarații_TVA_INC!B28</f>
        <v>4428.INC</v>
      </c>
      <c r="F21" s="43">
        <f>Declarații_TVA_INC!B20</f>
        <v>1680</v>
      </c>
      <c r="G21" s="43" t="str">
        <f>"TVA neexigibilă vânzare " &amp; Declarații_TVA_INC!B34</f>
        <v>TVA neexigibilă vânzare — TVA la încasare 2026-07</v>
      </c>
    </row>
    <row r="22">
      <c r="A22" s="43" t="inlineStr">
        <is>
          <t>Check B3</t>
        </is>
      </c>
      <c r="B22" s="43">
        <f>C20-(F20+F21)</f>
        <v>0</v>
      </c>
      <c r="C22" s="43" t="str">
        <f>IF(ABS(B22)&lt;0.01,"OK","EROARE")</f>
        <v>OK</v>
      </c>
    </row>
    <row r="24">
      <c r="A24" s="42" t="inlineStr">
        <is>
          <t>Bloc 4 — Încasare client (TVA devine exigibilă)</t>
        </is>
      </c>
    </row>
    <row r="25">
      <c r="A25" s="43" t="inlineStr">
        <is>
          <t>Data:</t>
        </is>
      </c>
      <c r="B25" s="43" t="str">
        <f>Declarații_TVA_INC!B18</f>
        <v>2026-07-28</v>
      </c>
    </row>
    <row r="26">
      <c r="A26" s="65" t="inlineStr">
        <is>
          <t>Nr</t>
        </is>
      </c>
      <c r="B26" s="65" t="inlineStr">
        <is>
          <t>Cont Dr</t>
        </is>
      </c>
      <c r="C26" s="65" t="inlineStr">
        <is>
          <t>Sumă Dr</t>
        </is>
      </c>
      <c r="D26" s="65" t="inlineStr">
        <is>
          <t>Descriere Dr</t>
        </is>
      </c>
      <c r="E26" s="65" t="inlineStr">
        <is>
          <t>Cont Cr</t>
        </is>
      </c>
      <c r="F26" s="65" t="inlineStr">
        <is>
          <t>Sumă Cr</t>
        </is>
      </c>
      <c r="G26" s="65" t="inlineStr">
        <is>
          <t>Descriere Cr</t>
        </is>
      </c>
    </row>
    <row r="27">
      <c r="A27" s="43" t="n">
        <v>1</v>
      </c>
      <c r="B27" s="43" t="str">
        <f>Declarații_TVA_INC!B31</f>
        <v>512.1</v>
      </c>
      <c r="C27" s="43">
        <f>Declarații_TVA_INC!B21</f>
        <v>9680</v>
      </c>
      <c r="D27" s="43" t="str">
        <f>"Încasare client " &amp; Declarații_TVA_INC!B34</f>
        <v>Încasare client — TVA la încasare 2026-07</v>
      </c>
      <c r="E27" s="43" t="str">
        <f>Declarații_TVA_INC!B26</f>
        <v>411.RO</v>
      </c>
      <c r="F27" s="43">
        <f>Declarații_TVA_INC!B21</f>
        <v>9680</v>
      </c>
      <c r="G27" s="43" t="str">
        <f>"Stingere creanță " &amp; Declarații_TVA_INC!B34</f>
        <v>Stingere creanță — TVA la încasare 2026-07</v>
      </c>
    </row>
    <row r="28">
      <c r="A28" s="43" t="n">
        <v>2</v>
      </c>
      <c r="B28" s="43" t="str">
        <f>Declarații_TVA_INC!B28</f>
        <v>4428.INC</v>
      </c>
      <c r="C28" s="43">
        <f>Declarații_TVA_INC!B20</f>
        <v>1680</v>
      </c>
      <c r="D28" s="43" t="str">
        <f>"Stingere 4428.INC vânzare " &amp; Declarații_TVA_INC!B34</f>
        <v>Stingere 4428.INC vânzare — TVA la încasare 2026-07</v>
      </c>
      <c r="E28" s="43" t="str">
        <f>Declarații_TVA_INC!B30</f>
        <v>4427</v>
      </c>
      <c r="F28" s="43">
        <f>Declarații_TVA_INC!B20</f>
        <v>1680</v>
      </c>
      <c r="G28" s="43" t="str">
        <f>"TVA colectată (exigibilă) " &amp; Declarații_TVA_INC!B34</f>
        <v>TVA colectată (exigibilă) — TVA la încasare 2026-07</v>
      </c>
    </row>
    <row r="29">
      <c r="A29" s="43" t="inlineStr">
        <is>
          <t>Check B4</t>
        </is>
      </c>
      <c r="B29" s="43">
        <f>(C27+C28)-(F27+F28)</f>
        <v>0</v>
      </c>
      <c r="C29" s="43" t="str">
        <f>IF(ABS(B29)&lt;0.01,"OK","EROARE")</f>
        <v>OK</v>
      </c>
    </row>
    <row r="31">
      <c r="A31" s="43" t="inlineStr">
        <is>
          <t>Check global</t>
        </is>
      </c>
      <c r="B31" s="43">
        <f>ABS(B8)+ABS(B15)+ABS(B22)+ABS(B29)</f>
        <v>0</v>
      </c>
      <c r="C31" s="43" t="str">
        <f>IF(B31&lt;0.01,"OK — toate blocurile se închid","EROARE — cel puțin un bloc dezechilibrat")</f>
        <v>OK — toate blocurile se închid</v>
      </c>
    </row>
    <row r="33">
      <c r="A33" s="44" t="inlineStr">
        <is>
          <t>Stare terminală: 4428.INC sold 0 | 4426 conține TVA ded. exigibilă | 4427 conține TVA col. exigibilă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12" customWidth="1" style="40" min="2" max="2"/>
    <col width="14" customWidth="1" style="40" min="3" max="3"/>
    <col width="12" customWidth="1" style="40" min="4" max="4"/>
    <col width="12" customWidth="1" style="40" min="5" max="5"/>
    <col width="14" customWidth="1" style="40" min="6" max="6"/>
    <col width="22" customWidth="1" style="40" min="7" max="7"/>
    <col width="10" customWidth="1" style="40" min="8" max="8"/>
    <col width="10" customWidth="1" style="40" min="9" max="9"/>
  </cols>
  <sheetData>
    <row r="1">
      <c r="A1" s="41" t="inlineStr">
        <is>
          <t>MOD_TVA_INCASARE — Notă pentru import</t>
        </is>
      </c>
    </row>
    <row r="3">
      <c r="A3" s="65" t="inlineStr">
        <is>
          <t>Nr</t>
        </is>
      </c>
      <c r="B3" s="65" t="inlineStr">
        <is>
          <t>Bloc</t>
        </is>
      </c>
      <c r="C3" s="65" t="inlineStr">
        <is>
          <t>Data</t>
        </is>
      </c>
      <c r="D3" s="65" t="inlineStr">
        <is>
          <t>Cont Dr</t>
        </is>
      </c>
      <c r="E3" s="65" t="inlineStr">
        <is>
          <t>Cont Cr</t>
        </is>
      </c>
      <c r="F3" s="65" t="inlineStr">
        <is>
          <t>Sumă</t>
        </is>
      </c>
      <c r="G3" s="65" t="inlineStr">
        <is>
          <t>Descriere</t>
        </is>
      </c>
      <c r="H3" s="65" t="inlineStr">
        <is>
          <t>Document</t>
        </is>
      </c>
      <c r="I3" s="65" t="inlineStr">
        <is>
          <t>Include</t>
        </is>
      </c>
    </row>
    <row r="4">
      <c r="A4" s="43" t="n">
        <v>1</v>
      </c>
      <c r="B4" s="43" t="inlineStr">
        <is>
          <t>B1 Ach.</t>
        </is>
      </c>
      <c r="C4" s="43" t="str">
        <f>Declarații_TVA_INC!B9</f>
        <v>2026-07-08</v>
      </c>
      <c r="D4" s="43" t="str">
        <f>Jurnale_TVA_INC!B6</f>
        <v>301</v>
      </c>
      <c r="E4" s="43" t="str">
        <f>Jurnale_TVA_INC!E6</f>
        <v>401.RO</v>
      </c>
      <c r="F4" s="43">
        <f>Jurnale_TVA_INC!C6</f>
        <v>5000</v>
      </c>
      <c r="G4" s="43" t="inlineStr">
        <is>
          <t>TVA la încasare</t>
        </is>
      </c>
      <c r="H4" s="43" t="inlineStr">
        <is>
          <t>F-401</t>
        </is>
      </c>
      <c r="I4" s="43" t="str">
        <f>IF(AND(ISNUMBER(F4),F4&gt;0),"DA","NU")</f>
        <v>DA</v>
      </c>
    </row>
    <row r="5">
      <c r="A5" s="43" t="n">
        <v>2</v>
      </c>
      <c r="B5" s="43" t="inlineStr">
        <is>
          <t>B1 Ach.</t>
        </is>
      </c>
      <c r="C5" s="43" t="str">
        <f>Declarații_TVA_INC!B9</f>
        <v>2026-07-08</v>
      </c>
      <c r="D5" s="43" t="str">
        <f>Jurnale_TVA_INC!B7</f>
        <v>4428.INC</v>
      </c>
      <c r="E5" s="43" t="str">
        <f>Jurnale_TVA_INC!E6</f>
        <v>401.RO</v>
      </c>
      <c r="F5" s="43">
        <f>Jurnale_TVA_INC!C7</f>
        <v>1050</v>
      </c>
      <c r="G5" s="43" t="inlineStr">
        <is>
          <t>TVA la încasare</t>
        </is>
      </c>
      <c r="H5" s="43" t="inlineStr">
        <is>
          <t>F-401</t>
        </is>
      </c>
      <c r="I5" s="43" t="str">
        <f>IF(AND(ISNUMBER(F5),F5&gt;0),"DA","NU")</f>
        <v>DA</v>
      </c>
    </row>
    <row r="6">
      <c r="A6" s="43" t="n">
        <v>3</v>
      </c>
      <c r="B6" s="43" t="inlineStr">
        <is>
          <t>B2 Plată</t>
        </is>
      </c>
      <c r="C6" s="43" t="str">
        <f>Declarații_TVA_INC!B10</f>
        <v>2026-07-20</v>
      </c>
      <c r="D6" s="43" t="str">
        <f>Jurnale_TVA_INC!B13</f>
        <v>401.RO</v>
      </c>
      <c r="E6" s="43" t="str">
        <f>Jurnale_TVA_INC!E13</f>
        <v>512.1</v>
      </c>
      <c r="F6" s="43">
        <f>Jurnale_TVA_INC!C13</f>
        <v>6050</v>
      </c>
      <c r="G6" s="43" t="inlineStr">
        <is>
          <t>TVA la încasare</t>
        </is>
      </c>
      <c r="H6" s="43" t="inlineStr">
        <is>
          <t>F-401</t>
        </is>
      </c>
      <c r="I6" s="43" t="str">
        <f>IF(AND(ISNUMBER(F6),F6&gt;0),"DA","NU")</f>
        <v>DA</v>
      </c>
    </row>
    <row r="7">
      <c r="A7" s="43" t="n">
        <v>4</v>
      </c>
      <c r="B7" s="43" t="inlineStr">
        <is>
          <t>B2 Plată</t>
        </is>
      </c>
      <c r="C7" s="43" t="str">
        <f>Declarații_TVA_INC!B10</f>
        <v>2026-07-20</v>
      </c>
      <c r="D7" s="43" t="str">
        <f>Jurnale_TVA_INC!B14</f>
        <v>4426</v>
      </c>
      <c r="E7" s="43" t="str">
        <f>Jurnale_TVA_INC!E14</f>
        <v>4428.INC</v>
      </c>
      <c r="F7" s="43">
        <f>Jurnale_TVA_INC!C14</f>
        <v>1050</v>
      </c>
      <c r="G7" s="43" t="inlineStr">
        <is>
          <t>TVA la încasare</t>
        </is>
      </c>
      <c r="H7" s="43" t="inlineStr">
        <is>
          <t>F-401</t>
        </is>
      </c>
      <c r="I7" s="43" t="str">
        <f>IF(AND(ISNUMBER(F7),F7&gt;0),"DA","NU")</f>
        <v>DA</v>
      </c>
    </row>
    <row r="8">
      <c r="A8" s="43" t="n">
        <v>5</v>
      </c>
      <c r="B8" s="43" t="inlineStr">
        <is>
          <t>B3 Vânz.</t>
        </is>
      </c>
      <c r="C8" s="43" t="str">
        <f>Declarații_TVA_INC!B17</f>
        <v>2026-07-12</v>
      </c>
      <c r="D8" s="43" t="str">
        <f>Jurnale_TVA_INC!B20</f>
        <v>411.RO</v>
      </c>
      <c r="E8" s="43" t="str">
        <f>Jurnale_TVA_INC!E20</f>
        <v>707</v>
      </c>
      <c r="F8" s="43">
        <f>Jurnale_TVA_INC!F20</f>
        <v>8000</v>
      </c>
      <c r="G8" s="43" t="inlineStr">
        <is>
          <t>TVA la încasare</t>
        </is>
      </c>
      <c r="H8" s="43" t="inlineStr">
        <is>
          <t>F-401</t>
        </is>
      </c>
      <c r="I8" s="43" t="str">
        <f>IF(AND(ISNUMBER(F8),F8&gt;0),"DA","NU")</f>
        <v>DA</v>
      </c>
    </row>
    <row r="9">
      <c r="A9" s="43" t="n">
        <v>6</v>
      </c>
      <c r="B9" s="43" t="inlineStr">
        <is>
          <t>B3 Vânz.</t>
        </is>
      </c>
      <c r="C9" s="43" t="str">
        <f>Declarații_TVA_INC!B17</f>
        <v>2026-07-12</v>
      </c>
      <c r="D9" s="43" t="str">
        <f>Jurnale_TVA_INC!B20</f>
        <v>411.RO</v>
      </c>
      <c r="E9" s="43" t="str">
        <f>Jurnale_TVA_INC!E21</f>
        <v>4428.INC</v>
      </c>
      <c r="F9" s="43">
        <f>Jurnale_TVA_INC!F21</f>
        <v>1680</v>
      </c>
      <c r="G9" s="43" t="inlineStr">
        <is>
          <t>TVA la încasare</t>
        </is>
      </c>
      <c r="H9" s="43" t="inlineStr">
        <is>
          <t>F-401</t>
        </is>
      </c>
      <c r="I9" s="43" t="str">
        <f>IF(AND(ISNUMBER(F9),F9&gt;0),"DA","NU")</f>
        <v>DA</v>
      </c>
    </row>
    <row r="10">
      <c r="A10" s="43" t="n">
        <v>7</v>
      </c>
      <c r="B10" s="43" t="inlineStr">
        <is>
          <t>B4 Înc.</t>
        </is>
      </c>
      <c r="C10" s="43" t="str">
        <f>Declarații_TVA_INC!B18</f>
        <v>2026-07-28</v>
      </c>
      <c r="D10" s="43" t="str">
        <f>Jurnale_TVA_INC!B27</f>
        <v>512.1</v>
      </c>
      <c r="E10" s="43" t="str">
        <f>Jurnale_TVA_INC!E27</f>
        <v>411.RO</v>
      </c>
      <c r="F10" s="43">
        <f>Jurnale_TVA_INC!C27</f>
        <v>9680</v>
      </c>
      <c r="G10" s="43" t="inlineStr">
        <is>
          <t>TVA la încasare</t>
        </is>
      </c>
      <c r="H10" s="43" t="inlineStr">
        <is>
          <t>F-401</t>
        </is>
      </c>
      <c r="I10" s="43" t="str">
        <f>IF(AND(ISNUMBER(F10),F10&gt;0),"DA","NU")</f>
        <v>DA</v>
      </c>
    </row>
    <row r="11">
      <c r="A11" s="43" t="n">
        <v>8</v>
      </c>
      <c r="B11" s="43" t="inlineStr">
        <is>
          <t>B4 Înc.</t>
        </is>
      </c>
      <c r="C11" s="43" t="str">
        <f>Declarații_TVA_INC!B18</f>
        <v>2026-07-28</v>
      </c>
      <c r="D11" s="43" t="str">
        <f>Jurnale_TVA_INC!B28</f>
        <v>4428.INC</v>
      </c>
      <c r="E11" s="43" t="str">
        <f>Jurnale_TVA_INC!E28</f>
        <v>4427</v>
      </c>
      <c r="F11" s="43">
        <f>Jurnale_TVA_INC!C28</f>
        <v>1680</v>
      </c>
      <c r="G11" s="43" t="inlineStr">
        <is>
          <t>TVA la încasare</t>
        </is>
      </c>
      <c r="H11" s="43" t="inlineStr">
        <is>
          <t>F-401</t>
        </is>
      </c>
      <c r="I11" s="43" t="str">
        <f>IF(AND(ISNUMBER(F11),F11&gt;0),"DA","NU")</f>
        <v>DA</v>
      </c>
    </row>
    <row r="13">
      <c r="A13" s="43" t="inlineStr">
        <is>
          <t>Check global</t>
        </is>
      </c>
      <c r="B13" s="43">
        <f>Jurnale_TVA_INC!B31</f>
        <v>0</v>
      </c>
      <c r="C13" s="43" t="str">
        <f>IF(ABS(B13)&lt;0.01,"OK","EROARE")</f>
        <v>OK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8" customWidth="1" style="40" min="1" max="1"/>
    <col width="30" customWidth="1" style="40" min="2" max="2"/>
    <col width="54" customWidth="1" style="40" min="3" max="3"/>
  </cols>
  <sheetData>
    <row r="1">
      <c r="A1" s="41" t="inlineStr">
        <is>
          <t>MOD_INCHIDERE_TVA — Declarații (input)</t>
        </is>
      </c>
    </row>
    <row r="2">
      <c r="A2" s="44" t="inlineStr">
        <is>
          <t>Completează doar celulele galbene cu scris albastru. Restul sunt formule sau text fix.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CUI</t>
        </is>
      </c>
      <c r="B6" s="43" t="str">
        <f>Parametri!B6</f>
        <v>RO00000000</v>
      </c>
    </row>
    <row r="7">
      <c r="A7" s="43" t="inlineStr">
        <is>
          <t>Luna (AAAA-LL)</t>
        </is>
      </c>
      <c r="B7" s="64" t="inlineStr">
        <is>
          <t>2026-07</t>
        </is>
      </c>
    </row>
    <row r="8">
      <c r="A8" s="43" t="inlineStr">
        <is>
          <t>Data jurnal (ultima zi a lunii)</t>
        </is>
      </c>
      <c r="B8" s="64" t="inlineStr">
        <is>
          <t>2026-07-31</t>
        </is>
      </c>
    </row>
    <row r="10">
      <c r="A10" s="42" t="inlineStr">
        <is>
          <t>2. Rulaje TVA din jurnale (introducere manuală din balanță / jurnale SAGA)</t>
        </is>
      </c>
    </row>
    <row r="11">
      <c r="A11" s="43" t="inlineStr">
        <is>
          <t>Rulaj debitor 4426 (TVA deductibilă)</t>
        </is>
      </c>
      <c r="B11" s="64" t="n">
        <v>10500</v>
      </c>
    </row>
    <row r="12">
      <c r="A12" s="43" t="inlineStr">
        <is>
          <t>Rulaj creditor 4427 (TVA colectată)</t>
        </is>
      </c>
      <c r="B12" s="64" t="n">
        <v>15750</v>
      </c>
    </row>
    <row r="14">
      <c r="A14" s="42" t="inlineStr">
        <is>
          <t>3. Politică de conturi (din planul pe rol)</t>
        </is>
      </c>
    </row>
    <row r="15">
      <c r="A15" s="43" t="inlineStr">
        <is>
          <t>Cont TVA deductibilă</t>
        </is>
      </c>
      <c r="B15" s="64" t="inlineStr">
        <is>
          <t>4426</t>
        </is>
      </c>
    </row>
    <row r="16">
      <c r="A16" s="43" t="inlineStr">
        <is>
          <t>Cont TVA colectată</t>
        </is>
      </c>
      <c r="B16" s="64" t="inlineStr">
        <is>
          <t>4427</t>
        </is>
      </c>
    </row>
    <row r="17">
      <c r="A17" s="43" t="inlineStr">
        <is>
          <t>Cont TVA de plată</t>
        </is>
      </c>
      <c r="B17" s="64" t="inlineStr">
        <is>
          <t>4423</t>
        </is>
      </c>
    </row>
    <row r="18">
      <c r="A18" s="43" t="inlineStr">
        <is>
          <t>Cont TVA de recuperat</t>
        </is>
      </c>
      <c r="B18" s="64" t="inlineStr">
        <is>
          <t>4424</t>
        </is>
      </c>
    </row>
    <row r="20">
      <c r="A20" s="42" t="inlineStr">
        <is>
          <t>4. Calcul automat (nu edita)</t>
        </is>
      </c>
    </row>
    <row r="21">
      <c r="A21" s="43" t="inlineStr">
        <is>
          <t>Sold net (4427 − 4426)</t>
        </is>
      </c>
      <c r="B21" s="43">
        <f>B12-B11</f>
        <v>5250</v>
      </c>
    </row>
    <row r="22">
      <c r="A22" s="43" t="inlineStr">
        <is>
          <t>Direcție</t>
        </is>
      </c>
      <c r="B22" s="43" t="str">
        <f>IF(B21&gt;0,"TVA de plată (4423)","TVA de recuperat (4424)")</f>
        <v>TVA de plată (4423)</v>
      </c>
    </row>
    <row r="23">
      <c r="A23" s="43" t="inlineStr">
        <is>
          <t>Sumă pe 4423</t>
        </is>
      </c>
      <c r="B23" s="43">
        <f>IF(B21&gt;0,B21,0)</f>
        <v>5250</v>
      </c>
    </row>
    <row r="24">
      <c r="A24" s="43" t="inlineStr">
        <is>
          <t>Sumă pe 4424</t>
        </is>
      </c>
      <c r="B24" s="43">
        <f>IF(B21&lt;0,-B21,0)</f>
        <v>0</v>
      </c>
    </row>
    <row r="26">
      <c r="A26" s="42" t="inlineStr">
        <is>
          <t>5. Sufix descriere (generat)</t>
        </is>
      </c>
    </row>
    <row r="27">
      <c r="A27" s="43" t="inlineStr">
        <is>
          <t>Sufix</t>
        </is>
      </c>
      <c r="B27" s="43" t="str">
        <f>"— închidere TVA " &amp; B7</f>
        <v>— închidere TVA 2026-07</v>
      </c>
    </row>
    <row r="29">
      <c r="A29" s="42" t="inlineStr">
        <is>
          <t>6. Control</t>
        </is>
      </c>
    </row>
    <row r="30">
      <c r="A30" s="43" t="inlineStr">
        <is>
          <t>Check: 4426 și 4427 trebuie să aibă sold 0 după notă</t>
        </is>
      </c>
      <c r="B30" s="43" t="inlineStr">
        <is>
          <t>OK dacă nota e înregistrată integral</t>
        </is>
      </c>
    </row>
    <row r="31">
      <c r="A31" s="43" t="inlineStr">
        <is>
          <t>Modul activ în CatalogModule?</t>
        </is>
      </c>
      <c r="B31" s="43" t="str">
        <f>IF(INDEX(CatalogModule!$A$1:$A$200,MATCH("MOD_INCHIDERE_TVA",CatalogModule!$B$1:$B$200,0))="DA","ACTIV — jurnalele se generează","INACTIV — jurnalele rămân goale")</f>
        <v>ACTIV — jurnalele se generează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22" customWidth="1" style="40" min="2" max="2"/>
    <col width="22" customWidth="1" style="40" min="3" max="3"/>
    <col width="28" customWidth="1" style="40" min="4" max="4"/>
    <col width="22" customWidth="1" style="40" min="5" max="5"/>
    <col width="52" customWidth="1" style="40" min="6" max="6"/>
  </cols>
  <sheetData>
    <row r="1">
      <c r="A1" s="41" t="inlineStr">
        <is>
          <t>MOD_INCHIDERE_TVA — Reguli (tabele fixe)</t>
        </is>
      </c>
    </row>
    <row r="2">
      <c r="A2" s="44" t="inlineStr">
        <is>
          <t>Regula fiscală/contabilă este dată, nu formulă. Se editează doar când se schimbă legea sau politica firmei.</t>
        </is>
      </c>
    </row>
    <row r="4">
      <c r="A4" s="42" t="inlineStr">
        <is>
          <t>Tabel A — Secvența de închidere</t>
        </is>
      </c>
    </row>
    <row r="5">
      <c r="A5" s="65" t="inlineStr">
        <is>
          <t>Pas</t>
        </is>
      </c>
      <c r="B5" s="65" t="inlineStr">
        <is>
          <t>Cont Dr</t>
        </is>
      </c>
      <c r="C5" s="65" t="inlineStr">
        <is>
          <t>Cont Cr</t>
        </is>
      </c>
      <c r="D5" s="65" t="inlineStr">
        <is>
          <t>Sumă (sursă)</t>
        </is>
      </c>
      <c r="E5" s="65" t="inlineStr">
        <is>
          <t>Condiție</t>
        </is>
      </c>
      <c r="F5" s="65" t="inlineStr">
        <is>
          <t>Temei / observație</t>
        </is>
      </c>
    </row>
    <row r="6">
      <c r="A6" s="43" t="n">
        <v>1</v>
      </c>
      <c r="B6" s="43" t="inlineStr">
        <is>
          <t>4427</t>
        </is>
      </c>
      <c r="C6" s="43" t="inlineStr">
        <is>
          <t>4426</t>
        </is>
      </c>
      <c r="D6" s="43" t="inlineStr">
        <is>
          <t>MIN(rulaj 4426, rulaj 4427)</t>
        </is>
      </c>
      <c r="E6" s="43" t="inlineStr">
        <is>
          <t>Întotdeauna</t>
        </is>
      </c>
      <c r="F6" s="43" t="inlineStr">
        <is>
          <t>Stingere reciprocă a rulajelor — fără sold intermediar</t>
        </is>
      </c>
    </row>
    <row r="7">
      <c r="A7" s="43" t="n">
        <v>2</v>
      </c>
      <c r="B7" s="43" t="inlineStr">
        <is>
          <t>4427</t>
        </is>
      </c>
      <c r="C7" s="43" t="inlineStr">
        <is>
          <t>4423</t>
        </is>
      </c>
      <c r="D7" s="43" t="inlineStr">
        <is>
          <t>MAX(0, 4427−4426)</t>
        </is>
      </c>
      <c r="E7" s="43" t="inlineStr">
        <is>
          <t>Dacă 4427 &gt; 4426</t>
        </is>
      </c>
      <c r="F7" s="43" t="inlineStr">
        <is>
          <t>Sold net = TVA de plată către buget</t>
        </is>
      </c>
    </row>
    <row r="8">
      <c r="A8" s="43" t="n">
        <v>3</v>
      </c>
      <c r="B8" s="43" t="inlineStr">
        <is>
          <t>4424</t>
        </is>
      </c>
      <c r="C8" s="43" t="inlineStr">
        <is>
          <t>4426</t>
        </is>
      </c>
      <c r="D8" s="43" t="inlineStr">
        <is>
          <t>MAX(0, 4426−4427)</t>
        </is>
      </c>
      <c r="E8" s="43" t="inlineStr">
        <is>
          <t>Dacă 4426 &gt; 4427</t>
        </is>
      </c>
      <c r="F8" s="43" t="inlineStr">
        <is>
          <t>Sold net = TVA de recuperat / de rambursat</t>
        </is>
      </c>
    </row>
    <row r="10">
      <c r="A10" s="42" t="inlineStr">
        <is>
          <t>Tabel B — Conturi din planul pe rol (referință)</t>
        </is>
      </c>
    </row>
    <row r="11">
      <c r="A11" s="65" t="inlineStr">
        <is>
          <t>Cont</t>
        </is>
      </c>
      <c r="B11" s="65" t="inlineStr">
        <is>
          <t>Denumire</t>
        </is>
      </c>
      <c r="C11" s="65" t="inlineStr">
        <is>
          <t>Rol</t>
        </is>
      </c>
      <c r="D11" s="65" t="inlineStr">
        <is>
          <t>Observație din Plan de conturi</t>
        </is>
      </c>
    </row>
    <row r="12">
      <c r="A12" s="43" t="inlineStr">
        <is>
          <t>4426</t>
        </is>
      </c>
      <c r="B12" s="43" t="inlineStr">
        <is>
          <t>TVA deductibilă</t>
        </is>
      </c>
      <c r="C12" s="43" t="inlineStr">
        <is>
          <t>Tranzit / reflectare</t>
        </is>
      </c>
      <c r="D12" s="43" t="inlineStr">
        <is>
          <t>Jurnal cumpărări; se închide lunar; fără sold</t>
        </is>
      </c>
    </row>
    <row r="13">
      <c r="A13" s="43" t="inlineStr">
        <is>
          <t>4427</t>
        </is>
      </c>
      <c r="B13" s="43" t="inlineStr">
        <is>
          <t>TVA colectată</t>
        </is>
      </c>
      <c r="C13" s="43" t="inlineStr">
        <is>
          <t>Tranzit / reflectare</t>
        </is>
      </c>
      <c r="D13" s="43" t="inlineStr">
        <is>
          <t>Jurnal vânzări; se închide lunar; fără sold</t>
        </is>
      </c>
    </row>
    <row r="14">
      <c r="A14" s="43" t="inlineStr">
        <is>
          <t>4423</t>
        </is>
      </c>
      <c r="B14" s="43" t="inlineStr">
        <is>
          <t>TVA de plată</t>
        </is>
      </c>
      <c r="C14" s="43" t="inlineStr">
        <is>
          <t>Patrimonial — Datorie</t>
        </is>
      </c>
      <c r="D14" s="43" t="inlineStr">
        <is>
          <t>Sold datorie lunară către buget</t>
        </is>
      </c>
    </row>
    <row r="15">
      <c r="A15" s="43" t="inlineStr">
        <is>
          <t>4424</t>
        </is>
      </c>
      <c r="B15" s="43" t="inlineStr">
        <is>
          <t>TVA de recuperat</t>
        </is>
      </c>
      <c r="C15" s="43" t="inlineStr">
        <is>
          <t>Patrimonial — Creanță</t>
        </is>
      </c>
      <c r="D15" s="43" t="inlineStr">
        <is>
          <t>Sold creanță / de rambursat</t>
        </is>
      </c>
    </row>
    <row r="17">
      <c r="A17" s="42" t="inlineStr">
        <is>
          <t>Tabel C — Porți de calitate</t>
        </is>
      </c>
    </row>
    <row r="18">
      <c r="A18" s="44" t="inlineStr">
        <is>
          <t>• ΣDr = ΣCr pe notă</t>
        </is>
      </c>
    </row>
    <row r="19">
      <c r="A19" s="44" t="inlineStr">
        <is>
          <t>• După înregistrare: sold 4426 = 0 și sold 4427 = 0</t>
        </is>
      </c>
    </row>
    <row r="20">
      <c r="A20" s="44" t="inlineStr">
        <is>
          <t>• Sold 4423 sau 4424 = |4427 − 4426|</t>
        </is>
      </c>
    </row>
    <row r="21">
      <c r="A21" s="44" t="inlineStr">
        <is>
          <t>• Descrierile conțin sufixul generat (luna)</t>
        </is>
      </c>
    </row>
    <row r="22">
      <c r="A22" s="44" t="inlineStr">
        <is>
          <t>• Modulul nu creează analitice noi — folosește conturile din Declarații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0" customWidth="1" style="40" min="1" max="1"/>
    <col width="16" customWidth="1" style="40" min="2" max="2"/>
    <col width="14" customWidth="1" style="40" min="3" max="3"/>
    <col width="46" customWidth="1" style="40" min="4" max="4"/>
    <col width="16" customWidth="1" style="40" min="5" max="5"/>
    <col width="14" customWidth="1" style="40" min="6" max="6"/>
    <col width="46" customWidth="1" style="40" min="7" max="7"/>
  </cols>
  <sheetData>
    <row r="1">
      <c r="A1" s="41" t="inlineStr">
        <is>
          <t>MOD_INCHIDERE_TVA — Jurnale (generate automat)</t>
        </is>
      </c>
    </row>
    <row r="2">
      <c r="A2" s="44" t="inlineStr">
        <is>
          <t>Nu se scrie nimic manual. Toate sumele și descrierile derivă din Declarații_INCHIDERE_TVA.</t>
        </is>
      </c>
    </row>
    <row r="4">
      <c r="A4" s="42" t="inlineStr">
        <is>
          <t>Bloc 1 — Închiderea lunară 4426 / 4427</t>
        </is>
      </c>
    </row>
    <row r="5">
      <c r="A5" s="43" t="inlineStr">
        <is>
          <t>Data jurnal:</t>
        </is>
      </c>
      <c r="B5" s="43" t="str">
        <f>Declarații_INCHIDERE_TVA!B8</f>
        <v>2026-07-31</v>
      </c>
    </row>
    <row r="7">
      <c r="A7" s="42" t="inlineStr">
        <is>
          <t>Înregistrări</t>
        </is>
      </c>
    </row>
    <row r="8">
      <c r="A8" s="65" t="inlineStr">
        <is>
          <t>Nr</t>
        </is>
      </c>
      <c r="B8" s="65" t="inlineStr">
        <is>
          <t>Cont Dr</t>
        </is>
      </c>
      <c r="C8" s="65" t="inlineStr">
        <is>
          <t>Sumă Dr</t>
        </is>
      </c>
      <c r="D8" s="65" t="inlineStr">
        <is>
          <t>Descriere Dr</t>
        </is>
      </c>
      <c r="E8" s="65" t="inlineStr">
        <is>
          <t>Cont Cr</t>
        </is>
      </c>
      <c r="F8" s="65" t="inlineStr">
        <is>
          <t>Sumă Cr</t>
        </is>
      </c>
      <c r="G8" s="65" t="inlineStr">
        <is>
          <t>Descriere Cr</t>
        </is>
      </c>
    </row>
    <row r="9">
      <c r="A9" s="43" t="n">
        <v>1</v>
      </c>
      <c r="B9" s="43" t="str">
        <f>Declarații_INCHIDERE_TVA!B16</f>
        <v>4427</v>
      </c>
      <c r="C9" s="43">
        <f>MIN(Declarații_INCHIDERE_TVA!B11,Declarații_INCHIDERE_TVA!B12)</f>
        <v>10500</v>
      </c>
      <c r="D9" s="43" t="str">
        <f>"Stingere TVA colectată " &amp; Declarații_INCHIDERE_TVA!B27</f>
        <v>Stingere TVA colectată — închidere TVA 2026-07</v>
      </c>
      <c r="E9" s="43" t="str">
        <f>Declarații_INCHIDERE_TVA!B15</f>
        <v>4426</v>
      </c>
      <c r="F9" s="43">
        <f>MIN(Declarații_INCHIDERE_TVA!B11,Declarații_INCHIDERE_TVA!B12)</f>
        <v>10500</v>
      </c>
      <c r="G9" s="43" t="str">
        <f>"Stingere TVA deductibilă " &amp; Declarații_INCHIDERE_TVA!B27</f>
        <v>Stingere TVA deductibilă — închidere TVA 2026-07</v>
      </c>
    </row>
    <row r="10">
      <c r="A10" s="43" t="n">
        <v>2</v>
      </c>
      <c r="B10" s="43" t="str">
        <f>Declarații_INCHIDERE_TVA!B16</f>
        <v>4427</v>
      </c>
      <c r="C10" s="43">
        <f>Declarații_INCHIDERE_TVA!B23</f>
        <v>5250</v>
      </c>
      <c r="D10" s="43" t="str">
        <f>"TVA de plată (sold net) " &amp; Declarații_INCHIDERE_TVA!B27</f>
        <v>TVA de plată (sold net) — închidere TVA 2026-07</v>
      </c>
      <c r="E10" s="43" t="str">
        <f>Declarații_INCHIDERE_TVA!B17</f>
        <v>4423</v>
      </c>
      <c r="F10" s="43">
        <f>Declarații_INCHIDERE_TVA!B23</f>
        <v>5250</v>
      </c>
      <c r="G10" s="43" t="str">
        <f>"Datorie TVA buget " &amp; Declarații_INCHIDERE_TVA!B27</f>
        <v>Datorie TVA buget — închidere TVA 2026-07</v>
      </c>
    </row>
    <row r="11">
      <c r="A11" s="43" t="n">
        <v>3</v>
      </c>
      <c r="B11" s="43" t="str">
        <f>Declarații_INCHIDERE_TVA!B18</f>
        <v>4424</v>
      </c>
      <c r="C11" s="43">
        <f>Declarații_INCHIDERE_TVA!B24</f>
        <v>0</v>
      </c>
      <c r="D11" s="43" t="str">
        <f>"TVA de recuperat (sold net) " &amp; Declarații_INCHIDERE_TVA!B27</f>
        <v>TVA de recuperat (sold net) — închidere TVA 2026-07</v>
      </c>
      <c r="E11" s="43" t="str">
        <f>Declarații_INCHIDERE_TVA!B15</f>
        <v>4426</v>
      </c>
      <c r="F11" s="43">
        <f>Declarații_INCHIDERE_TVA!B24</f>
        <v>0</v>
      </c>
      <c r="G11" s="43" t="str">
        <f>"Stingere rest TVA deductibilă " &amp; Declarații_INCHIDERE_TVA!B27</f>
        <v>Stingere rest TVA deductibilă — închidere TVA 2026-07</v>
      </c>
    </row>
    <row r="13">
      <c r="A13" s="42" t="inlineStr">
        <is>
          <t>Sumar</t>
        </is>
      </c>
    </row>
    <row r="14">
      <c r="A14" s="43" t="inlineStr">
        <is>
          <t>Total Dr</t>
        </is>
      </c>
      <c r="B14" s="43">
        <f>C9+C10+C11</f>
        <v>15750</v>
      </c>
    </row>
    <row r="15">
      <c r="A15" s="43" t="inlineStr">
        <is>
          <t>Total Cr</t>
        </is>
      </c>
      <c r="B15" s="43">
        <f>F9+F10+F11</f>
        <v>15750</v>
      </c>
    </row>
    <row r="16">
      <c r="A16" s="43" t="inlineStr">
        <is>
          <t>Check Σ (structural)</t>
        </is>
      </c>
      <c r="B16" s="43">
        <f>B14-B15</f>
        <v>0</v>
      </c>
      <c r="C16" s="43" t="str">
        <f>IF(ABS(B16)&lt;0.01,"OK — notă se închide","EROARE")</f>
        <v>OK — notă se închide</v>
      </c>
    </row>
    <row r="17">
      <c r="A17" s="43" t="inlineStr">
        <is>
          <t>Check net (REAL)</t>
        </is>
      </c>
      <c r="B17" s="43">
        <f>ABS(Declarații_INCHIDERE_TVA!B12-Declarații_INCHIDERE_TVA!B11)-(C10+C11)</f>
        <v>0</v>
      </c>
      <c r="C17" s="43" t="str">
        <f>IF(ABS(B17)&lt;0.01,"OK — net repartizat pe 4423/4424","EROARE — net ≠ |4427−4426|")</f>
        <v>OK — net repartizat pe 4423/4424</v>
      </c>
    </row>
    <row r="18">
      <c r="A18" s="43" t="inlineStr">
        <is>
          <t>Check exclusivitate 4423/4424</t>
        </is>
      </c>
      <c r="B18" s="43">
        <f>IF(AND(C10&gt;0.01,C11&gt;0.01),1,0)</f>
        <v>0</v>
      </c>
      <c r="C18" s="43" t="str">
        <f>IF(B18=0,"OK — un singur cont de sold","EROARE — 4423 și 4424 ambele &gt;0")</f>
        <v>OK — un singur cont de sold</v>
      </c>
    </row>
    <row r="19">
      <c r="A19" s="44" t="inlineStr">
        <is>
          <t>Stare terminală așteptată: sold 4426=0, sold 4427=0, sold 4423 sau 4424 = |4427−4426|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26" customWidth="1" style="40" min="2" max="2"/>
    <col width="14" customWidth="1" style="40" min="3" max="3"/>
    <col width="12" customWidth="1" style="40" min="4" max="4"/>
    <col width="12" customWidth="1" style="40" min="5" max="5"/>
    <col width="14" customWidth="1" style="40" min="6" max="6"/>
    <col width="46" customWidth="1" style="40" min="7" max="7"/>
    <col width="26" customWidth="1" style="40" min="8" max="8"/>
    <col width="10" customWidth="1" style="40" min="9" max="9"/>
  </cols>
  <sheetData>
    <row r="1">
      <c r="A1" s="41" t="inlineStr">
        <is>
          <t>MOD_INCHIDERE_TVA — Notă pentru import (1 rând = 1 înregistrare)</t>
        </is>
      </c>
    </row>
    <row r="2">
      <c r="A2" s="44" t="inlineStr">
        <is>
          <t>Filtrează pe coloana Include = DA înainte de import în SAGA / alt program. Echilibrul se verifică pe bloc în Jurnale, nu pe totalul listei.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Bloc 1 — Închidere TVA</t>
        </is>
      </c>
      <c r="C5" s="43" t="str">
        <f>Declarații_INCHIDERE_TVA!B8</f>
        <v>2026-07-31</v>
      </c>
      <c r="D5" s="43" t="str">
        <f>Jurnale_INCHIDERE_TVA!B9</f>
        <v>4427</v>
      </c>
      <c r="E5" s="43" t="str">
        <f>Jurnale_INCHIDERE_TVA!E9</f>
        <v>4426</v>
      </c>
      <c r="F5" s="43">
        <f>Jurnale_INCHIDERE_TVA!C9</f>
        <v>10500</v>
      </c>
      <c r="G5" s="43" t="str">
        <f>Jurnale_INCHIDERE_TVA!D9</f>
        <v>Stingere TVA colectată — închidere TVA 2026-07</v>
      </c>
      <c r="H5" s="43" t="inlineStr">
        <is>
          <t>Închidere lunară TVA</t>
        </is>
      </c>
      <c r="I5" s="43" t="str">
        <f>IF(F5&gt;0,"DA","NU")</f>
        <v>DA</v>
      </c>
    </row>
    <row r="6">
      <c r="A6" s="43" t="n">
        <v>2</v>
      </c>
      <c r="B6" s="43" t="inlineStr">
        <is>
          <t>Bloc 1 — Închidere TVA</t>
        </is>
      </c>
      <c r="C6" s="43" t="str">
        <f>Declarații_INCHIDERE_TVA!B8</f>
        <v>2026-07-31</v>
      </c>
      <c r="D6" s="43" t="str">
        <f>Jurnale_INCHIDERE_TVA!B10</f>
        <v>4427</v>
      </c>
      <c r="E6" s="43" t="str">
        <f>Jurnale_INCHIDERE_TVA!E10</f>
        <v>4423</v>
      </c>
      <c r="F6" s="43">
        <f>Jurnale_INCHIDERE_TVA!C10</f>
        <v>5250</v>
      </c>
      <c r="G6" s="43" t="str">
        <f>Jurnale_INCHIDERE_TVA!D10</f>
        <v>TVA de plată (sold net) — închidere TVA 2026-07</v>
      </c>
      <c r="H6" s="43" t="inlineStr">
        <is>
          <t>Închidere lunară TVA</t>
        </is>
      </c>
      <c r="I6" s="43" t="str">
        <f>IF(F6&gt;0,"DA","NU")</f>
        <v>DA</v>
      </c>
    </row>
    <row r="7">
      <c r="A7" s="43" t="n">
        <v>3</v>
      </c>
      <c r="B7" s="43" t="inlineStr">
        <is>
          <t>Bloc 1 — Închidere TVA</t>
        </is>
      </c>
      <c r="C7" s="43" t="str">
        <f>Declarații_INCHIDERE_TVA!B8</f>
        <v>2026-07-31</v>
      </c>
      <c r="D7" s="43" t="str">
        <f>Jurnale_INCHIDERE_TVA!B11</f>
        <v>4424</v>
      </c>
      <c r="E7" s="43" t="str">
        <f>Jurnale_INCHIDERE_TVA!E11</f>
        <v>4426</v>
      </c>
      <c r="F7" s="43">
        <f>Jurnale_INCHIDERE_TVA!C11</f>
        <v>0</v>
      </c>
      <c r="G7" s="43" t="str">
        <f>Jurnale_INCHIDERE_TVA!D11</f>
        <v>TVA de recuperat (sold net) — închidere TVA 2026-07</v>
      </c>
      <c r="H7" s="43" t="inlineStr">
        <is>
          <t>Închidere lunară TVA</t>
        </is>
      </c>
      <c r="I7" s="43" t="str">
        <f>IF(F7&gt;0,"DA","NU")</f>
        <v>NU</v>
      </c>
    </row>
    <row r="9">
      <c r="A9" s="43" t="inlineStr">
        <is>
          <t>Rânduri de importat (Include=DA)</t>
        </is>
      </c>
      <c r="B9" s="43">
        <f>COUNTIF(I5:I7,"DA")</f>
        <v>2</v>
      </c>
    </row>
    <row r="10">
      <c r="A10" s="43" t="inlineStr">
        <is>
          <t>Check global (trebuie 0)</t>
        </is>
      </c>
      <c r="B10" s="43">
        <f>Jurnale_INCHIDERE_TVA!B16</f>
        <v>0</v>
      </c>
      <c r="C10" s="43" t="str">
        <f>IF(ABS(B10)&lt;0.01,"OK","EROARE")</f>
        <v>OK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50" customWidth="1" style="40" min="1" max="1"/>
    <col width="22" customWidth="1" style="40" min="2" max="2"/>
    <col width="58" customWidth="1" style="40" min="3" max="3"/>
  </cols>
  <sheetData>
    <row r="1">
      <c r="A1" s="41" t="inlineStr">
        <is>
          <t>MOD_FARA_DOCUMENT — Declarații (input)</t>
        </is>
      </c>
    </row>
    <row r="2">
      <c r="A2" s="44" t="inlineStr">
        <is>
          <t>Două cazuri independente. Pune DA pe cel care s-a întâmplat — de obicei primul se aplică lunar, al doilea doar după inventar.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CUI</t>
        </is>
      </c>
      <c r="B6" s="43" t="str">
        <f>Parametri!B6</f>
        <v>RO00000000</v>
      </c>
    </row>
    <row r="7">
      <c r="A7" s="43" t="inlineStr">
        <is>
          <t>Luna (AAAA-LL)</t>
        </is>
      </c>
      <c r="B7" s="64" t="inlineStr">
        <is>
          <t>2026-07</t>
        </is>
      </c>
    </row>
    <row r="8">
      <c r="A8" s="43" t="inlineStr">
        <is>
          <t>Data jurnal</t>
        </is>
      </c>
      <c r="B8" s="64" t="inlineStr">
        <is>
          <t>2026-07-31</t>
        </is>
      </c>
    </row>
    <row r="9">
      <c r="A9" s="43" t="inlineStr">
        <is>
          <t>Cota TVA</t>
        </is>
      </c>
      <c r="B9" s="64" t="n">
        <v>0.21</v>
      </c>
    </row>
    <row r="11">
      <c r="A11" s="42" t="inlineStr">
        <is>
          <t>2. Cazul A — Vehicul cu regim mixt (deducere 50%)</t>
        </is>
      </c>
    </row>
    <row r="12">
      <c r="A12" s="43" t="inlineStr">
        <is>
          <t>Se aplică? (DA/NU)</t>
        </is>
      </c>
      <c r="B12" s="64" t="inlineStr">
        <is>
          <t>DA</t>
        </is>
      </c>
    </row>
    <row r="13">
      <c r="A13" s="43" t="inlineStr">
        <is>
          <t>Regim (MIXT / EXCLUSIV / EXCEPTAT)</t>
        </is>
      </c>
      <c r="B13" s="64" t="inlineStr">
        <is>
          <t>MIXT</t>
        </is>
      </c>
    </row>
    <row r="14">
      <c r="A14" s="43" t="inlineStr">
        <is>
          <t>Valoare factură fără TVA</t>
        </is>
      </c>
      <c r="B14" s="64" t="n">
        <v>1000</v>
      </c>
    </row>
    <row r="15">
      <c r="A15" s="43" t="inlineStr">
        <is>
          <t>TVA de pe factură (auto)</t>
        </is>
      </c>
      <c r="B15" s="43">
        <f>ROUND(B14*B9,2)</f>
        <v>210</v>
      </c>
    </row>
    <row r="16">
      <c r="A16" s="43" t="inlineStr">
        <is>
          <t>Procent de deducere (auto)</t>
        </is>
      </c>
      <c r="B16" s="43">
        <f>IF(B13="MIXT",param_proc_vehicul,1)</f>
        <v>0.5</v>
      </c>
      <c r="C16" s="44" t="inlineStr">
        <is>
          <t>La MIXT vine din param_proc_vehicul; la EXCLUSIV și EXCEPTAT se deduce integral</t>
        </is>
      </c>
    </row>
    <row r="17">
      <c r="A17" s="43" t="inlineStr">
        <is>
          <t>TVA deductibilă (auto)</t>
        </is>
      </c>
      <c r="B17" s="43">
        <f>ROUND(B15*B16,2)</f>
        <v>105</v>
      </c>
    </row>
    <row r="18">
      <c r="A18" s="43" t="inlineStr">
        <is>
          <t>TVA nedeductibilă (auto)</t>
        </is>
      </c>
      <c r="B18" s="43">
        <f>B15-B17</f>
        <v>105</v>
      </c>
    </row>
    <row r="19">
      <c r="A19" s="43" t="inlineStr">
        <is>
          <t>Cheltuială = net + TVA nedeductibilă (auto)</t>
        </is>
      </c>
      <c r="B19" s="43">
        <f>B14+B18</f>
        <v>1105</v>
      </c>
      <c r="C19" s="44" t="inlineStr">
        <is>
          <t>TVA nedeductibilă NU se pierde: se incorporează în cheltuială</t>
        </is>
      </c>
    </row>
    <row r="20">
      <c r="A20" s="43" t="inlineStr">
        <is>
          <t>Total factură (auto)</t>
        </is>
      </c>
      <c r="B20" s="43">
        <f>B14+B15</f>
        <v>1210</v>
      </c>
    </row>
    <row r="22">
      <c r="A22" s="42" t="inlineStr">
        <is>
          <t>3. Cazul B — Lipsă la inventar</t>
        </is>
      </c>
    </row>
    <row r="23">
      <c r="A23" s="43" t="inlineStr">
        <is>
          <t>Se aplică? (DA/NU)</t>
        </is>
      </c>
      <c r="B23" s="64" t="inlineStr">
        <is>
          <t>DA</t>
        </is>
      </c>
    </row>
    <row r="24">
      <c r="A24" s="43" t="inlineStr">
        <is>
          <t>Lipsa e JUSTIFICATĂ? (DA/NU)</t>
        </is>
      </c>
      <c r="B24" s="64" t="inlineStr">
        <is>
          <t>NU</t>
        </is>
      </c>
      <c r="C24" s="44" t="inlineStr">
        <is>
          <t>Calamitate, perisabilități în limita legală, casare documentată. Nejustificată = se colectează TVA</t>
        </is>
      </c>
    </row>
    <row r="25">
      <c r="A25" s="43" t="inlineStr">
        <is>
          <t>Costul bunului lipsă</t>
        </is>
      </c>
      <c r="B25" s="64" t="n">
        <v>1200</v>
      </c>
    </row>
    <row r="26">
      <c r="A26" s="43" t="inlineStr">
        <is>
          <t>TVA de colectat (auto)</t>
        </is>
      </c>
      <c r="B26" s="43">
        <f>IF(B24="DA",0,ROUND(B25*B9,2))</f>
        <v>252</v>
      </c>
    </row>
    <row r="28">
      <c r="A28" s="42" t="inlineStr">
        <is>
          <t>4. Conturi</t>
        </is>
      </c>
    </row>
    <row r="29">
      <c r="A29" s="43" t="inlineStr">
        <is>
          <t>Cheltuială cu serviciile (628)</t>
        </is>
      </c>
      <c r="B29" s="64" t="inlineStr">
        <is>
          <t>628</t>
        </is>
      </c>
    </row>
    <row r="30">
      <c r="A30" s="43" t="inlineStr">
        <is>
          <t>Alte cheltuieli de exploatare (658)</t>
        </is>
      </c>
      <c r="B30" s="64" t="inlineStr">
        <is>
          <t>658</t>
        </is>
      </c>
    </row>
    <row r="31">
      <c r="A31" s="43" t="inlineStr">
        <is>
          <t>Furnizor</t>
        </is>
      </c>
      <c r="B31" s="64" t="inlineStr">
        <is>
          <t>401</t>
        </is>
      </c>
    </row>
    <row r="32">
      <c r="A32" s="43" t="inlineStr">
        <is>
          <t>Cont stoc</t>
        </is>
      </c>
      <c r="B32" s="64" t="inlineStr">
        <is>
          <t>371</t>
        </is>
      </c>
    </row>
    <row r="33">
      <c r="A33" s="43" t="inlineStr">
        <is>
          <t>TVA deductibilă</t>
        </is>
      </c>
      <c r="B33" s="64" t="inlineStr">
        <is>
          <t>4426</t>
        </is>
      </c>
    </row>
    <row r="34">
      <c r="A34" s="43" t="inlineStr">
        <is>
          <t>TVA colectată</t>
        </is>
      </c>
      <c r="B34" s="64" t="inlineStr">
        <is>
          <t>4427</t>
        </is>
      </c>
    </row>
    <row r="36">
      <c r="A36" s="42" t="inlineStr">
        <is>
          <t>5. Sufix</t>
        </is>
      </c>
    </row>
    <row r="37">
      <c r="A37" s="43" t="inlineStr">
        <is>
          <t>Sufix</t>
        </is>
      </c>
      <c r="B37" s="43" t="str">
        <f>"— fără document " &amp; B7</f>
        <v>— fără document 2026-07</v>
      </c>
    </row>
    <row r="39">
      <c r="A39" s="42" t="inlineStr">
        <is>
          <t>6. Control</t>
        </is>
      </c>
    </row>
    <row r="40">
      <c r="A40" s="43" t="inlineStr">
        <is>
          <t>Modul activ?</t>
        </is>
      </c>
      <c r="B40" s="43" t="str">
        <f>IF(INDEX(CatalogModule!$A$1:$A$200,MATCH("MOD_FARA_DOCUMENT",CatalogModule!$B$1:$B$200,0))="DA","ACTIV","INACTIV")</f>
        <v>INACTIV</v>
      </c>
    </row>
    <row r="41">
      <c r="A41" s="43" t="inlineStr">
        <is>
          <t>Verificare: cheltuială + TVA dedusă = total factură</t>
        </is>
      </c>
      <c r="B41" s="43" t="str">
        <f>IF(OR(B12&lt;&gt;"DA",ABS((B19+B17)-B20)&lt;0.01),"OK — TVA nedeductibilă e în cheltuială, nimic nu se pierde","EROARE — nota nu acoperă totalul facturii")</f>
        <v>OK — TVA nedeductibilă e în cheltuială, nimic nu se pierde</v>
      </c>
    </row>
    <row r="42">
      <c r="A42" s="43" t="inlineStr">
        <is>
          <t>Regula de sens la lipsă</t>
        </is>
      </c>
      <c r="B42" s="43" t="str">
        <f>IF(AND(B23="DA",B24&lt;&gt;"DA"),"4427 se CREDITEAZĂ — colectezi, nu storna deducerea","—")</f>
        <v>4427 se CREDITEAZĂ — colectezi, nu storna deducerea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4" customWidth="1" style="40" min="1" max="1"/>
    <col width="32" customWidth="1" style="40" min="2" max="2"/>
    <col width="44" customWidth="1" style="40" min="3" max="3"/>
    <col width="52" customWidth="1" style="40" min="4" max="4"/>
  </cols>
  <sheetData>
    <row r="1">
      <c r="A1" s="41" t="inlineStr">
        <is>
          <t>MOD_FARA_DOCUMENT — Reguli (tabele fixe)</t>
        </is>
      </c>
    </row>
    <row r="2">
      <c r="A2" s="44" t="inlineStr">
        <is>
          <t>Regula e dată, nu formulă. Se editează doar când se schimbă legea.</t>
        </is>
      </c>
    </row>
    <row r="4">
      <c r="A4" s="42" t="inlineStr">
        <is>
          <t>Tabel A — Regimuri și tratamente</t>
        </is>
      </c>
    </row>
    <row r="5">
      <c r="A5" s="65" t="inlineStr">
        <is>
          <t>Caz</t>
        </is>
      </c>
      <c r="B5" s="65" t="inlineStr">
        <is>
          <t>TVA</t>
        </is>
      </c>
      <c r="C5" s="65" t="inlineStr">
        <is>
          <t>Partea nedeductibilă</t>
        </is>
      </c>
      <c r="D5" s="65" t="inlineStr">
        <is>
          <t>Temei / condiție</t>
        </is>
      </c>
    </row>
    <row r="6">
      <c r="A6" s="43" t="inlineStr">
        <is>
          <t>Vehicul cu regim MIXT (personal + business)</t>
        </is>
      </c>
      <c r="B6" s="43" t="inlineStr">
        <is>
          <t>se deduce 50%</t>
        </is>
      </c>
      <c r="C6" s="43" t="inlineStr">
        <is>
          <t>jumătatea nedeductibilă intră în cheltuială</t>
        </is>
      </c>
      <c r="D6" s="43" t="inlineStr">
        <is>
          <t>art. 298 CF (TVA) și art. 25 alin. (3) lit. l) CF (cheltuieli)</t>
        </is>
      </c>
    </row>
    <row r="7">
      <c r="A7" s="43" t="inlineStr">
        <is>
          <t>Vehicul folosit EXCLUSIV în scop economic</t>
        </is>
      </c>
      <c r="B7" s="43" t="inlineStr">
        <is>
          <t>se deduce 100%</t>
        </is>
      </c>
      <c r="C7" s="43" t="inlineStr">
        <is>
          <t>nimic — TVA e integral deductibilă</t>
        </is>
      </c>
      <c r="D7" s="43" t="inlineStr">
        <is>
          <t>cere foaie de parcurs care să dovedească utilizarea exclusivă</t>
        </is>
      </c>
    </row>
    <row r="8">
      <c r="A8" s="43" t="inlineStr">
        <is>
          <t>Vehicul EXCEPTAT (taxi, școală de șoferi, intervenție, agenți de vânzări…)</t>
        </is>
      </c>
      <c r="B8" s="43" t="inlineStr">
        <is>
          <t>se deduce 100%</t>
        </is>
      </c>
      <c r="C8" s="43" t="inlineStr">
        <is>
          <t>nimic</t>
        </is>
      </c>
      <c r="D8" s="43" t="inlineStr">
        <is>
          <t>art. 298 alin. (2) CF — enumerare limitativă</t>
        </is>
      </c>
    </row>
    <row r="9">
      <c r="A9" s="43" t="inlineStr">
        <is>
          <t>Lipsă la inventar NEJUSTIFICATĂ</t>
        </is>
      </c>
      <c r="B9" s="43" t="inlineStr">
        <is>
          <t>se COLECTEAZĂ pe valoarea bunului</t>
        </is>
      </c>
      <c r="C9" s="43" t="inlineStr">
        <is>
          <t>cheltuiala e valoarea bunului; TVA colectată e separată</t>
        </is>
      </c>
      <c r="D9" s="43" t="inlineStr">
        <is>
          <t>bunul se tratează ca livrat către sine</t>
        </is>
      </c>
    </row>
    <row r="10">
      <c r="A10" s="43" t="inlineStr">
        <is>
          <t>Lipsă JUSTIFICATĂ (calamitate, perisabilități în limită, casare documentată)</t>
        </is>
      </c>
      <c r="B10" s="43" t="inlineStr">
        <is>
          <t>nu se colectează</t>
        </is>
      </c>
      <c r="C10" s="43" t="inlineStr">
        <is>
          <t>—</t>
        </is>
      </c>
      <c r="D10" s="43" t="inlineStr">
        <is>
          <t>trebuie documentată, altfel intră la nejustificată</t>
        </is>
      </c>
    </row>
    <row r="12">
      <c r="A12" s="42" t="inlineStr">
        <is>
          <t>Tabel B — Cele două principii</t>
        </is>
      </c>
    </row>
    <row r="13">
      <c r="A13" s="44" t="inlineStr">
        <is>
          <t>(1) TVA nedeductibilă se INCORPOREAZĂ în cheltuială. Nu se pierde și nu rămâne pe 4426 — acolo ar produce un sold care nu se închide la finalul lunii.</t>
        </is>
      </c>
    </row>
    <row r="14">
      <c r="A14" s="44" t="inlineStr">
        <is>
          <t>(2) La lipsă nejustificată, 4427 se CREDITEAZĂ. Legea nu cere anularea deducerii, cere COLECTAREA: bunul se tratează ca livrat. Debitarea lui 4427 ar reduce TVA-ul colectat al lunii — exact invers decât trebuie.</t>
        </is>
      </c>
    </row>
    <row r="16">
      <c r="A16" s="42" t="inlineStr">
        <is>
          <t>Tabel C — Porți de calitate</t>
        </is>
      </c>
    </row>
    <row r="17">
      <c r="A17" s="44" t="inlineStr">
        <is>
          <t>• ΣDr = ΣCr pe fiecare bloc</t>
        </is>
      </c>
    </row>
    <row r="18">
      <c r="A18" s="44" t="inlineStr">
        <is>
          <t>• Cheltuială + TVA dedusă = totalul facturii (1.105 + 105 = 1.210)</t>
        </is>
      </c>
    </row>
    <row r="19">
      <c r="A19" s="44" t="inlineStr">
        <is>
          <t>• La regim MIXT se deduce exact procentul din param_proc_vehicul, nu unul scris în celulă</t>
        </is>
      </c>
    </row>
    <row r="20">
      <c r="A20" s="44" t="inlineStr">
        <is>
          <t>• La lipsă nejustificată, suma stă pe CREDITUL lui 4427</t>
        </is>
      </c>
    </row>
    <row r="21">
      <c r="A21" s="44" t="inlineStr">
        <is>
          <t>• Limitarea de 50% la TVA nu se cumulează cu plafonul de amortizare auto — sunt două mecanisme diferite (vezi param_plafon_amo_auto)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8" customWidth="1" style="40" min="1" max="1"/>
    <col width="16" customWidth="1" style="40" min="2" max="2"/>
    <col width="14" customWidth="1" style="40" min="3" max="3"/>
    <col width="52" customWidth="1" style="40" min="4" max="4"/>
    <col width="16" customWidth="1" style="40" min="5" max="5"/>
    <col width="14" customWidth="1" style="40" min="6" max="6"/>
    <col width="52" customWidth="1" style="40" min="7" max="7"/>
  </cols>
  <sheetData>
    <row r="1">
      <c r="A1" s="41" t="inlineStr">
        <is>
          <t>MOD_FARA_DOCUMENT — Jurnale (generate automat)</t>
        </is>
      </c>
    </row>
    <row r="2">
      <c r="A2" s="44" t="inlineStr">
        <is>
          <t>Blocul A e un articol compus: două debite (cheltuiala majorată și TVA dedusă) contra unui singur credit, totalul facturii.</t>
        </is>
      </c>
    </row>
    <row r="4">
      <c r="A4" s="42" t="inlineStr">
        <is>
          <t>Bloc A — Vehicul cu regim mixt</t>
        </is>
      </c>
    </row>
    <row r="5">
      <c r="A5" s="43" t="inlineStr">
        <is>
          <t>Data:</t>
        </is>
      </c>
      <c r="B5" s="43" t="str">
        <f>Declarații_FARA_DOCUMENT!B8</f>
        <v>2026-07-31</v>
      </c>
    </row>
    <row r="6">
      <c r="A6" s="65" t="inlineStr">
        <is>
          <t>Nr</t>
        </is>
      </c>
      <c r="B6" s="65" t="inlineStr">
        <is>
          <t>Cont Dr</t>
        </is>
      </c>
      <c r="C6" s="65" t="inlineStr">
        <is>
          <t>Sumă Dr</t>
        </is>
      </c>
      <c r="D6" s="65" t="inlineStr">
        <is>
          <t>Descriere Dr</t>
        </is>
      </c>
      <c r="E6" s="65" t="inlineStr">
        <is>
          <t>Cont Cr</t>
        </is>
      </c>
      <c r="F6" s="65" t="inlineStr">
        <is>
          <t>Sumă Cr</t>
        </is>
      </c>
      <c r="G6" s="65" t="inlineStr">
        <is>
          <t>Descriere Cr</t>
        </is>
      </c>
    </row>
    <row r="7">
      <c r="A7" s="43" t="n">
        <v>1</v>
      </c>
      <c r="B7" s="43" t="str">
        <f>Declarații_FARA_DOCUMENT!B29</f>
        <v>628</v>
      </c>
      <c r="C7" s="43">
        <f>IF(Declarații_FARA_DOCUMENT!B12="DA",Declarații_FARA_DOCUMENT!B19,0)</f>
        <v>1105</v>
      </c>
      <c r="D7" s="43" t="str">
        <f>"Cheltuială + TVA nedeductibilă " &amp; Declarații_FARA_DOCUMENT!B37</f>
        <v>Cheltuială + TVA nedeductibilă — fără document 2026-07</v>
      </c>
      <c r="E7" s="43" t="str">
        <f>Declarații_FARA_DOCUMENT!B31</f>
        <v>401</v>
      </c>
      <c r="F7" s="43">
        <f>IF(Declarații_FARA_DOCUMENT!B12="DA",Declarații_FARA_DOCUMENT!B20,0)</f>
        <v>1210</v>
      </c>
      <c r="G7" s="43" t="str">
        <f>"Datorie furnizor (total factură) " &amp; Declarații_FARA_DOCUMENT!B37</f>
        <v>Datorie furnizor (total factură) — fără document 2026-07</v>
      </c>
    </row>
    <row r="8">
      <c r="A8" s="43" t="n">
        <v>2</v>
      </c>
      <c r="B8" s="43" t="str">
        <f>Declarații_FARA_DOCUMENT!B33</f>
        <v>4426</v>
      </c>
      <c r="C8" s="43">
        <f>IF(Declarații_FARA_DOCUMENT!B12="DA",Declarații_FARA_DOCUMENT!B17,0)</f>
        <v>105</v>
      </c>
      <c r="D8" s="43" t="str">
        <f>"TVA deductibilă (procentul admis) " &amp; Declarații_FARA_DOCUMENT!B37</f>
        <v>TVA deductibilă (procentul admis) — fără document 2026-07</v>
      </c>
      <c r="E8" s="43" t="n">
        <v>0</v>
      </c>
      <c r="F8" s="43" t="n">
        <v>0</v>
      </c>
    </row>
    <row r="9">
      <c r="A9" s="43" t="inlineStr">
        <is>
          <t>Check A (cheltuială + TVA dedusă = total)</t>
        </is>
      </c>
      <c r="B9" s="43">
        <f>(C7+C8)-F7</f>
        <v>0</v>
      </c>
      <c r="C9" s="43" t="str">
        <f>IF(ABS(B9)&lt;0.01,"OK — nimic nu se pierde","EROARE")</f>
        <v>OK — nimic nu se pierde</v>
      </c>
    </row>
    <row r="11">
      <c r="A11" s="42" t="inlineStr">
        <is>
          <t>Bloc B — Lipsă la inventar nejustificată</t>
        </is>
      </c>
    </row>
    <row r="12">
      <c r="A12" s="65" t="inlineStr">
        <is>
          <t>Nr</t>
        </is>
      </c>
      <c r="B12" s="65" t="inlineStr">
        <is>
          <t>Cont Dr</t>
        </is>
      </c>
      <c r="C12" s="65" t="inlineStr">
        <is>
          <t>Sumă Dr</t>
        </is>
      </c>
      <c r="D12" s="65" t="inlineStr">
        <is>
          <t>Descriere Dr</t>
        </is>
      </c>
      <c r="E12" s="65" t="inlineStr">
        <is>
          <t>Cont Cr</t>
        </is>
      </c>
      <c r="F12" s="65" t="inlineStr">
        <is>
          <t>Sumă Cr</t>
        </is>
      </c>
      <c r="G12" s="65" t="inlineStr">
        <is>
          <t>Descriere Cr</t>
        </is>
      </c>
    </row>
    <row r="13">
      <c r="A13" s="43" t="n">
        <v>1</v>
      </c>
      <c r="B13" s="43" t="str">
        <f>Declarații_FARA_DOCUMENT!B30</f>
        <v>658</v>
      </c>
      <c r="C13" s="43">
        <f>IF(Declarații_FARA_DOCUMENT!B23="DA",Declarații_FARA_DOCUMENT!B25,0)</f>
        <v>1200</v>
      </c>
      <c r="D13" s="43" t="str">
        <f>"Cheltuială cu lipsa la inventar " &amp; Declarații_FARA_DOCUMENT!B37</f>
        <v>Cheltuială cu lipsa la inventar — fără document 2026-07</v>
      </c>
      <c r="E13" s="43" t="str">
        <f>Declarații_FARA_DOCUMENT!B32</f>
        <v>371</v>
      </c>
      <c r="F13" s="43">
        <f>IF(Declarații_FARA_DOCUMENT!B23="DA",Declarații_FARA_DOCUMENT!B25,0)</f>
        <v>1200</v>
      </c>
      <c r="G13" s="43" t="str">
        <f>"Descărcarea stocului lipsă " &amp; Declarații_FARA_DOCUMENT!B37</f>
        <v>Descărcarea stocului lipsă — fără document 2026-07</v>
      </c>
    </row>
    <row r="14">
      <c r="A14" s="43" t="inlineStr">
        <is>
          <t>Check B1 (descărcarea stocului)</t>
        </is>
      </c>
      <c r="B14" s="43">
        <f>C13-F13</f>
        <v>0</v>
      </c>
      <c r="C14" s="43" t="str">
        <f>IF(ABS(B14)&lt;0.01,"OK","EROARE")</f>
        <v>OK</v>
      </c>
    </row>
    <row r="15">
      <c r="A15" s="43" t="n">
        <v>2</v>
      </c>
      <c r="B15" s="43" t="str">
        <f>Declarații_FARA_DOCUMENT!B30</f>
        <v>658</v>
      </c>
      <c r="C15" s="43">
        <f>IF(Declarații_FARA_DOCUMENT!B23="DA",Declarații_FARA_DOCUMENT!B26,0)</f>
        <v>252</v>
      </c>
      <c r="D15" s="43" t="str">
        <f>"TVA colectată pe lipsă (NU stornare de deducere) " &amp; Declarații_FARA_DOCUMENT!B37</f>
        <v>TVA colectată pe lipsă (NU stornare de deducere) — fără document 2026-07</v>
      </c>
      <c r="E15" s="43" t="str">
        <f>Declarații_FARA_DOCUMENT!B34</f>
        <v>4427</v>
      </c>
      <c r="F15" s="43">
        <f>IF(Declarații_FARA_DOCUMENT!B23="DA",Declarații_FARA_DOCUMENT!B26,0)</f>
        <v>252</v>
      </c>
      <c r="G15" s="43" t="str">
        <f>"TVA colectată — bunul se tratează ca livrat " &amp; Declarații_FARA_DOCUMENT!B37</f>
        <v>TVA colectată — bunul se tratează ca livrat — fără document 2026-07</v>
      </c>
    </row>
    <row r="16">
      <c r="A16" s="43" t="inlineStr">
        <is>
          <t>Check B2 (4427 pe partea de CREDIT)</t>
        </is>
      </c>
      <c r="B16" s="43">
        <f>IF(E15=Declarații_FARA_DOCUMENT!B34,0,1)</f>
        <v>0</v>
      </c>
      <c r="C16" s="43" t="str">
        <f>IF(B16=0,"OK — 4427 creditat, cum trebuie","EROARE — 4427 nu e pe credit: la lipsă se colectează, nu se stornează deducerea")</f>
        <v>OK — 4427 creditat, cum trebuie</v>
      </c>
    </row>
    <row r="18">
      <c r="A18" s="43" t="inlineStr">
        <is>
          <t>Check global</t>
        </is>
      </c>
      <c r="B18" s="43">
        <f>ABS(B9)+ABS(B14)+ABS(B16)</f>
        <v>0</v>
      </c>
      <c r="C18" s="43" t="str">
        <f>IF(B18&lt;0.01,"OK — toate blocurile se închid","EROARE — cel puțin un bloc dezechilibrat")</f>
        <v>OK — toate blocurile se închid</v>
      </c>
    </row>
    <row r="20">
      <c r="A20" s="42" t="inlineStr">
        <is>
          <t>Stare terminală</t>
        </is>
      </c>
    </row>
    <row r="21">
      <c r="A21" s="44" t="inlineStr">
        <is>
          <t>Pe 4426 intră doar partea deductibilă; restul e cost și nu mai apare nicăieri ca TVA. Pe 4427 intră TVA-ul colectat pe lipsă, care majorează TVA-ul de plată al lunii — nu îl reduce.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30" customWidth="1" style="40" min="2" max="2"/>
    <col width="14" customWidth="1" style="40" min="3" max="3"/>
    <col width="12" customWidth="1" style="40" min="4" max="4"/>
    <col width="12" customWidth="1" style="40" min="5" max="5"/>
    <col width="14" customWidth="1" style="40" min="6" max="6"/>
    <col width="52" customWidth="1" style="40" min="7" max="7"/>
    <col width="26" customWidth="1" style="40" min="8" max="8"/>
    <col width="10" customWidth="1" style="40" min="9" max="9"/>
  </cols>
  <sheetData>
    <row r="1">
      <c r="A1" s="41" t="inlineStr">
        <is>
          <t>MOD_FARA_DOCUMENT — Notă pentru import</t>
        </is>
      </c>
    </row>
    <row r="2">
      <c r="A2" s="44" t="inlineStr">
        <is>
          <t>Filtrează Include=DA. Cazurile neactivate ies cu sumă 0 și apar ca NU.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A Auto — cheltuiala</t>
        </is>
      </c>
      <c r="C5" s="43" t="str">
        <f>Declarații_FARA_DOCUMENT!B8</f>
        <v>2026-07-31</v>
      </c>
      <c r="D5" s="43" t="str">
        <f>Jurnale_FARA_DOCUMENT!B7</f>
        <v>628</v>
      </c>
      <c r="E5" s="43" t="str">
        <f>Jurnale_FARA_DOCUMENT!E7</f>
        <v>401</v>
      </c>
      <c r="F5" s="43">
        <f>Jurnale_FARA_DOCUMENT!C7</f>
        <v>1105</v>
      </c>
      <c r="G5" s="43" t="str">
        <f>Jurnale_FARA_DOCUMENT!D7</f>
        <v>Cheltuială + TVA nedeductibilă — fără document 2026-07</v>
      </c>
      <c r="H5" s="43" t="inlineStr">
        <is>
          <t>Factură</t>
        </is>
      </c>
      <c r="I5" s="43" t="str">
        <f>IF(AND(ISNUMBER(F5),F5&gt;0),"DA","NU")</f>
        <v>DA</v>
      </c>
    </row>
    <row r="6">
      <c r="A6" s="43" t="n">
        <v>2</v>
      </c>
      <c r="B6" s="43" t="inlineStr">
        <is>
          <t>A Auto — TVA dedusă</t>
        </is>
      </c>
      <c r="C6" s="43" t="str">
        <f>Declarații_FARA_DOCUMENT!B8</f>
        <v>2026-07-31</v>
      </c>
      <c r="D6" s="43" t="str">
        <f>Jurnale_FARA_DOCUMENT!B8</f>
        <v>4426</v>
      </c>
      <c r="E6" s="43" t="str">
        <f>Jurnale_FARA_DOCUMENT!E7</f>
        <v>401</v>
      </c>
      <c r="F6" s="43">
        <f>Jurnale_FARA_DOCUMENT!C8</f>
        <v>105</v>
      </c>
      <c r="G6" s="43" t="str">
        <f>Jurnale_FARA_DOCUMENT!D8</f>
        <v>TVA deductibilă (procentul admis) — fără document 2026-07</v>
      </c>
      <c r="H6" s="43" t="inlineStr">
        <is>
          <t>Factură</t>
        </is>
      </c>
      <c r="I6" s="43" t="str">
        <f>IF(AND(ISNUMBER(F6),F6&gt;0),"DA","NU")</f>
        <v>DA</v>
      </c>
    </row>
    <row r="7">
      <c r="A7" s="43" t="n">
        <v>3</v>
      </c>
      <c r="B7" s="43" t="inlineStr">
        <is>
          <t>B Lipsă — cheltuiala</t>
        </is>
      </c>
      <c r="C7" s="43" t="str">
        <f>Declarații_FARA_DOCUMENT!B8</f>
        <v>2026-07-31</v>
      </c>
      <c r="D7" s="43" t="str">
        <f>Jurnale_FARA_DOCUMENT!B13</f>
        <v>658</v>
      </c>
      <c r="E7" s="43" t="str">
        <f>Jurnale_FARA_DOCUMENT!E13</f>
        <v>371</v>
      </c>
      <c r="F7" s="43">
        <f>Jurnale_FARA_DOCUMENT!C13</f>
        <v>1200</v>
      </c>
      <c r="G7" s="43" t="str">
        <f>Jurnale_FARA_DOCUMENT!D13</f>
        <v>Cheltuială cu lipsa la inventar — fără document 2026-07</v>
      </c>
      <c r="H7" s="43" t="inlineStr">
        <is>
          <t>Proces-verbal inventar</t>
        </is>
      </c>
      <c r="I7" s="43" t="str">
        <f>IF(AND(ISNUMBER(F7),F7&gt;0),"DA","NU")</f>
        <v>DA</v>
      </c>
    </row>
    <row r="8">
      <c r="A8" s="43" t="n">
        <v>4</v>
      </c>
      <c r="B8" s="43" t="inlineStr">
        <is>
          <t>B Lipsă — TVA colectată</t>
        </is>
      </c>
      <c r="C8" s="43" t="str">
        <f>Declarații_FARA_DOCUMENT!B8</f>
        <v>2026-07-31</v>
      </c>
      <c r="D8" s="43" t="str">
        <f>Jurnale_FARA_DOCUMENT!B15</f>
        <v>658</v>
      </c>
      <c r="E8" s="43" t="str">
        <f>Jurnale_FARA_DOCUMENT!E15</f>
        <v>4427</v>
      </c>
      <c r="F8" s="43">
        <f>Jurnale_FARA_DOCUMENT!C15</f>
        <v>252</v>
      </c>
      <c r="G8" s="43" t="str">
        <f>Jurnale_FARA_DOCUMENT!D15</f>
        <v>TVA colectată pe lipsă (NU stornare de deducere) — fără document 2026-07</v>
      </c>
      <c r="H8" s="43" t="inlineStr">
        <is>
          <t>Proces-verbal inventar</t>
        </is>
      </c>
      <c r="I8" s="43" t="str">
        <f>IF(AND(ISNUMBER(F8),F8&gt;0),"DA","NU")</f>
        <v>DA</v>
      </c>
    </row>
    <row r="10">
      <c r="A10" s="43" t="inlineStr">
        <is>
          <t>Rânduri de importat</t>
        </is>
      </c>
      <c r="B10" s="43">
        <f>COUNTIF(I5:I8,"DA")</f>
        <v>4</v>
      </c>
    </row>
    <row r="11">
      <c r="A11" s="43" t="inlineStr">
        <is>
          <t>Check global</t>
        </is>
      </c>
      <c r="B11" s="43">
        <f>Jurnale_FARA_DOCUMENT!B18</f>
        <v>0</v>
      </c>
      <c r="C11" s="43" t="str">
        <f>IF(ABS(B11)&lt;0.01,"OK","EROARE")</f>
        <v>OK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style="40" min="1" max="1"/>
    <col width="30" customWidth="1" style="40" min="2" max="2"/>
    <col width="58" customWidth="1" style="40" min="3" max="3"/>
  </cols>
  <sheetData>
    <row r="1">
      <c r="A1" s="41" t="inlineStr">
        <is>
          <t>MOD_INTERMEDIAR — Declarații (input)</t>
        </is>
      </c>
    </row>
    <row r="2">
      <c r="A2" s="44" t="inlineStr">
        <is>
          <t>Modul generic pentru conturi de tip Intermediar / clarificare: 408, 418, 581, 473. Alege tipul, completează sumele și conturile — jurnalele se generează pe cele două momente (deschidere + stingere).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CUI</t>
        </is>
      </c>
      <c r="B6" s="43" t="str">
        <f>Parametri!B6</f>
        <v>RO00000000</v>
      </c>
    </row>
    <row r="7">
      <c r="A7" s="43" t="inlineStr">
        <is>
          <t>Luna (AAAA-LL)</t>
        </is>
      </c>
      <c r="B7" s="64" t="inlineStr">
        <is>
          <t>2026-07</t>
        </is>
      </c>
    </row>
    <row r="9">
      <c r="A9" s="42" t="inlineStr">
        <is>
          <t>2. Tip intermediar (poartă principală)</t>
        </is>
      </c>
    </row>
    <row r="10">
      <c r="A10" s="43" t="inlineStr">
        <is>
          <t>Tip (408 / 418 / 581 / 473)</t>
        </is>
      </c>
      <c r="B10" s="64" t="inlineStr">
        <is>
          <t>473</t>
        </is>
      </c>
    </row>
    <row r="11">
      <c r="A11" s="43" t="inlineStr">
        <is>
          <t>Descriere tip (auto)</t>
        </is>
      </c>
      <c r="B11" s="43" t="str">
        <f>IF(B10="408","Furnizori — facturi nesosite",IF(B10="418","Clienți — facturi de întocmit",IF(B10="581","Viramente interne",IF(B10="473","Operațiuni în curs de clarificare","Tip necunoscut — verifică"))))</f>
        <v>Operațiuni în curs de clarificare</v>
      </c>
    </row>
    <row r="13">
      <c r="A13" s="42" t="inlineStr">
        <is>
          <t>3. Moment deschidere (Bloc 1)</t>
        </is>
      </c>
    </row>
    <row r="14">
      <c r="A14" s="43" t="inlineStr">
        <is>
          <t>Data deschidere</t>
        </is>
      </c>
      <c r="B14" s="64" t="inlineStr">
        <is>
          <t>2026-07-15</t>
        </is>
      </c>
    </row>
    <row r="15">
      <c r="A15" s="43" t="inlineStr">
        <is>
          <t>Sumă</t>
        </is>
      </c>
      <c r="B15" s="64" t="n">
        <v>2350</v>
      </c>
    </row>
    <row r="16">
      <c r="A16" s="43" t="inlineStr">
        <is>
          <t>Cont intermediar (Dr sau Cr după tip)</t>
        </is>
      </c>
      <c r="B16" s="64" t="inlineStr">
        <is>
          <t>473</t>
        </is>
      </c>
    </row>
    <row r="17">
      <c r="A17" s="43" t="inlineStr">
        <is>
          <t>Cont contrapartidă deschidere</t>
        </is>
      </c>
      <c r="B17" s="64" t="inlineStr">
        <is>
          <t>5121</t>
        </is>
      </c>
    </row>
    <row r="18">
      <c r="A18" s="43" t="inlineStr">
        <is>
          <t>Sens deschidere (Dr_intermediar / Cr_intermediar)</t>
        </is>
      </c>
      <c r="B18" s="64" t="inlineStr">
        <is>
          <t>Cr_intermediar</t>
        </is>
      </c>
    </row>
    <row r="19">
      <c r="A19" s="43" t="inlineStr">
        <is>
          <t>Document / referință deschidere</t>
        </is>
      </c>
      <c r="B19" s="64" t="inlineStr">
        <is>
          <t>Extras bancă 15.07 — sumă neidentificată</t>
        </is>
      </c>
    </row>
    <row r="21">
      <c r="A21" s="42" t="inlineStr">
        <is>
          <t>4. Moment stingere (Bloc 2)</t>
        </is>
      </c>
    </row>
    <row r="22">
      <c r="A22" s="43" t="inlineStr">
        <is>
          <t>Data stingere</t>
        </is>
      </c>
      <c r="B22" s="64" t="inlineStr">
        <is>
          <t>2026-07-22</t>
        </is>
      </c>
    </row>
    <row r="23">
      <c r="A23" s="43" t="inlineStr">
        <is>
          <t>Cont final (după clarificare)</t>
        </is>
      </c>
      <c r="B23" s="64" t="inlineStr">
        <is>
          <t>411.RO</t>
        </is>
      </c>
    </row>
    <row r="24">
      <c r="A24" s="43" t="inlineStr">
        <is>
          <t>Document / referință stingere</t>
        </is>
      </c>
      <c r="B24" s="64" t="inlineStr">
        <is>
          <t>Identificat: client X, factura Y</t>
        </is>
      </c>
    </row>
    <row r="26">
      <c r="A26" s="42" t="inlineStr">
        <is>
          <t>5. Sufix descriere (generat)</t>
        </is>
      </c>
    </row>
    <row r="27">
      <c r="A27" s="43" t="inlineStr">
        <is>
          <t>Sufix</t>
        </is>
      </c>
      <c r="B27" s="43" t="str">
        <f>"— " &amp; B7 &amp; " — " &amp; B10 &amp; " — " &amp; B19</f>
        <v>— 2026-07 — 473 — Extras bancă 15.07 — sumă neidentificată</v>
      </c>
    </row>
    <row r="29">
      <c r="A29" s="42" t="inlineStr">
        <is>
          <t>6. Control</t>
        </is>
      </c>
    </row>
    <row r="30">
      <c r="A30" s="43" t="inlineStr">
        <is>
          <t>Modul activ?</t>
        </is>
      </c>
      <c r="B30" s="43" t="str">
        <f>IF(INDEX(CatalogModule!$A$1:$A$200,MATCH("MOD_INTERMEDIAR",CatalogModule!$B$1:$B$200,0))="DA","ACTIV","INACTIV")</f>
        <v>INACTIV</v>
      </c>
      <c r="C30" s="44" t="inlineStr">
        <is>
          <t>Căutat pe codul modulului, nu pe rândul din catalog. Sămânța scria `CatalogModule!A14`: mutai un rând în catalog și celula citea steagul altui modul, fără să spună nimic.</t>
        </is>
      </c>
    </row>
    <row r="31">
      <c r="A31" s="43" t="inlineStr">
        <is>
          <t>Regulă 473</t>
        </is>
      </c>
      <c r="B31" s="43" t="str">
        <f>IF(B10="473","Sold 473 la 31.12 = suspect — clarificare obligatorie","—")</f>
        <v>Sold 473 la 31.12 = suspect — clarificare obligatorie</v>
      </c>
      <c r="C31" s="44" t="inlineStr">
        <is>
          <t>Comparație text cu text. În sămânță era `=IF(B10=473,…)`, cu 473 ca NUMĂR — deci mereu FALSE, deci avertismentul nu apărea niciodată.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style="40" min="1" max="1"/>
    <col width="34" customWidth="1" style="40" min="2" max="2"/>
    <col width="14" customWidth="1" style="40" min="3" max="3"/>
    <col width="30" customWidth="1" style="40" min="4" max="4"/>
    <col width="30" customWidth="1" style="40" min="5" max="5"/>
    <col width="46" customWidth="1" style="40" min="6" max="6"/>
  </cols>
  <sheetData>
    <row r="1">
      <c r="A1" s="41" t="inlineStr">
        <is>
          <t>MOD_INTERMEDIAR — Reguli (tabele fixe)</t>
        </is>
      </c>
    </row>
    <row r="2">
      <c r="A2" s="44" t="inlineStr">
        <is>
          <t>Pattern comun: deschidere pe cont intermediar → stingere pe cont final când evenimentul discret (document, identificare, confirmare) are loc.</t>
        </is>
      </c>
    </row>
    <row r="4">
      <c r="A4" s="42" t="inlineStr">
        <is>
          <t>Tabel A — Tipuri și sensuri standard</t>
        </is>
      </c>
    </row>
    <row r="5">
      <c r="A5" s="65" t="inlineStr">
        <is>
          <t>Tip</t>
        </is>
      </c>
      <c r="B5" s="65" t="inlineStr">
        <is>
          <t>Denumire</t>
        </is>
      </c>
      <c r="C5" s="65" t="inlineStr">
        <is>
          <t>Rol</t>
        </is>
      </c>
      <c r="D5" s="65" t="inlineStr">
        <is>
          <t>Deschidere tipică</t>
        </is>
      </c>
      <c r="E5" s="65" t="inlineStr">
        <is>
          <t>Stingere tipică</t>
        </is>
      </c>
      <c r="F5" s="65" t="inlineStr">
        <is>
          <t>Pas revelator / red flag</t>
        </is>
      </c>
    </row>
    <row r="6">
      <c r="A6" s="43" t="inlineStr">
        <is>
          <t>408</t>
        </is>
      </c>
      <c r="B6" s="43" t="inlineStr">
        <is>
          <t>Furnizori — facturi nesosite</t>
        </is>
      </c>
      <c r="C6" s="43" t="inlineStr">
        <is>
          <t>Intermediar</t>
        </is>
      </c>
      <c r="D6" s="43" t="inlineStr">
        <is>
          <t>Dr stoc / 4426 = Cr 408</t>
        </is>
      </c>
      <c r="E6" s="43" t="inlineStr">
        <is>
          <t>Dr 408 = Cr 401</t>
        </is>
      </c>
      <c r="F6" s="43" t="inlineStr">
        <is>
          <t>Sold 408 la 31.12 = facturi încă nesosite</t>
        </is>
      </c>
    </row>
    <row r="7">
      <c r="A7" s="43" t="inlineStr">
        <is>
          <t>418</t>
        </is>
      </c>
      <c r="B7" s="43" t="inlineStr">
        <is>
          <t>Clienți — facturi de întocmit</t>
        </is>
      </c>
      <c r="C7" s="43" t="inlineStr">
        <is>
          <t>Intermediar</t>
        </is>
      </c>
      <c r="D7" s="43" t="inlineStr">
        <is>
          <t>Dr 418 = Cr venit / 4427</t>
        </is>
      </c>
      <c r="E7" s="43" t="inlineStr">
        <is>
          <t>Dr 411 = Cr 418</t>
        </is>
      </c>
      <c r="F7" s="43" t="inlineStr">
        <is>
          <t>Sold 418 = livrat nefacturat</t>
        </is>
      </c>
    </row>
    <row r="8">
      <c r="A8" s="43" t="inlineStr">
        <is>
          <t>581</t>
        </is>
      </c>
      <c r="B8" s="43" t="inlineStr">
        <is>
          <t>Viramente interne</t>
        </is>
      </c>
      <c r="C8" s="43" t="inlineStr">
        <is>
          <t>Intermediar</t>
        </is>
      </c>
      <c r="D8" s="43" t="inlineStr">
        <is>
          <t>Dr 581 = Cr 512 (ieșire)</t>
        </is>
      </c>
      <c r="E8" s="43" t="inlineStr">
        <is>
          <t>Dr 531/512 = Cr 581 (intrare)</t>
        </is>
      </c>
      <c r="F8" s="43" t="inlineStr">
        <is>
          <t>Sold 581 = transfer neconfirmat</t>
        </is>
      </c>
    </row>
    <row r="9">
      <c r="A9" s="43" t="inlineStr">
        <is>
          <t>473</t>
        </is>
      </c>
      <c r="B9" s="43" t="inlineStr">
        <is>
          <t>Operațiuni în curs de clarificare</t>
        </is>
      </c>
      <c r="C9" s="43" t="inlineStr">
        <is>
          <t>Intermediar</t>
        </is>
      </c>
      <c r="D9" s="43" t="inlineStr">
        <is>
          <t>Dr 512 = Cr 473 (intrare neid.)</t>
        </is>
      </c>
      <c r="E9" s="43" t="inlineStr">
        <is>
          <t>Dr 473 = Cr 411/401/768</t>
        </is>
      </c>
      <c r="F9" s="43" t="inlineStr">
        <is>
          <t>Sold 473 la 31.12 = SUSPECT — clarificare obligatorie</t>
        </is>
      </c>
    </row>
    <row r="11">
      <c r="A11" s="42" t="inlineStr">
        <is>
          <t>Tabel B — Secvența generică a modulului</t>
        </is>
      </c>
    </row>
    <row r="12">
      <c r="A12" s="65" t="inlineStr">
        <is>
          <t>Pas</t>
        </is>
      </c>
      <c r="B12" s="65" t="inlineStr">
        <is>
          <t>Moment</t>
        </is>
      </c>
      <c r="C12" s="65" t="inlineStr">
        <is>
          <t>Logică</t>
        </is>
      </c>
      <c r="D12" s="65" t="inlineStr">
        <is>
          <t>Condiție</t>
        </is>
      </c>
    </row>
    <row r="13">
      <c r="A13" s="43" t="n">
        <v>1</v>
      </c>
      <c r="B13" s="43" t="inlineStr">
        <is>
          <t>Deschidere</t>
        </is>
      </c>
      <c r="C13" s="43" t="inlineStr">
        <is>
          <t>Cont intermediar ↔ Cont contrapartidă (bancă/stoc/venit)</t>
        </is>
      </c>
      <c r="D13" s="43" t="inlineStr">
        <is>
          <t>Sensul (Dr/Cr intermediar) se alege în Declarații</t>
        </is>
      </c>
    </row>
    <row r="14">
      <c r="A14" s="43" t="n">
        <v>2</v>
      </c>
      <c r="B14" s="43" t="inlineStr">
        <is>
          <t>Stingere</t>
        </is>
      </c>
      <c r="C14" s="43" t="inlineStr">
        <is>
          <t>Cont intermediar ↔ Cont final (401/411/512/531/768…)</t>
        </is>
      </c>
      <c r="D14" s="43" t="inlineStr">
        <is>
          <t>Când documentul / identificarea / confirmarea există</t>
        </is>
      </c>
    </row>
    <row r="16">
      <c r="A16" s="42" t="inlineStr">
        <is>
          <t>Tabel C — Porți de calitate</t>
        </is>
      </c>
    </row>
    <row r="17">
      <c r="A17" s="44" t="inlineStr">
        <is>
          <t>• ΣDr = ΣCr pe fiecare bloc</t>
        </is>
      </c>
    </row>
    <row r="18">
      <c r="A18" s="44" t="inlineStr">
        <is>
          <t>• După stingere: sold cont intermediar = 0 pe această operațiune</t>
        </is>
      </c>
    </row>
    <row r="19">
      <c r="A19" s="44" t="inlineStr">
        <is>
          <t>• Pentru 473: dacă data stingerii e goală sau &gt; 31.12 → semnalează red flag</t>
        </is>
      </c>
    </row>
    <row r="20">
      <c r="A20" s="44" t="inlineStr">
        <is>
          <t>• Modulul nu amestecă tipurile — un set de Declarații = un tip + o operațiune</t>
        </is>
      </c>
    </row>
    <row r="22">
      <c r="A22" s="42" t="inlineStr">
        <is>
          <t>Temei legal</t>
        </is>
      </c>
    </row>
    <row r="23">
      <c r="A23" s="65" t="inlineStr">
        <is>
          <t>Ce se sprijină pe el</t>
        </is>
      </c>
      <c r="B23" s="65" t="inlineStr">
        <is>
          <t>Temei</t>
        </is>
      </c>
    </row>
    <row r="24">
      <c r="A24" s="43" t="inlineStr">
        <is>
          <t>408 / 418 — datorii și creanțe pentru care documentul n-a sosit</t>
        </is>
      </c>
      <c r="B24" s="43" t="inlineStr">
        <is>
          <t>OMFP 1802/2014 — funcțiunea conturilor de facturi nesosite / de întocmit</t>
        </is>
      </c>
    </row>
    <row r="25">
      <c r="A25" s="43" t="inlineStr">
        <is>
          <t>473 — operațiuni în curs de clarificare, cu sold nul la închiderea exercițiului</t>
        </is>
      </c>
      <c r="B25" s="43" t="inlineStr">
        <is>
          <t>OMFP 1802/2014 — funcțiunea contului 473; soldul la 31.12 e semnalat la audit</t>
        </is>
      </c>
    </row>
    <row r="26">
      <c r="A26" s="43" t="inlineStr">
        <is>
          <t>581 — viramente interne, evită dubla înregistrare între conturi de trezorerie</t>
        </is>
      </c>
      <c r="B26" s="43" t="inlineStr">
        <is>
          <t>OMFP 1802/2014 — funcțiunea contului 581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2" customWidth="1" style="40" min="1" max="1"/>
    <col width="16" customWidth="1" style="40" min="2" max="2"/>
    <col width="14" customWidth="1" style="40" min="3" max="3"/>
    <col width="52" customWidth="1" style="40" min="4" max="4"/>
    <col width="16" customWidth="1" style="40" min="5" max="5"/>
    <col width="14" customWidth="1" style="40" min="6" max="6"/>
    <col width="52" customWidth="1" style="40" min="7" max="7"/>
  </cols>
  <sheetData>
    <row r="1">
      <c r="A1" s="41" t="inlineStr">
        <is>
          <t>MOD_INTERMEDIAR — Jurnale (generate automat)</t>
        </is>
      </c>
    </row>
    <row r="2">
      <c r="A2" s="44" t="inlineStr">
        <is>
          <t>Sensul deschiderii (Dr sau Cr pe intermediar) se citește din Declarații. Stingerea inversează sensul.</t>
        </is>
      </c>
    </row>
    <row r="4">
      <c r="A4" s="42" t="inlineStr">
        <is>
          <t>Bloc 1 — Deschidere intermediar</t>
        </is>
      </c>
    </row>
    <row r="5">
      <c r="A5" s="43" t="inlineStr">
        <is>
          <t>Data:</t>
        </is>
      </c>
      <c r="B5" s="43" t="str">
        <f>Declarații_INTERMEDIAR!B14</f>
        <v>2026-07-15</v>
      </c>
    </row>
    <row r="6">
      <c r="A6" s="43" t="inlineStr">
        <is>
          <t>Tip:</t>
        </is>
      </c>
      <c r="B6" s="43" t="str">
        <f>Declarații_INTERMEDIAR!B10 &amp; " — " &amp; Declarații_INTERMEDIAR!B11</f>
        <v>473 — Operațiuni în curs de clarificare</v>
      </c>
    </row>
    <row r="8">
      <c r="A8" s="65" t="inlineStr">
        <is>
          <t>Nr</t>
        </is>
      </c>
      <c r="B8" s="65" t="inlineStr">
        <is>
          <t>Cont Dr</t>
        </is>
      </c>
      <c r="C8" s="65" t="inlineStr">
        <is>
          <t>Sumă Dr</t>
        </is>
      </c>
      <c r="D8" s="65" t="inlineStr">
        <is>
          <t>Descriere Dr</t>
        </is>
      </c>
      <c r="E8" s="65" t="inlineStr">
        <is>
          <t>Cont Cr</t>
        </is>
      </c>
      <c r="F8" s="65" t="inlineStr">
        <is>
          <t>Sumă Cr</t>
        </is>
      </c>
      <c r="G8" s="65" t="inlineStr">
        <is>
          <t>Descriere Cr</t>
        </is>
      </c>
    </row>
    <row r="9">
      <c r="A9" s="43" t="n">
        <v>1</v>
      </c>
      <c r="B9" s="43" t="str">
        <f>IF(Declarații_INTERMEDIAR!B18="Cr_intermediar",Declarații_INTERMEDIAR!B17,Declarații_INTERMEDIAR!B16)</f>
        <v>5121</v>
      </c>
      <c r="C9" s="43">
        <f>Declarații_INTERMEDIAR!B15</f>
        <v>2350</v>
      </c>
      <c r="D9" s="43" t="str">
        <f>IF(Declarații_INTERMEDIAR!B18="Cr_intermediar","Contrapartidă deschidere ","Deschidere intermediar ") &amp; Declarații_INTERMEDIAR!B27</f>
        <v>Contrapartidă deschidere — 2026-07 — 473 — Extras bancă 15.07 — sumă neidentificată</v>
      </c>
      <c r="E9" s="43" t="str">
        <f>IF(Declarații_INTERMEDIAR!B18="Cr_intermediar",Declarații_INTERMEDIAR!B16,Declarații_INTERMEDIAR!B17)</f>
        <v>473</v>
      </c>
      <c r="F9" s="43">
        <f>Declarații_INTERMEDIAR!B15</f>
        <v>2350</v>
      </c>
      <c r="G9" s="43" t="str">
        <f>IF(Declarații_INTERMEDIAR!B18="Cr_intermediar","Deschidere intermediar ","Contrapartidă deschidere ") &amp; Declarații_INTERMEDIAR!B27</f>
        <v>Deschidere intermediar — 2026-07 — 473 — Extras bancă 15.07 — sumă neidentificată</v>
      </c>
    </row>
    <row r="11">
      <c r="A11" s="43" t="inlineStr">
        <is>
          <t>Check B1</t>
        </is>
      </c>
      <c r="B11" s="43">
        <f>C9-F9</f>
        <v>0</v>
      </c>
      <c r="C11" s="43" t="str">
        <f>IF(ABS(B11)&lt;0.01,"OK","EROARE")</f>
        <v>OK</v>
      </c>
    </row>
    <row r="13">
      <c r="A13" s="42" t="inlineStr">
        <is>
          <t>Bloc 2 — Stingere intermediar (pas revelator)</t>
        </is>
      </c>
    </row>
    <row r="14">
      <c r="A14" s="43" t="inlineStr">
        <is>
          <t>Data:</t>
        </is>
      </c>
      <c r="B14" s="43" t="str">
        <f>Declarații_INTERMEDIAR!B22</f>
        <v>2026-07-22</v>
      </c>
    </row>
    <row r="16">
      <c r="A16" s="65" t="inlineStr">
        <is>
          <t>Nr</t>
        </is>
      </c>
      <c r="B16" s="65" t="inlineStr">
        <is>
          <t>Cont Dr</t>
        </is>
      </c>
      <c r="C16" s="65" t="inlineStr">
        <is>
          <t>Sumă Dr</t>
        </is>
      </c>
      <c r="D16" s="65" t="inlineStr">
        <is>
          <t>Descriere Dr</t>
        </is>
      </c>
      <c r="E16" s="65" t="inlineStr">
        <is>
          <t>Cont Cr</t>
        </is>
      </c>
      <c r="F16" s="65" t="inlineStr">
        <is>
          <t>Sumă Cr</t>
        </is>
      </c>
      <c r="G16" s="65" t="inlineStr">
        <is>
          <t>Descriere Cr</t>
        </is>
      </c>
    </row>
    <row r="17">
      <c r="A17" s="43" t="n">
        <v>1</v>
      </c>
      <c r="B17" s="43" t="str">
        <f>IF(Declarații_INTERMEDIAR!B18="Cr_intermediar",Declarații_INTERMEDIAR!B16,Declarații_INTERMEDIAR!B23)</f>
        <v>473</v>
      </c>
      <c r="C17" s="43">
        <f>Declarații_INTERMEDIAR!B15</f>
        <v>2350</v>
      </c>
      <c r="D17" s="43" t="str">
        <f>IF(Declarații_INTERMEDIAR!B18="Cr_intermediar","Stingere intermediar ","Cont final (stingere) ") &amp; Declarații_INTERMEDIAR!B27</f>
        <v>Stingere intermediar — 2026-07 — 473 — Extras bancă 15.07 — sumă neidentificată</v>
      </c>
      <c r="E17" s="43" t="str">
        <f>IF(Declarații_INTERMEDIAR!B18="Cr_intermediar",Declarații_INTERMEDIAR!B23,Declarații_INTERMEDIAR!B16)</f>
        <v>411.RO</v>
      </c>
      <c r="F17" s="43">
        <f>Declarații_INTERMEDIAR!B15</f>
        <v>2350</v>
      </c>
      <c r="G17" s="43" t="str">
        <f>IF(Declarații_INTERMEDIAR!B18="Cr_intermediar","Cont final (stingere) ","Stingere intermediar ") &amp; Declarații_INTERMEDIAR!B27</f>
        <v>Cont final (stingere) — 2026-07 — 473 — Extras bancă 15.07 — sumă neidentificată</v>
      </c>
    </row>
    <row r="19">
      <c r="A19" s="43" t="inlineStr">
        <is>
          <t>Check B2</t>
        </is>
      </c>
      <c r="B19" s="43">
        <f>C17-F17</f>
        <v>0</v>
      </c>
      <c r="C19" s="43" t="str">
        <f>IF(ABS(B19)&lt;0.01,"OK","EROARE")</f>
        <v>OK</v>
      </c>
    </row>
    <row r="21">
      <c r="A21" s="42" t="inlineStr">
        <is>
          <t>Stare terminală</t>
        </is>
      </c>
    </row>
    <row r="22">
      <c r="A22" s="44" t="inlineStr">
        <is>
          <t>Sold intermediar pe această operațiune = 0. Pentru 473: dacă rămâne sold la 31.12 → red flag audit.</t>
        </is>
      </c>
    </row>
    <row r="24">
      <c r="A24" s="43" t="inlineStr">
        <is>
          <t>Check global</t>
        </is>
      </c>
      <c r="B24" s="43">
        <f>ABS(B11)+ABS(B19)</f>
        <v>0</v>
      </c>
      <c r="C24" s="43" t="str">
        <f>IF(B24&lt;0.01,"OK — toate blocurile se închid","EROARE — cel puțin un bloc dezechilibrat")</f>
        <v>OK — toate blocurile se închid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24" customWidth="1" style="40" min="2" max="2"/>
    <col width="14" customWidth="1" style="40" min="3" max="3"/>
    <col width="12" customWidth="1" style="40" min="4" max="4"/>
    <col width="12" customWidth="1" style="40" min="5" max="5"/>
    <col width="14" customWidth="1" style="40" min="6" max="6"/>
    <col width="52" customWidth="1" style="40" min="7" max="7"/>
    <col width="38" customWidth="1" style="40" min="8" max="8"/>
    <col width="10" customWidth="1" style="40" min="9" max="9"/>
  </cols>
  <sheetData>
    <row r="1">
      <c r="A1" s="41" t="inlineStr">
        <is>
          <t>MOD_INTERMEDIAR — Notă pentru import</t>
        </is>
      </c>
    </row>
    <row r="2">
      <c r="A2" s="44" t="inlineStr">
        <is>
          <t>Filtrează Include=DA. Cele două blocuri pot avea date diferite (deschidere vs. stingere).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Bloc 1 — Deschidere</t>
        </is>
      </c>
      <c r="C5" s="43" t="str">
        <f>Declarații_INTERMEDIAR!B14</f>
        <v>2026-07-15</v>
      </c>
      <c r="D5" s="43" t="str">
        <f>Jurnale_INTERMEDIAR!B9</f>
        <v>5121</v>
      </c>
      <c r="E5" s="43" t="str">
        <f>Jurnale_INTERMEDIAR!E9</f>
        <v>473</v>
      </c>
      <c r="F5" s="43">
        <f>Jurnale_INTERMEDIAR!C9</f>
        <v>2350</v>
      </c>
      <c r="G5" s="43" t="str">
        <f>Jurnale_INTERMEDIAR!D9</f>
        <v>Contrapartidă deschidere — 2026-07 — 473 — Extras bancă 15.07 — sumă neidentificată</v>
      </c>
      <c r="H5" s="43" t="str">
        <f>Declarații_INTERMEDIAR!B19</f>
        <v>Extras bancă 15.07 — sumă neidentificată</v>
      </c>
      <c r="I5" s="43" t="str">
        <f>IF(F5&gt;0,"DA","NU")</f>
        <v>DA</v>
      </c>
    </row>
    <row r="6">
      <c r="A6" s="43" t="n">
        <v>2</v>
      </c>
      <c r="B6" s="43" t="inlineStr">
        <is>
          <t>Bloc 2 — Stingere</t>
        </is>
      </c>
      <c r="C6" s="43" t="str">
        <f>Declarații_INTERMEDIAR!B22</f>
        <v>2026-07-22</v>
      </c>
      <c r="D6" s="43" t="str">
        <f>Jurnale_INTERMEDIAR!B17</f>
        <v>473</v>
      </c>
      <c r="E6" s="43" t="str">
        <f>Jurnale_INTERMEDIAR!E17</f>
        <v>411.RO</v>
      </c>
      <c r="F6" s="43">
        <f>Jurnale_INTERMEDIAR!C17</f>
        <v>2350</v>
      </c>
      <c r="G6" s="43" t="str">
        <f>Jurnale_INTERMEDIAR!D17</f>
        <v>Stingere intermediar — 2026-07 — 473 — Extras bancă 15.07 — sumă neidentificată</v>
      </c>
      <c r="H6" s="43" t="str">
        <f>Declarații_INTERMEDIAR!B24</f>
        <v>Identificat: client X, factura Y</v>
      </c>
      <c r="I6" s="43" t="str">
        <f>IF(F6&gt;0,"DA","NU")</f>
        <v>DA</v>
      </c>
    </row>
    <row r="8">
      <c r="A8" s="43" t="inlineStr">
        <is>
          <t>Rânduri de importat</t>
        </is>
      </c>
      <c r="B8" s="43">
        <f>COUNTIF(I5:I6,"DA")</f>
        <v>2</v>
      </c>
    </row>
    <row r="9">
      <c r="A9" s="43" t="inlineStr">
        <is>
          <t>Check global</t>
        </is>
      </c>
      <c r="B9" s="43">
        <f>Jurnale_INTERMEDIAR!B24</f>
        <v>0</v>
      </c>
      <c r="C9" s="43" t="str">
        <f>IF(ABS(B9)&lt;0.01,"OK","EROARE")</f>
        <v>OK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52" customWidth="1" style="40" min="1" max="1"/>
    <col width="22" customWidth="1" style="40" min="2" max="2"/>
    <col width="58" customWidth="1" style="40" min="3" max="3"/>
  </cols>
  <sheetData>
    <row r="1">
      <c r="A1" s="41" t="inlineStr">
        <is>
          <t>MOD_AVANSURI — Declarații (input)</t>
        </is>
      </c>
    </row>
    <row r="2">
      <c r="A2" s="44" t="inlineStr">
        <is>
          <t>Trei situații independente: avans de la client, avans către furnizor, supraîncasare. Pune DA pe cele care s-au întâmplat.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CUI</t>
        </is>
      </c>
      <c r="B6" s="43" t="str">
        <f>Parametri!B6</f>
        <v>RO00000000</v>
      </c>
    </row>
    <row r="7">
      <c r="A7" s="43" t="inlineStr">
        <is>
          <t>Luna (AAAA-LL)</t>
        </is>
      </c>
      <c r="B7" s="64" t="inlineStr">
        <is>
          <t>2026-07</t>
        </is>
      </c>
    </row>
    <row r="8">
      <c r="A8" s="43" t="inlineStr">
        <is>
          <t>Data jurnal</t>
        </is>
      </c>
      <c r="B8" s="64" t="inlineStr">
        <is>
          <t>2026-07-31</t>
        </is>
      </c>
    </row>
    <row r="9">
      <c r="A9" s="43" t="inlineStr">
        <is>
          <t>Cota TVA</t>
        </is>
      </c>
      <c r="B9" s="64" t="n">
        <v>0.21</v>
      </c>
    </row>
    <row r="11">
      <c r="A11" s="42" t="inlineStr">
        <is>
          <t>2. Avans de la CLIENT (blocurile A și B)</t>
        </is>
      </c>
    </row>
    <row r="12">
      <c r="A12" s="43" t="inlineStr">
        <is>
          <t>Se aplică? (DA/NU)</t>
        </is>
      </c>
      <c r="B12" s="64" t="inlineStr">
        <is>
          <t>DA</t>
        </is>
      </c>
    </row>
    <row r="13">
      <c r="A13" s="43" t="inlineStr">
        <is>
          <t>Client</t>
        </is>
      </c>
      <c r="B13" s="64" t="inlineStr">
        <is>
          <t>Client DEMO</t>
        </is>
      </c>
    </row>
    <row r="14">
      <c r="A14" s="43" t="inlineStr">
        <is>
          <t>Avans încasat, fără TVA</t>
        </is>
      </c>
      <c r="B14" s="64" t="n">
        <v>5000</v>
      </c>
    </row>
    <row r="15">
      <c r="A15" s="43" t="inlineStr">
        <is>
          <t>TVA pe avans (auto)</t>
        </is>
      </c>
      <c r="B15" s="43">
        <f>ROUND(B14*B9,2)</f>
        <v>1050</v>
      </c>
    </row>
    <row r="16">
      <c r="A16" s="43" t="inlineStr">
        <is>
          <t>Total avans încasat (auto)</t>
        </is>
      </c>
      <c r="B16" s="43">
        <f>B14+B15</f>
        <v>6050</v>
      </c>
    </row>
    <row r="17">
      <c r="A17" s="43" t="inlineStr">
        <is>
          <t>Factura finală, fără TVA</t>
        </is>
      </c>
      <c r="B17" s="64" t="n">
        <v>12000</v>
      </c>
    </row>
    <row r="18">
      <c r="A18" s="43" t="inlineStr">
        <is>
          <t>TVA totală pe factură (auto)</t>
        </is>
      </c>
      <c r="B18" s="43">
        <f>ROUND(B17*B9,2)</f>
        <v>2520</v>
      </c>
    </row>
    <row r="19">
      <c r="A19" s="43" t="inlineStr">
        <is>
          <t>Total factură (auto)</t>
        </is>
      </c>
      <c r="B19" s="43">
        <f>B17+B18</f>
        <v>14520</v>
      </c>
    </row>
    <row r="20">
      <c r="A20" s="43" t="inlineStr">
        <is>
          <t>REST de TVA de colectat (auto)</t>
        </is>
      </c>
      <c r="B20" s="43">
        <f>B18-B15</f>
        <v>1470</v>
      </c>
      <c r="C20" s="44" t="inlineStr">
        <is>
          <t>Doar diferența — TVA-ul avansului a fost deja colectat</t>
        </is>
      </c>
    </row>
    <row r="21">
      <c r="A21" s="43" t="inlineStr">
        <is>
          <t>Rest de valoare (auto)</t>
        </is>
      </c>
      <c r="B21" s="43">
        <f>B17-B14</f>
        <v>7000</v>
      </c>
    </row>
    <row r="22">
      <c r="A22" s="43" t="inlineStr">
        <is>
          <t>Rămâne de încasat pe 411 (auto)</t>
        </is>
      </c>
      <c r="B22" s="43">
        <f>B19-B16</f>
        <v>8470</v>
      </c>
    </row>
    <row r="24">
      <c r="A24" s="42" t="inlineStr">
        <is>
          <t>3. Avans către FURNIZOR (blocurile C și D)</t>
        </is>
      </c>
    </row>
    <row r="25">
      <c r="A25" s="43" t="inlineStr">
        <is>
          <t>Se aplică? (DA/NU)</t>
        </is>
      </c>
      <c r="B25" s="64" t="inlineStr">
        <is>
          <t>DA</t>
        </is>
      </c>
    </row>
    <row r="26">
      <c r="A26" s="43" t="inlineStr">
        <is>
          <t>Furnizor</t>
        </is>
      </c>
      <c r="B26" s="64" t="inlineStr">
        <is>
          <t>Furnizor DEMO</t>
        </is>
      </c>
    </row>
    <row r="27">
      <c r="A27" s="43" t="inlineStr">
        <is>
          <t>Avans plătit, fără TVA</t>
        </is>
      </c>
      <c r="B27" s="64" t="n">
        <v>3000</v>
      </c>
    </row>
    <row r="28">
      <c r="A28" s="43" t="inlineStr">
        <is>
          <t>TVA pe avans (auto)</t>
        </is>
      </c>
      <c r="B28" s="43">
        <f>ROUND(B27*B9,2)</f>
        <v>630</v>
      </c>
    </row>
    <row r="29">
      <c r="A29" s="43" t="inlineStr">
        <is>
          <t>Total avans plătit (auto)</t>
        </is>
      </c>
      <c r="B29" s="43">
        <f>B27+B28</f>
        <v>3630</v>
      </c>
    </row>
    <row r="30">
      <c r="A30" s="43" t="inlineStr">
        <is>
          <t>Factura de recepție, fără TVA</t>
        </is>
      </c>
      <c r="B30" s="64" t="n">
        <v>8000</v>
      </c>
    </row>
    <row r="31">
      <c r="A31" s="43" t="inlineStr">
        <is>
          <t>TVA totală pe factură (auto)</t>
        </is>
      </c>
      <c r="B31" s="43">
        <f>ROUND(B30*B9,2)</f>
        <v>1680</v>
      </c>
    </row>
    <row r="32">
      <c r="A32" s="43" t="inlineStr">
        <is>
          <t>Total factură (auto)</t>
        </is>
      </c>
      <c r="B32" s="43">
        <f>B30+B31</f>
        <v>9680</v>
      </c>
    </row>
    <row r="33">
      <c r="A33" s="43" t="inlineStr">
        <is>
          <t>REST de TVA de dedus (auto)</t>
        </is>
      </c>
      <c r="B33" s="43">
        <f>B31-B28</f>
        <v>1050</v>
      </c>
    </row>
    <row r="34">
      <c r="A34" s="43" t="inlineStr">
        <is>
          <t>Rest de valoare (auto)</t>
        </is>
      </c>
      <c r="B34" s="43">
        <f>B30-B27</f>
        <v>5000</v>
      </c>
    </row>
    <row r="35">
      <c r="A35" s="43" t="inlineStr">
        <is>
          <t>Rămâne de plătit pe 401 (auto)</t>
        </is>
      </c>
      <c r="B35" s="43">
        <f>B32-B29</f>
        <v>6050</v>
      </c>
    </row>
    <row r="37">
      <c r="A37" s="42" t="inlineStr">
        <is>
          <t>4. SUPRAÎNCASARE (blocul E)</t>
        </is>
      </c>
    </row>
    <row r="38">
      <c r="A38" s="43" t="inlineStr">
        <is>
          <t>Se aplică? (DA/NU)</t>
        </is>
      </c>
      <c r="B38" s="64" t="inlineStr">
        <is>
          <t>DA</t>
        </is>
      </c>
    </row>
    <row r="39">
      <c r="A39" s="43" t="inlineStr">
        <is>
          <t>Partener</t>
        </is>
      </c>
      <c r="B39" s="64" t="inlineStr">
        <is>
          <t>Partener DEMO</t>
        </is>
      </c>
    </row>
    <row r="40">
      <c r="A40" s="43" t="inlineStr">
        <is>
          <t>Factura emisă, TOTAL cu TVA</t>
        </is>
      </c>
      <c r="B40" s="64" t="n">
        <v>10000</v>
      </c>
      <c r="C40" s="44" t="inlineStr">
        <is>
          <t>Aici se introduce totalul, nu baza — așa vine de pe factură</t>
        </is>
      </c>
    </row>
    <row r="41">
      <c r="A41" s="43" t="inlineStr">
        <is>
          <t>Baza facturii (auto)</t>
        </is>
      </c>
      <c r="B41" s="43">
        <f>ROUND(B40/(1+B9),2)</f>
        <v>8264.46</v>
      </c>
    </row>
    <row r="42">
      <c r="A42" s="43" t="inlineStr">
        <is>
          <t>TVA pe factură (auto)</t>
        </is>
      </c>
      <c r="B42" s="43">
        <f>B40-B41</f>
        <v>1735.5400000000009</v>
      </c>
    </row>
    <row r="43">
      <c r="A43" s="43" t="inlineStr">
        <is>
          <t>Suma încasată efectiv</t>
        </is>
      </c>
      <c r="B43" s="64" t="n">
        <v>15000</v>
      </c>
    </row>
    <row r="44">
      <c r="A44" s="43" t="inlineStr">
        <is>
          <t>Diferența încasată în plus (auto)</t>
        </is>
      </c>
      <c r="B44" s="43">
        <f>B43-B40</f>
        <v>5000</v>
      </c>
    </row>
    <row r="45">
      <c r="A45" s="43" t="inlineStr">
        <is>
          <t>Din care bază de avans (auto)</t>
        </is>
      </c>
      <c r="B45" s="43">
        <f>ROUND(B44/(1+B9),2)</f>
        <v>4132.23</v>
      </c>
      <c r="C45" s="44" t="inlineStr">
        <is>
          <t>Suma virată e TVA-inclusivă: se împarte la 1 + cotă</t>
        </is>
      </c>
    </row>
    <row r="46">
      <c r="A46" s="43" t="inlineStr">
        <is>
          <t>Din care TVA de colectat (auto)</t>
        </is>
      </c>
      <c r="B46" s="43">
        <f>B44-B45</f>
        <v>867.7700000000004</v>
      </c>
    </row>
    <row r="48">
      <c r="A48" s="42" t="inlineStr">
        <is>
          <t>5. Conturi</t>
        </is>
      </c>
    </row>
    <row r="49">
      <c r="A49" s="43" t="inlineStr">
        <is>
          <t>Clienți</t>
        </is>
      </c>
      <c r="B49" s="64" t="inlineStr">
        <is>
          <t>4111</t>
        </is>
      </c>
    </row>
    <row r="50">
      <c r="A50" s="43" t="inlineStr">
        <is>
          <t>Clienți-creditori (avansuri încasate)</t>
        </is>
      </c>
      <c r="B50" s="64" t="inlineStr">
        <is>
          <t>419</t>
        </is>
      </c>
    </row>
    <row r="51">
      <c r="A51" s="43" t="inlineStr">
        <is>
          <t>Furnizori-debitori (avansuri plătite)</t>
        </is>
      </c>
      <c r="B51" s="64" t="inlineStr">
        <is>
          <t>409</t>
        </is>
      </c>
    </row>
    <row r="52">
      <c r="A52" s="43" t="inlineStr">
        <is>
          <t>Furnizori</t>
        </is>
      </c>
      <c r="B52" s="64" t="inlineStr">
        <is>
          <t>401.RO</t>
        </is>
      </c>
    </row>
    <row r="53">
      <c r="A53" s="43" t="inlineStr">
        <is>
          <t>Venit</t>
        </is>
      </c>
      <c r="B53" s="64" t="inlineStr">
        <is>
          <t>707</t>
        </is>
      </c>
    </row>
    <row r="54">
      <c r="A54" s="43" t="inlineStr">
        <is>
          <t>Cont stoc / cheltuială</t>
        </is>
      </c>
      <c r="B54" s="64" t="inlineStr">
        <is>
          <t>371</t>
        </is>
      </c>
    </row>
    <row r="55">
      <c r="A55" s="43" t="inlineStr">
        <is>
          <t>TVA deductibilă</t>
        </is>
      </c>
      <c r="B55" s="64" t="inlineStr">
        <is>
          <t>4426</t>
        </is>
      </c>
    </row>
    <row r="56">
      <c r="A56" s="43" t="inlineStr">
        <is>
          <t>TVA colectată</t>
        </is>
      </c>
      <c r="B56" s="64" t="inlineStr">
        <is>
          <t>4427</t>
        </is>
      </c>
    </row>
    <row r="57">
      <c r="A57" s="43" t="inlineStr">
        <is>
          <t>Bancă</t>
        </is>
      </c>
      <c r="B57" s="64" t="inlineStr">
        <is>
          <t>5121</t>
        </is>
      </c>
    </row>
    <row r="59">
      <c r="A59" s="42" t="inlineStr">
        <is>
          <t>6. Sufix</t>
        </is>
      </c>
    </row>
    <row r="60">
      <c r="A60" s="43" t="inlineStr">
        <is>
          <t>Sufix</t>
        </is>
      </c>
      <c r="B60" s="43" t="str">
        <f>"— avansuri " &amp; B7</f>
        <v>— avansuri 2026-07</v>
      </c>
    </row>
    <row r="62">
      <c r="A62" s="42" t="inlineStr">
        <is>
          <t>7. Control</t>
        </is>
      </c>
    </row>
    <row r="63">
      <c r="A63" s="43" t="inlineStr">
        <is>
          <t>Modul activ?</t>
        </is>
      </c>
      <c r="B63" s="43" t="str">
        <f>IF(INDEX(CatalogModule!$A$1:$A$200,MATCH("MOD_AVANSURI",CatalogModule!$B$1:$B$200,0))="DA","ACTIV","INACTIV")</f>
        <v>INACTIV</v>
      </c>
    </row>
    <row r="64">
      <c r="A64" s="43" t="inlineStr">
        <is>
          <t>Verificare: TVA avans + rest = TVA totală (client)</t>
        </is>
      </c>
      <c r="B64" s="43" t="str">
        <f>IF(OR(B12&lt;&gt;"DA",ABS((B15+B20)-B18)&lt;0.01),"OK — TVA nu se colectează de două ori","EROARE — TVA recolectată pe toată factura")</f>
        <v>OK — TVA nu se colectează de două ori</v>
      </c>
    </row>
    <row r="65">
      <c r="A65" s="43" t="inlineStr">
        <is>
          <t>Verificare: TVA avans + rest = TVA totală (furnizor)</t>
        </is>
      </c>
      <c r="B65" s="43" t="str">
        <f>IF(OR(B25&lt;&gt;"DA",ABS((B28+B33)-B31)&lt;0.01),"OK — TVA nu se deduce de două ori","EROARE — TVA redusă pe toată factura")</f>
        <v>OK — TVA nu se deduce de două ori</v>
      </c>
    </row>
    <row r="66">
      <c r="A66" s="43" t="inlineStr">
        <is>
          <t>Verificare: TVA extrasă corect din suma încasată</t>
        </is>
      </c>
      <c r="B66" s="43" t="str">
        <f>IF(OR(B38&lt;&gt;"DA",ABS(B46-ROUND(B44*B9/(1+B9),2))&lt;0.01),"OK — TVA extrasă din suma încasată","EROARE — diferența pusă integral pe 419, TVA necolectată")</f>
        <v>OK — TVA extrasă din suma încasată</v>
      </c>
    </row>
    <row r="67">
      <c r="A67" s="43" t="inlineStr">
        <is>
          <t>Atenție la 472</t>
        </is>
      </c>
      <c r="B67" s="43" t="str">
        <f>IF(B38="DA","Diferența NU merge pe 472: nu e venit în avans, e datorie față de partener. Merge pe 419.","—")</f>
        <v>Diferența NU merge pe 472: nu e venit în avans, e datorie față de partener. Merge pe 419.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2" customWidth="1" style="40" min="1" max="1"/>
    <col width="34" customWidth="1" style="40" min="2" max="2"/>
    <col width="62" customWidth="1" style="40" min="3" max="3"/>
  </cols>
  <sheetData>
    <row r="1">
      <c r="A1" s="41" t="inlineStr">
        <is>
          <t>MOD_AVANSURI — Reguli (tabele fixe)</t>
        </is>
      </c>
    </row>
    <row r="2">
      <c r="A2" s="44" t="inlineStr">
        <is>
          <t>Regula e dată, nu formulă. Tabelul A răspunde la singura întrebare care se pune în practică: unde merge suma.</t>
        </is>
      </c>
    </row>
    <row r="4">
      <c r="A4" s="42" t="inlineStr">
        <is>
          <t>Tabel A — Unde merge suma, și de ce nu altundeva</t>
        </is>
      </c>
    </row>
    <row r="5">
      <c r="A5" s="65" t="inlineStr">
        <is>
          <t>Situație</t>
        </is>
      </c>
      <c r="B5" s="65" t="inlineStr">
        <is>
          <t>Unde merge</t>
        </is>
      </c>
      <c r="C5" s="65" t="inlineStr">
        <is>
          <t>De ce NU altundeva</t>
        </is>
      </c>
    </row>
    <row r="6">
      <c r="A6" s="43" t="inlineStr">
        <is>
          <t>Avans încasat de la client</t>
        </is>
      </c>
      <c r="B6" s="43" t="inlineStr">
        <is>
          <t>419 + 4427</t>
        </is>
      </c>
      <c r="C6" s="43" t="inlineStr">
        <is>
          <t>Nu 704/707: nu s-a livrat nimic. Datorie, nu venit.</t>
        </is>
      </c>
    </row>
    <row r="7">
      <c r="A7" s="43" t="inlineStr">
        <is>
          <t>Avans plătit furnizorului</t>
        </is>
      </c>
      <c r="B7" s="43" t="inlineStr">
        <is>
          <t>409 + 4426</t>
        </is>
      </c>
      <c r="C7" s="43" t="inlineStr">
        <is>
          <t>Nu 6xx și nu 3xx: nu s-a primit nimic. Creanță, nu cost.</t>
        </is>
      </c>
    </row>
    <row r="8">
      <c r="A8" s="43" t="inlineStr">
        <is>
          <t>Încasare peste valoarea facturii</t>
        </is>
      </c>
      <c r="B8" s="43" t="inlineStr">
        <is>
          <t>419 + 4427, pe diferență</t>
        </is>
      </c>
      <c r="C8" s="43" t="inlineStr">
        <is>
          <t>Nu 472 (nu e venit în avans) și nu 758. E datorie față de partener.</t>
        </is>
      </c>
    </row>
    <row r="9">
      <c r="A9" s="43" t="inlineStr">
        <is>
          <t>Sold creditor rămas pe 4111</t>
        </is>
      </c>
      <c r="B9" s="43" t="inlineStr">
        <is>
          <t>se reclasifică pe 419</t>
        </is>
      </c>
      <c r="C9" s="43" t="inlineStr">
        <is>
          <t>Un cont de activ cu sold contrar naturii lui = avans neînregistrat (C-23).</t>
        </is>
      </c>
    </row>
    <row r="10">
      <c r="A10" s="43" t="inlineStr">
        <is>
          <t>TVA din suma încasată peste factură</t>
        </is>
      </c>
      <c r="B10" s="43" t="inlineStr">
        <is>
          <t>se extrage: sumă ÷ (1 + cotă)</t>
        </is>
      </c>
      <c r="C10" s="43" t="inlineStr">
        <is>
          <t>Suma virată e TVA-inclusivă. Pusă integral pe 419, TVA rămâne necolectată.</t>
        </is>
      </c>
    </row>
    <row r="12">
      <c r="A12" s="42" t="inlineStr">
        <is>
          <t>Tabel B — Aritmetica avansului</t>
        </is>
      </c>
    </row>
    <row r="13">
      <c r="A13" s="44" t="inlineStr">
        <is>
          <t>Avansul cu TVA se înregistrează INTEGRAL la primire sau la plată.</t>
        </is>
      </c>
    </row>
    <row r="14">
      <c r="A14" s="44" t="inlineStr">
        <is>
          <t>La factura finală se stinge capitalul avansului, se completează diferența de valoare și se adaugă doar RESTUL de TVA.</t>
        </is>
      </c>
    </row>
    <row r="15">
      <c r="A15" s="44" t="inlineStr">
        <is>
          <t>TVA avans + TVA rest = TVA totală a facturii. Cine recolectează TVA pe toată factura plătește de două ori pe aceeași bază.</t>
        </is>
      </c>
    </row>
    <row r="16">
      <c r="A16" s="44" t="inlineStr">
        <is>
          <t>Suma încasată peste factură e TVA-inclusivă: se împarte la 1 + cotă ca să se separe baza de TVA.</t>
        </is>
      </c>
    </row>
    <row r="18">
      <c r="A18" s="42" t="inlineStr">
        <is>
          <t>Tabel C — Porți de calitate</t>
        </is>
      </c>
    </row>
    <row r="19">
      <c r="A19" s="44" t="inlineStr">
        <is>
          <t>• ΣDr = ΣCr pe fiecare bloc</t>
        </is>
      </c>
    </row>
    <row r="20">
      <c r="A20" s="44" t="inlineStr">
        <is>
          <t>• Sold 419 = 0 și sold 409 = 0 după livrare / recepție</t>
        </is>
      </c>
    </row>
    <row r="21">
      <c r="A21" s="44" t="inlineStr">
        <is>
          <t>• Sold 4111 = 0 pe partenerul supraîncasat, după reclasificare</t>
        </is>
      </c>
    </row>
    <row r="22">
      <c r="A22" s="44" t="inlineStr">
        <is>
          <t>• Un sold CREDITOR pe 4111 e avans neînregistrat, nu eroare de încasare (C-23)</t>
        </is>
      </c>
    </row>
    <row r="23">
      <c r="A23" s="44" t="inlineStr">
        <is>
          <t>• TVA-ul din supraîncasare se colectează chiar dacă banii se returnează luna următoare; dacă încasarea și restituirea se închid în aceeași lună, se neutralizează</t>
        </is>
      </c>
    </row>
    <row r="24">
      <c r="A24" s="44" t="inlineStr">
        <is>
          <t>• La regimul TVA la încasare, TVA-ul avansului trece prin 4428.INC — vezi MOD_TVA_INCASARE</t>
        </is>
      </c>
    </row>
    <row r="26">
      <c r="A26" s="42" t="inlineStr">
        <is>
          <t>Temei legal</t>
        </is>
      </c>
    </row>
    <row r="27">
      <c r="A27" s="65" t="inlineStr">
        <is>
          <t>Ce se sprijină pe el</t>
        </is>
      </c>
      <c r="B27" s="65" t="inlineStr">
        <is>
          <t>Temei</t>
        </is>
      </c>
    </row>
    <row r="28">
      <c r="A28" s="43" t="inlineStr">
        <is>
          <t>TVA devine exigibilă la data încasării avansului, înainte de livrare</t>
        </is>
      </c>
      <c r="B28" s="43" t="inlineStr">
        <is>
          <t>art. 282 alin. (2) lit. b) Cod fiscal</t>
        </is>
      </c>
    </row>
    <row r="29">
      <c r="A29" s="43" t="inlineStr">
        <is>
          <t>La factura finală se regularizează avansul facturat anterior</t>
        </is>
      </c>
      <c r="B29" s="43" t="inlineStr">
        <is>
          <t>art. 330 alin. (1) lit. c) Cod fiscal — corectarea facturii</t>
        </is>
      </c>
    </row>
    <row r="30">
      <c r="A30" s="43" t="inlineStr">
        <is>
          <t>Sumele încasate peste valoarea facturii sunt datorie față de client, nu venit</t>
        </is>
      </c>
      <c r="B30" s="43" t="inlineStr">
        <is>
          <t>OMFP 1802/2014 — funcțiunea contului 419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40" customWidth="1" style="40" min="1" max="1"/>
    <col width="16" customWidth="1" style="40" min="2" max="2"/>
    <col width="14" customWidth="1" style="40" min="3" max="3"/>
    <col width="52" customWidth="1" style="40" min="4" max="4"/>
    <col width="16" customWidth="1" style="40" min="5" max="5"/>
    <col width="14" customWidth="1" style="40" min="6" max="6"/>
    <col width="52" customWidth="1" style="40" min="7" max="7"/>
  </cols>
  <sheetData>
    <row r="1">
      <c r="A1" s="41" t="inlineStr">
        <is>
          <t>MOD_AVANSURI — Jurnale (generate automat)</t>
        </is>
      </c>
    </row>
    <row r="2">
      <c r="A2" s="44" t="inlineStr">
        <is>
          <t>Blocurile B și D sunt articole compuse: factura finală stinge avansul ȘI înregistrează restul, într-o singură notă.</t>
        </is>
      </c>
    </row>
    <row r="4">
      <c r="A4" s="42" t="inlineStr">
        <is>
          <t>Bloc A — Avans încasat de la client</t>
        </is>
      </c>
    </row>
    <row r="5">
      <c r="A5" s="43" t="inlineStr">
        <is>
          <t>Data:</t>
        </is>
      </c>
      <c r="B5" s="43" t="str">
        <f>Declarații_AVANSURI!B8</f>
        <v>2026-07-31</v>
      </c>
    </row>
    <row r="6">
      <c r="A6" s="65" t="inlineStr">
        <is>
          <t>Nr</t>
        </is>
      </c>
      <c r="B6" s="65" t="inlineStr">
        <is>
          <t>Cont Dr</t>
        </is>
      </c>
      <c r="C6" s="65" t="inlineStr">
        <is>
          <t>Sumă Dr</t>
        </is>
      </c>
      <c r="D6" s="65" t="inlineStr">
        <is>
          <t>Descriere Dr</t>
        </is>
      </c>
      <c r="E6" s="65" t="inlineStr">
        <is>
          <t>Cont Cr</t>
        </is>
      </c>
      <c r="F6" s="65" t="inlineStr">
        <is>
          <t>Sumă Cr</t>
        </is>
      </c>
      <c r="G6" s="65" t="inlineStr">
        <is>
          <t>Descriere Cr</t>
        </is>
      </c>
    </row>
    <row r="7">
      <c r="A7" s="43" t="n">
        <v>1</v>
      </c>
      <c r="B7" s="43" t="str">
        <f>Declarații_AVANSURI!B57</f>
        <v>5121</v>
      </c>
      <c r="C7" s="43">
        <f>IF(Declarații_AVANSURI!B12="DA",Declarații_AVANSURI!B16,0)</f>
        <v>6050</v>
      </c>
      <c r="D7" s="43" t="str">
        <f>"Încasare avans client " &amp; Declarații_AVANSURI!B13 &amp; " " &amp; Declarații_AVANSURI!B60</f>
        <v>Încasare avans client Client DEMO — avansuri 2026-07</v>
      </c>
      <c r="E7" s="43" t="str">
        <f>Declarații_AVANSURI!B50</f>
        <v>419</v>
      </c>
      <c r="F7" s="43">
        <f>IF(Declarații_AVANSURI!B12="DA",Declarații_AVANSURI!B14,0)</f>
        <v>5000</v>
      </c>
      <c r="G7" s="43" t="str">
        <f>"Datorie din avans (bază) " &amp; Declarații_AVANSURI!B60</f>
        <v>Datorie din avans (bază) — avansuri 2026-07</v>
      </c>
    </row>
    <row r="8">
      <c r="A8" s="43" t="n">
        <v>2</v>
      </c>
      <c r="B8" s="43" t="n">
        <v>0</v>
      </c>
      <c r="C8" s="43" t="n">
        <v>0</v>
      </c>
      <c r="E8" s="43" t="str">
        <f>Declarații_AVANSURI!B56</f>
        <v>4427</v>
      </c>
      <c r="F8" s="43">
        <f>IF(Declarații_AVANSURI!B12="DA",Declarații_AVANSURI!B15,0)</f>
        <v>1050</v>
      </c>
      <c r="G8" s="43" t="str">
        <f>"TVA colectată pe avans " &amp; Declarații_AVANSURI!B60</f>
        <v>TVA colectată pe avans — avansuri 2026-07</v>
      </c>
    </row>
    <row r="9">
      <c r="A9" s="43" t="inlineStr">
        <is>
          <t>Check A</t>
        </is>
      </c>
      <c r="B9" s="43">
        <f>C7-(F7+F8)</f>
        <v>0</v>
      </c>
      <c r="C9" s="43" t="str">
        <f>IF(ABS(B9)&lt;0.01,"OK","EROARE")</f>
        <v>OK</v>
      </c>
    </row>
    <row r="11">
      <c r="A11" s="42" t="inlineStr">
        <is>
          <t>Bloc B — Factura finală + stingerea avansului</t>
        </is>
      </c>
    </row>
    <row r="12">
      <c r="A12" s="65" t="inlineStr">
        <is>
          <t>Nr</t>
        </is>
      </c>
      <c r="B12" s="65" t="inlineStr">
        <is>
          <t>Cont Dr</t>
        </is>
      </c>
      <c r="C12" s="65" t="inlineStr">
        <is>
          <t>Sumă Dr</t>
        </is>
      </c>
      <c r="D12" s="65" t="inlineStr">
        <is>
          <t>Descriere Dr</t>
        </is>
      </c>
      <c r="E12" s="65" t="inlineStr">
        <is>
          <t>Cont Cr</t>
        </is>
      </c>
      <c r="F12" s="65" t="inlineStr">
        <is>
          <t>Sumă Cr</t>
        </is>
      </c>
      <c r="G12" s="65" t="inlineStr">
        <is>
          <t>Descriere Cr</t>
        </is>
      </c>
    </row>
    <row r="13">
      <c r="A13" s="43" t="n">
        <v>1</v>
      </c>
      <c r="B13" s="43" t="str">
        <f>Declarații_AVANSURI!B50</f>
        <v>419</v>
      </c>
      <c r="C13" s="43">
        <f>IF(Declarații_AVANSURI!B12="DA",Declarații_AVANSURI!B14,0)</f>
        <v>5000</v>
      </c>
      <c r="D13" s="43" t="str">
        <f>"Stingerea avansului (bază) " &amp; Declarații_AVANSURI!B60</f>
        <v>Stingerea avansului (bază) — avansuri 2026-07</v>
      </c>
      <c r="E13" s="43" t="str">
        <f>Declarații_AVANSURI!B53</f>
        <v>707</v>
      </c>
      <c r="F13" s="43">
        <f>IF(Declarații_AVANSURI!B12="DA",Declarații_AVANSURI!B17,0)</f>
        <v>12000</v>
      </c>
      <c r="G13" s="43" t="str">
        <f>"Venit din vânzare (total factură) " &amp; Declarații_AVANSURI!B60</f>
        <v>Venit din vânzare (total factură) — avansuri 2026-07</v>
      </c>
    </row>
    <row r="14">
      <c r="A14" s="43" t="n">
        <v>2</v>
      </c>
      <c r="B14" s="43" t="str">
        <f>Declarații_AVANSURI!B49</f>
        <v>4111</v>
      </c>
      <c r="C14" s="43">
        <f>IF(Declarații_AVANSURI!B12="DA",Declarații_AVANSURI!B22,0)</f>
        <v>8470</v>
      </c>
      <c r="D14" s="43" t="str">
        <f>"Rest de încasat de la client " &amp; Declarații_AVANSURI!B60</f>
        <v>Rest de încasat de la client — avansuri 2026-07</v>
      </c>
      <c r="E14" s="43" t="str">
        <f>Declarații_AVANSURI!B56</f>
        <v>4427</v>
      </c>
      <c r="F14" s="43">
        <f>IF(Declarații_AVANSURI!B12="DA",Declarații_AVANSURI!B20,0)</f>
        <v>1470</v>
      </c>
      <c r="G14" s="43" t="str">
        <f>"REST de TVA colectată (nu toată factura) " &amp; Declarații_AVANSURI!B60</f>
        <v>REST de TVA colectată (nu toată factura) — avansuri 2026-07</v>
      </c>
    </row>
    <row r="15">
      <c r="A15" s="43" t="inlineStr">
        <is>
          <t>Check B</t>
        </is>
      </c>
      <c r="B15" s="43">
        <f>(C13+C14)-(F13+F14)</f>
        <v>0</v>
      </c>
      <c r="C15" s="43" t="str">
        <f>IF(ABS(B15)&lt;0.01,"OK","EROARE")</f>
        <v>OK</v>
      </c>
    </row>
    <row r="16">
      <c r="A16" s="43" t="inlineStr">
        <is>
          <t>Check B2 (419 se închide la zero)</t>
        </is>
      </c>
      <c r="B16" s="43">
        <f>F7-C13</f>
        <v>0</v>
      </c>
      <c r="C16" s="43" t="str">
        <f>IF(ABS(B16)&lt;0.01,"OK — sold 419 = 0","EROARE — avansul nu s-a stins integral")</f>
        <v>OK — sold 419 = 0</v>
      </c>
    </row>
    <row r="18">
      <c r="A18" s="42" t="inlineStr">
        <is>
          <t>Bloc C — Avans plătit furnizorului</t>
        </is>
      </c>
    </row>
    <row r="19">
      <c r="A19" s="65" t="inlineStr">
        <is>
          <t>Nr</t>
        </is>
      </c>
      <c r="B19" s="65" t="inlineStr">
        <is>
          <t>Cont Dr</t>
        </is>
      </c>
      <c r="C19" s="65" t="inlineStr">
        <is>
          <t>Sumă Dr</t>
        </is>
      </c>
      <c r="D19" s="65" t="inlineStr">
        <is>
          <t>Descriere Dr</t>
        </is>
      </c>
      <c r="E19" s="65" t="inlineStr">
        <is>
          <t>Cont Cr</t>
        </is>
      </c>
      <c r="F19" s="65" t="inlineStr">
        <is>
          <t>Sumă Cr</t>
        </is>
      </c>
      <c r="G19" s="65" t="inlineStr">
        <is>
          <t>Descriere Cr</t>
        </is>
      </c>
    </row>
    <row r="20">
      <c r="A20" s="43" t="n">
        <v>1</v>
      </c>
      <c r="B20" s="43" t="str">
        <f>Declarații_AVANSURI!B51</f>
        <v>409</v>
      </c>
      <c r="C20" s="43">
        <f>IF(Declarații_AVANSURI!B25="DA",Declarații_AVANSURI!B27,0)</f>
        <v>3000</v>
      </c>
      <c r="D20" s="43" t="str">
        <f>"Avans plătit furnizorului (bază) " &amp; Declarații_AVANSURI!B60</f>
        <v>Avans plătit furnizorului (bază) — avansuri 2026-07</v>
      </c>
      <c r="E20" s="43" t="str">
        <f>Declarații_AVANSURI!B57</f>
        <v>5121</v>
      </c>
      <c r="F20" s="43">
        <f>IF(Declarații_AVANSURI!B25="DA",Declarații_AVANSURI!B29,0)</f>
        <v>3630</v>
      </c>
      <c r="G20" s="43" t="str">
        <f>"Ieșire bancă (total avans) " &amp; Declarații_AVANSURI!B60</f>
        <v>Ieșire bancă (total avans) — avansuri 2026-07</v>
      </c>
    </row>
    <row r="21">
      <c r="A21" s="43" t="n">
        <v>2</v>
      </c>
      <c r="B21" s="43" t="str">
        <f>Declarații_AVANSURI!B55</f>
        <v>4426</v>
      </c>
      <c r="C21" s="43">
        <f>IF(Declarații_AVANSURI!B25="DA",Declarații_AVANSURI!B28,0)</f>
        <v>630</v>
      </c>
      <c r="D21" s="43" t="str">
        <f>"TVA deductibilă pe avans " &amp; Declarații_AVANSURI!B60</f>
        <v>TVA deductibilă pe avans — avansuri 2026-07</v>
      </c>
      <c r="E21" s="43" t="n">
        <v>0</v>
      </c>
      <c r="F21" s="43" t="n">
        <v>0</v>
      </c>
    </row>
    <row r="22">
      <c r="A22" s="43" t="inlineStr">
        <is>
          <t>Check C</t>
        </is>
      </c>
      <c r="B22" s="43">
        <f>(C20+C21)-F20</f>
        <v>0</v>
      </c>
      <c r="C22" s="43" t="str">
        <f>IF(ABS(B22)&lt;0.01,"OK","EROARE")</f>
        <v>OK</v>
      </c>
    </row>
    <row r="24">
      <c r="A24" s="42" t="inlineStr">
        <is>
          <t>Bloc D — Recepție + stingerea avansului furnizor</t>
        </is>
      </c>
    </row>
    <row r="25">
      <c r="A25" s="65" t="inlineStr">
        <is>
          <t>Nr</t>
        </is>
      </c>
      <c r="B25" s="65" t="inlineStr">
        <is>
          <t>Cont Dr</t>
        </is>
      </c>
      <c r="C25" s="65" t="inlineStr">
        <is>
          <t>Sumă Dr</t>
        </is>
      </c>
      <c r="D25" s="65" t="inlineStr">
        <is>
          <t>Descriere Dr</t>
        </is>
      </c>
      <c r="E25" s="65" t="inlineStr">
        <is>
          <t>Cont Cr</t>
        </is>
      </c>
      <c r="F25" s="65" t="inlineStr">
        <is>
          <t>Sumă Cr</t>
        </is>
      </c>
      <c r="G25" s="65" t="inlineStr">
        <is>
          <t>Descriere Cr</t>
        </is>
      </c>
    </row>
    <row r="26">
      <c r="A26" s="43" t="n">
        <v>1</v>
      </c>
      <c r="B26" s="43" t="str">
        <f>Declarații_AVANSURI!B54</f>
        <v>371</v>
      </c>
      <c r="C26" s="43">
        <f>IF(Declarații_AVANSURI!B25="DA",Declarații_AVANSURI!B30,0)</f>
        <v>8000</v>
      </c>
      <c r="D26" s="43" t="str">
        <f>"Stoc recepționat (total factură) " &amp; Declarații_AVANSURI!B60</f>
        <v>Stoc recepționat (total factură) — avansuri 2026-07</v>
      </c>
      <c r="E26" s="43" t="str">
        <f>Declarații_AVANSURI!B51</f>
        <v>409</v>
      </c>
      <c r="F26" s="43">
        <f>IF(Declarații_AVANSURI!B25="DA",Declarații_AVANSURI!B27,0)</f>
        <v>3000</v>
      </c>
      <c r="G26" s="43" t="str">
        <f>"Stingerea avansului (bază) " &amp; Declarații_AVANSURI!B60</f>
        <v>Stingerea avansului (bază) — avansuri 2026-07</v>
      </c>
    </row>
    <row r="27">
      <c r="A27" s="43" t="n">
        <v>2</v>
      </c>
      <c r="B27" s="43" t="str">
        <f>Declarații_AVANSURI!B55</f>
        <v>4426</v>
      </c>
      <c r="C27" s="43">
        <f>IF(Declarații_AVANSURI!B25="DA",Declarații_AVANSURI!B33,0)</f>
        <v>1050</v>
      </c>
      <c r="D27" s="43" t="str">
        <f>"REST de TVA deductibilă " &amp; Declarații_AVANSURI!B60</f>
        <v>REST de TVA deductibilă — avansuri 2026-07</v>
      </c>
      <c r="E27" s="43" t="str">
        <f>Declarații_AVANSURI!B52</f>
        <v>401.RO</v>
      </c>
      <c r="F27" s="43">
        <f>IF(Declarații_AVANSURI!B25="DA",Declarații_AVANSURI!B35,0)</f>
        <v>6050</v>
      </c>
      <c r="G27" s="43" t="str">
        <f>"Rest de plătit furnizorului " &amp; Declarații_AVANSURI!B60</f>
        <v>Rest de plătit furnizorului — avansuri 2026-07</v>
      </c>
    </row>
    <row r="28">
      <c r="A28" s="43" t="inlineStr">
        <is>
          <t>Check D</t>
        </is>
      </c>
      <c r="B28" s="43">
        <f>(C26+C27)-(F26+F27)</f>
        <v>0</v>
      </c>
      <c r="C28" s="43" t="str">
        <f>IF(ABS(B28)&lt;0.01,"OK","EROARE")</f>
        <v>OK</v>
      </c>
    </row>
    <row r="29">
      <c r="A29" s="43" t="inlineStr">
        <is>
          <t>Check D2 (409 se închide la zero)</t>
        </is>
      </c>
      <c r="B29" s="43">
        <f>C20-F26</f>
        <v>0</v>
      </c>
      <c r="C29" s="43" t="str">
        <f>IF(ABS(B29)&lt;0.01,"OK — sold 409 = 0","EROARE — avansul nu s-a stins integral")</f>
        <v>OK — sold 409 = 0</v>
      </c>
    </row>
    <row r="31">
      <c r="A31" s="42" t="inlineStr">
        <is>
          <t>Bloc E — Supraîncasare (pas revelator)</t>
        </is>
      </c>
    </row>
    <row r="32">
      <c r="A32" s="65" t="inlineStr">
        <is>
          <t>Nr</t>
        </is>
      </c>
      <c r="B32" s="65" t="inlineStr">
        <is>
          <t>Cont Dr</t>
        </is>
      </c>
      <c r="C32" s="65" t="inlineStr">
        <is>
          <t>Sumă Dr</t>
        </is>
      </c>
      <c r="D32" s="65" t="inlineStr">
        <is>
          <t>Descriere Dr</t>
        </is>
      </c>
      <c r="E32" s="65" t="inlineStr">
        <is>
          <t>Cont Cr</t>
        </is>
      </c>
      <c r="F32" s="65" t="inlineStr">
        <is>
          <t>Sumă Cr</t>
        </is>
      </c>
      <c r="G32" s="65" t="inlineStr">
        <is>
          <t>Descriere Cr</t>
        </is>
      </c>
    </row>
    <row r="33">
      <c r="A33" s="43" t="n">
        <v>1</v>
      </c>
      <c r="B33" s="43" t="str">
        <f>Declarații_AVANSURI!B49</f>
        <v>4111</v>
      </c>
      <c r="C33" s="43">
        <f>IF(Declarații_AVANSURI!B38="DA",Declarații_AVANSURI!B40,0)</f>
        <v>10000</v>
      </c>
      <c r="D33" s="43" t="str">
        <f>"Factura emisă (total) " &amp; Declarații_AVANSURI!B60</f>
        <v>Factura emisă (total) — avansuri 2026-07</v>
      </c>
      <c r="E33" s="43" t="str">
        <f>Declarații_AVANSURI!B53</f>
        <v>707</v>
      </c>
      <c r="F33" s="43">
        <f>IF(Declarații_AVANSURI!B38="DA",Declarații_AVANSURI!B41,0)</f>
        <v>8264.46</v>
      </c>
      <c r="G33" s="43" t="str">
        <f>"Venit " &amp; Declarații_AVANSURI!B60</f>
        <v>Venit — avansuri 2026-07</v>
      </c>
    </row>
    <row r="34">
      <c r="A34" s="43" t="n">
        <v>2</v>
      </c>
      <c r="B34" s="43" t="n">
        <v>0</v>
      </c>
      <c r="C34" s="43" t="n">
        <v>0</v>
      </c>
      <c r="E34" s="43" t="str">
        <f>Declarații_AVANSURI!B56</f>
        <v>4427</v>
      </c>
      <c r="F34" s="43">
        <f>IF(Declarații_AVANSURI!B38="DA",Declarații_AVANSURI!B42,0)</f>
        <v>1735.5400000000009</v>
      </c>
      <c r="G34" s="43" t="str">
        <f>"TVA colectată pe factură " &amp; Declarații_AVANSURI!B60</f>
        <v>TVA colectată pe factură — avansuri 2026-07</v>
      </c>
    </row>
    <row r="35">
      <c r="A35" s="43" t="inlineStr">
        <is>
          <t>Check E1 (factura)</t>
        </is>
      </c>
      <c r="B35" s="43">
        <f>C33-(F33+F34)</f>
        <v>0</v>
      </c>
      <c r="C35" s="43" t="str">
        <f>IF(ABS(B35)&lt;0.01,"OK","EROARE")</f>
        <v>OK</v>
      </c>
    </row>
    <row r="36">
      <c r="A36" s="43" t="n">
        <v>3</v>
      </c>
      <c r="B36" s="43" t="str">
        <f>Declarații_AVANSURI!B57</f>
        <v>5121</v>
      </c>
      <c r="C36" s="43">
        <f>IF(Declarații_AVANSURI!B38="DA",Declarații_AVANSURI!B43,0)</f>
        <v>15000</v>
      </c>
      <c r="D36" s="43" t="str">
        <f>"Încasare peste factură " &amp; Declarații_AVANSURI!B60</f>
        <v>Încasare peste factură — avansuri 2026-07</v>
      </c>
      <c r="E36" s="43" t="str">
        <f>Declarații_AVANSURI!B49</f>
        <v>4111</v>
      </c>
      <c r="F36" s="43">
        <f>IF(Declarații_AVANSURI!B38="DA",Declarații_AVANSURI!B43,0)</f>
        <v>15000</v>
      </c>
      <c r="G36" s="43" t="str">
        <f>"Creanța stinsă și depășită — 4111 trece pe credit " &amp; Declarații_AVANSURI!B60</f>
        <v>Creanța stinsă și depășită — 4111 trece pe credit — avansuri 2026-07</v>
      </c>
    </row>
    <row r="37">
      <c r="A37" s="43" t="inlineStr">
        <is>
          <t>Check E2 (încasarea)</t>
        </is>
      </c>
      <c r="B37" s="43">
        <f>C36-F36</f>
        <v>0</v>
      </c>
      <c r="C37" s="43" t="str">
        <f>IF(ABS(B37)&lt;0.01,"OK","EROARE")</f>
        <v>OK</v>
      </c>
    </row>
    <row r="38">
      <c r="A38" s="43" t="n">
        <v>4</v>
      </c>
      <c r="B38" s="43" t="str">
        <f>Declarații_AVANSURI!B49</f>
        <v>4111</v>
      </c>
      <c r="C38" s="43">
        <f>IF(Declarații_AVANSURI!B38="DA",Declarații_AVANSURI!B44,0)</f>
        <v>5000</v>
      </c>
      <c r="D38" s="43" t="str">
        <f>"Reclasificarea soldului creditor de pe 4111 " &amp; Declarații_AVANSURI!B60</f>
        <v>Reclasificarea soldului creditor de pe 4111 — avansuri 2026-07</v>
      </c>
      <c r="E38" s="43" t="str">
        <f>Declarații_AVANSURI!B50</f>
        <v>419</v>
      </c>
      <c r="F38" s="43">
        <f>IF(Declarații_AVANSURI!B38="DA",Declarații_AVANSURI!B45,0)</f>
        <v>4132.23</v>
      </c>
      <c r="G38" s="43" t="str">
        <f>"Avans identificat (bază) " &amp; Declarații_AVANSURI!B60</f>
        <v>Avans identificat (bază) — avansuri 2026-07</v>
      </c>
    </row>
    <row r="39">
      <c r="A39" s="43" t="n">
        <v>5</v>
      </c>
      <c r="B39" s="43" t="n">
        <v>0</v>
      </c>
      <c r="C39" s="43" t="n">
        <v>0</v>
      </c>
      <c r="E39" s="43" t="str">
        <f>Declarații_AVANSURI!B56</f>
        <v>4427</v>
      </c>
      <c r="F39" s="43">
        <f>IF(Declarații_AVANSURI!B38="DA",Declarații_AVANSURI!B46,0)</f>
        <v>867.7700000000004</v>
      </c>
      <c r="G39" s="43" t="str">
        <f>"TVA extrasă din suma încasată " &amp; Declarații_AVANSURI!B60</f>
        <v>TVA extrasă din suma încasată — avansuri 2026-07</v>
      </c>
    </row>
    <row r="40">
      <c r="A40" s="43" t="inlineStr">
        <is>
          <t>Check E3 (descompunerea diferenței)</t>
        </is>
      </c>
      <c r="B40" s="43">
        <f>C38-(F38+F39)</f>
        <v>0</v>
      </c>
      <c r="C40" s="43" t="str">
        <f>IF(ABS(B40)&lt;0.01,"OK — bază + TVA = diferența încasată","EROARE — TVA nu s-a extras din suma încasată")</f>
        <v>OK — bază + TVA = diferența încasată</v>
      </c>
    </row>
    <row r="42">
      <c r="A42" s="43" t="inlineStr">
        <is>
          <t>Check global</t>
        </is>
      </c>
      <c r="B42" s="43">
        <f>ABS(B9)+ABS(B15)+ABS(B16)+ABS(B22)+ABS(B28)+ABS(B29)+ABS(B35)+ABS(B37)+ABS(B40)</f>
        <v>0</v>
      </c>
      <c r="C42" s="43" t="str">
        <f>IF(B42&lt;0.01,"OK — toate blocurile se închid","EROARE — cel puțin un bloc dezechilibrat")</f>
        <v>OK — toate blocurile se închid</v>
      </c>
    </row>
    <row r="44">
      <c r="A44" s="42" t="inlineStr">
        <is>
          <t>Stare terminală</t>
        </is>
      </c>
    </row>
    <row r="45">
      <c r="A45" s="44" t="inlineStr">
        <is>
          <t>Sold 419 = 0 și sold 409 = 0 după livrare / recepție. La supraîncasare: sold 4111 = 0 pe partenerul respectiv, iar diferența stă pe 419 cu TVA-ul ei colectat. TVA pe avans regularizată în D300.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30" customWidth="1" style="40" min="2" max="2"/>
    <col width="14" customWidth="1" style="40" min="3" max="3"/>
    <col width="12" customWidth="1" style="40" min="4" max="4"/>
    <col width="12" customWidth="1" style="40" min="5" max="5"/>
    <col width="14" customWidth="1" style="40" min="6" max="6"/>
    <col width="52" customWidth="1" style="40" min="7" max="7"/>
    <col width="24" customWidth="1" style="40" min="8" max="8"/>
    <col width="10" customWidth="1" style="40" min="9" max="9"/>
  </cols>
  <sheetData>
    <row r="1">
      <c r="A1" s="41" t="inlineStr">
        <is>
          <t>MOD_AVANSURI — Notă pentru import</t>
        </is>
      </c>
    </row>
    <row r="2">
      <c r="A2" s="44" t="inlineStr">
        <is>
          <t>Filtrează Include=DA. Situațiile neactivate ies cu sumă 0 și apar ca NU.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A Avans client — bază</t>
        </is>
      </c>
      <c r="C5" s="43" t="str">
        <f>Declarații_AVANSURI!B8</f>
        <v>2026-07-31</v>
      </c>
      <c r="D5" s="43" t="str">
        <f>Jurnale_AVANSURI!B7</f>
        <v>5121</v>
      </c>
      <c r="E5" s="43" t="str">
        <f>Jurnale_AVANSURI!E7</f>
        <v>419</v>
      </c>
      <c r="F5" s="43">
        <f>Jurnale_AVANSURI!F7</f>
        <v>5000</v>
      </c>
      <c r="G5" s="43" t="str">
        <f>Jurnale_AVANSURI!D7</f>
        <v>Încasare avans client Client DEMO — avansuri 2026-07</v>
      </c>
      <c r="H5" s="43" t="inlineStr">
        <is>
          <t>Extras de cont</t>
        </is>
      </c>
      <c r="I5" s="43" t="str">
        <f>IF(AND(ISNUMBER(F5),F5&gt;0),"DA","NU")</f>
        <v>DA</v>
      </c>
    </row>
    <row r="6">
      <c r="A6" s="43" t="n">
        <v>2</v>
      </c>
      <c r="B6" s="43" t="inlineStr">
        <is>
          <t>A Avans client — TVA</t>
        </is>
      </c>
      <c r="C6" s="43" t="str">
        <f>Declarații_AVANSURI!B8</f>
        <v>2026-07-31</v>
      </c>
      <c r="D6" s="43" t="str">
        <f>Jurnale_AVANSURI!B7</f>
        <v>5121</v>
      </c>
      <c r="E6" s="43" t="str">
        <f>Jurnale_AVANSURI!E8</f>
        <v>4427</v>
      </c>
      <c r="F6" s="43">
        <f>Jurnale_AVANSURI!F8</f>
        <v>1050</v>
      </c>
      <c r="G6" s="43" t="str">
        <f>Jurnale_AVANSURI!G8</f>
        <v>TVA colectată pe avans — avansuri 2026-07</v>
      </c>
      <c r="H6" s="43" t="inlineStr">
        <is>
          <t>Extras de cont</t>
        </is>
      </c>
      <c r="I6" s="43" t="str">
        <f>IF(AND(ISNUMBER(F6),F6&gt;0),"DA","NU")</f>
        <v>DA</v>
      </c>
    </row>
    <row r="7">
      <c r="A7" s="43" t="n">
        <v>3</v>
      </c>
      <c r="B7" s="43" t="inlineStr">
        <is>
          <t>B Factură finală — stingere avans</t>
        </is>
      </c>
      <c r="C7" s="43" t="str">
        <f>Declarații_AVANSURI!B8</f>
        <v>2026-07-31</v>
      </c>
      <c r="D7" s="43" t="str">
        <f>Jurnale_AVANSURI!B13</f>
        <v>419</v>
      </c>
      <c r="E7" s="43" t="str">
        <f>Jurnale_AVANSURI!E13</f>
        <v>707</v>
      </c>
      <c r="F7" s="43">
        <f>Jurnale_AVANSURI!C13</f>
        <v>5000</v>
      </c>
      <c r="G7" s="43" t="str">
        <f>Jurnale_AVANSURI!D13</f>
        <v>Stingerea avansului (bază) — avansuri 2026-07</v>
      </c>
      <c r="H7" s="43" t="inlineStr">
        <is>
          <t>Factură</t>
        </is>
      </c>
      <c r="I7" s="43" t="str">
        <f>IF(AND(ISNUMBER(F7),F7&gt;0),"DA","NU")</f>
        <v>DA</v>
      </c>
    </row>
    <row r="8">
      <c r="A8" s="43" t="n">
        <v>4</v>
      </c>
      <c r="B8" s="43" t="inlineStr">
        <is>
          <t>B Factură finală — rest creanță</t>
        </is>
      </c>
      <c r="C8" s="43" t="str">
        <f>Declarații_AVANSURI!B8</f>
        <v>2026-07-31</v>
      </c>
      <c r="D8" s="43" t="str">
        <f>Jurnale_AVANSURI!B14</f>
        <v>4111</v>
      </c>
      <c r="E8" s="43" t="str">
        <f>Jurnale_AVANSURI!E14</f>
        <v>4427</v>
      </c>
      <c r="F8" s="43">
        <f>Jurnale_AVANSURI!C14</f>
        <v>8470</v>
      </c>
      <c r="G8" s="43" t="str">
        <f>Jurnale_AVANSURI!D14</f>
        <v>Rest de încasat de la client — avansuri 2026-07</v>
      </c>
      <c r="H8" s="43" t="inlineStr">
        <is>
          <t>Factură</t>
        </is>
      </c>
      <c r="I8" s="43" t="str">
        <f>IF(AND(ISNUMBER(F8),F8&gt;0),"DA","NU")</f>
        <v>DA</v>
      </c>
    </row>
    <row r="9">
      <c r="A9" s="43" t="n">
        <v>5</v>
      </c>
      <c r="B9" s="43" t="inlineStr">
        <is>
          <t>C Avans furnizor — bază</t>
        </is>
      </c>
      <c r="C9" s="43" t="str">
        <f>Declarații_AVANSURI!B8</f>
        <v>2026-07-31</v>
      </c>
      <c r="D9" s="43" t="str">
        <f>Jurnale_AVANSURI!B20</f>
        <v>409</v>
      </c>
      <c r="E9" s="43" t="str">
        <f>Jurnale_AVANSURI!E20</f>
        <v>5121</v>
      </c>
      <c r="F9" s="43">
        <f>Jurnale_AVANSURI!C20</f>
        <v>3000</v>
      </c>
      <c r="G9" s="43" t="str">
        <f>Jurnale_AVANSURI!D20</f>
        <v>Avans plătit furnizorului (bază) — avansuri 2026-07</v>
      </c>
      <c r="H9" s="43" t="inlineStr">
        <is>
          <t>Extras de cont</t>
        </is>
      </c>
      <c r="I9" s="43" t="str">
        <f>IF(AND(ISNUMBER(F9),F9&gt;0),"DA","NU")</f>
        <v>DA</v>
      </c>
    </row>
    <row r="10">
      <c r="A10" s="43" t="n">
        <v>6</v>
      </c>
      <c r="B10" s="43" t="inlineStr">
        <is>
          <t>C Avans furnizor — TVA</t>
        </is>
      </c>
      <c r="C10" s="43" t="str">
        <f>Declarații_AVANSURI!B8</f>
        <v>2026-07-31</v>
      </c>
      <c r="D10" s="43" t="str">
        <f>Jurnale_AVANSURI!B21</f>
        <v>4426</v>
      </c>
      <c r="E10" s="43" t="str">
        <f>Jurnale_AVANSURI!E20</f>
        <v>5121</v>
      </c>
      <c r="F10" s="43">
        <f>Jurnale_AVANSURI!C21</f>
        <v>630</v>
      </c>
      <c r="G10" s="43" t="str">
        <f>Jurnale_AVANSURI!D21</f>
        <v>TVA deductibilă pe avans — avansuri 2026-07</v>
      </c>
      <c r="H10" s="43" t="inlineStr">
        <is>
          <t>Extras de cont</t>
        </is>
      </c>
      <c r="I10" s="43" t="str">
        <f>IF(AND(ISNUMBER(F10),F10&gt;0),"DA","NU")</f>
        <v>DA</v>
      </c>
    </row>
    <row r="11">
      <c r="A11" s="43" t="n">
        <v>7</v>
      </c>
      <c r="B11" s="43" t="inlineStr">
        <is>
          <t>D Recepție — stingere avans</t>
        </is>
      </c>
      <c r="C11" s="43" t="str">
        <f>Declarații_AVANSURI!B8</f>
        <v>2026-07-31</v>
      </c>
      <c r="D11" s="43" t="str">
        <f>Jurnale_AVANSURI!B26</f>
        <v>371</v>
      </c>
      <c r="E11" s="43" t="str">
        <f>Jurnale_AVANSURI!E26</f>
        <v>409</v>
      </c>
      <c r="F11" s="43">
        <f>Jurnale_AVANSURI!F26</f>
        <v>3000</v>
      </c>
      <c r="G11" s="43" t="str">
        <f>Jurnale_AVANSURI!D26</f>
        <v>Stoc recepționat (total factură) — avansuri 2026-07</v>
      </c>
      <c r="H11" s="43" t="inlineStr">
        <is>
          <t>NIR</t>
        </is>
      </c>
      <c r="I11" s="43" t="str">
        <f>IF(AND(ISNUMBER(F11),F11&gt;0),"DA","NU")</f>
        <v>DA</v>
      </c>
    </row>
    <row r="12">
      <c r="A12" s="43" t="n">
        <v>8</v>
      </c>
      <c r="B12" s="43" t="inlineStr">
        <is>
          <t>D Recepție — rest datorie</t>
        </is>
      </c>
      <c r="C12" s="43" t="str">
        <f>Declarații_AVANSURI!B8</f>
        <v>2026-07-31</v>
      </c>
      <c r="D12" s="43" t="str">
        <f>Jurnale_AVANSURI!B27</f>
        <v>4426</v>
      </c>
      <c r="E12" s="43" t="str">
        <f>Jurnale_AVANSURI!E27</f>
        <v>401.RO</v>
      </c>
      <c r="F12" s="43">
        <f>Jurnale_AVANSURI!C27</f>
        <v>1050</v>
      </c>
      <c r="G12" s="43" t="str">
        <f>Jurnale_AVANSURI!D27</f>
        <v>REST de TVA deductibilă — avansuri 2026-07</v>
      </c>
      <c r="H12" s="43" t="inlineStr">
        <is>
          <t>NIR</t>
        </is>
      </c>
      <c r="I12" s="43" t="str">
        <f>IF(AND(ISNUMBER(F12),F12&gt;0),"DA","NU")</f>
        <v>DA</v>
      </c>
    </row>
    <row r="13">
      <c r="A13" s="43" t="n">
        <v>9</v>
      </c>
      <c r="B13" s="43" t="inlineStr">
        <is>
          <t>E Supraîncasare — factura</t>
        </is>
      </c>
      <c r="C13" s="43" t="str">
        <f>Declarații_AVANSURI!B8</f>
        <v>2026-07-31</v>
      </c>
      <c r="D13" s="43" t="str">
        <f>Jurnale_AVANSURI!B33</f>
        <v>4111</v>
      </c>
      <c r="E13" s="43" t="str">
        <f>Jurnale_AVANSURI!E33</f>
        <v>707</v>
      </c>
      <c r="F13" s="43">
        <f>Jurnale_AVANSURI!F33</f>
        <v>8264.46</v>
      </c>
      <c r="G13" s="43" t="str">
        <f>Jurnale_AVANSURI!D33</f>
        <v>Factura emisă (total) — avansuri 2026-07</v>
      </c>
      <c r="H13" s="43" t="inlineStr">
        <is>
          <t>Factură</t>
        </is>
      </c>
      <c r="I13" s="43" t="str">
        <f>IF(AND(ISNUMBER(F13),F13&gt;0),"DA","NU")</f>
        <v>DA</v>
      </c>
    </row>
    <row r="14">
      <c r="A14" s="43" t="n">
        <v>10</v>
      </c>
      <c r="B14" s="43" t="inlineStr">
        <is>
          <t>E Supraîncasare — încasarea</t>
        </is>
      </c>
      <c r="C14" s="43" t="str">
        <f>Declarații_AVANSURI!B8</f>
        <v>2026-07-31</v>
      </c>
      <c r="D14" s="43" t="str">
        <f>Jurnale_AVANSURI!B36</f>
        <v>5121</v>
      </c>
      <c r="E14" s="43" t="str">
        <f>Jurnale_AVANSURI!E36</f>
        <v>4111</v>
      </c>
      <c r="F14" s="43">
        <f>Jurnale_AVANSURI!C36</f>
        <v>15000</v>
      </c>
      <c r="G14" s="43" t="str">
        <f>Jurnale_AVANSURI!D36</f>
        <v>Încasare peste factură — avansuri 2026-07</v>
      </c>
      <c r="H14" s="43" t="inlineStr">
        <is>
          <t>Extras de cont</t>
        </is>
      </c>
      <c r="I14" s="43" t="str">
        <f>IF(AND(ISNUMBER(F14),F14&gt;0),"DA","NU")</f>
        <v>DA</v>
      </c>
    </row>
    <row r="15">
      <c r="A15" s="43" t="n">
        <v>11</v>
      </c>
      <c r="B15" s="43" t="inlineStr">
        <is>
          <t>E Supraîncasare — reclasificare</t>
        </is>
      </c>
      <c r="C15" s="43" t="str">
        <f>Declarații_AVANSURI!B8</f>
        <v>2026-07-31</v>
      </c>
      <c r="D15" s="43" t="str">
        <f>Jurnale_AVANSURI!B38</f>
        <v>4111</v>
      </c>
      <c r="E15" s="43" t="str">
        <f>Jurnale_AVANSURI!E38</f>
        <v>419</v>
      </c>
      <c r="F15" s="43">
        <f>Jurnale_AVANSURI!F38</f>
        <v>4132.23</v>
      </c>
      <c r="G15" s="43" t="str">
        <f>Jurnale_AVANSURI!D38</f>
        <v>Reclasificarea soldului creditor de pe 4111 — avansuri 2026-07</v>
      </c>
      <c r="H15" s="43" t="inlineStr">
        <is>
          <t>Notă contabilă</t>
        </is>
      </c>
      <c r="I15" s="43" t="str">
        <f>IF(AND(ISNUMBER(F15),F15&gt;0),"DA","NU")</f>
        <v>DA</v>
      </c>
    </row>
    <row r="16">
      <c r="A16" s="43" t="n">
        <v>12</v>
      </c>
      <c r="B16" s="43" t="inlineStr">
        <is>
          <t>E Supraîncasare — TVA extrasă</t>
        </is>
      </c>
      <c r="C16" s="43" t="str">
        <f>Declarații_AVANSURI!B8</f>
        <v>2026-07-31</v>
      </c>
      <c r="D16" s="43" t="str">
        <f>Jurnale_AVANSURI!B38</f>
        <v>4111</v>
      </c>
      <c r="E16" s="43" t="str">
        <f>Jurnale_AVANSURI!E39</f>
        <v>4427</v>
      </c>
      <c r="F16" s="43">
        <f>Jurnale_AVANSURI!F39</f>
        <v>867.7700000000004</v>
      </c>
      <c r="G16" s="43" t="str">
        <f>Jurnale_AVANSURI!G39</f>
        <v>TVA extrasă din suma încasată — avansuri 2026-07</v>
      </c>
      <c r="H16" s="43" t="inlineStr">
        <is>
          <t>Notă contabilă</t>
        </is>
      </c>
      <c r="I16" s="43" t="str">
        <f>IF(AND(ISNUMBER(F16),F16&gt;0),"DA","NU")</f>
        <v>DA</v>
      </c>
    </row>
    <row r="18">
      <c r="A18" s="43" t="inlineStr">
        <is>
          <t>Rânduri de importat</t>
        </is>
      </c>
      <c r="B18" s="43">
        <f>COUNTIF(I5:I16,"DA")</f>
        <v>12</v>
      </c>
    </row>
    <row r="19">
      <c r="A19" s="43" t="inlineStr">
        <is>
          <t>Check global</t>
        </is>
      </c>
      <c r="B19" s="43">
        <f>Jurnale_AVANSURI!B42</f>
        <v>0</v>
      </c>
      <c r="C19" s="43" t="str">
        <f>IF(ABS(B19)&lt;0.01,"OK","EROARE")</f>
        <v>OK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0" customWidth="1" style="40" min="1" max="1"/>
    <col width="22" customWidth="1" style="40" min="2" max="2"/>
    <col width="12" customWidth="1" style="40" min="3" max="3"/>
    <col width="12" customWidth="1" style="40" min="4" max="4"/>
    <col width="12" customWidth="1" style="40" min="5" max="5"/>
    <col width="12" customWidth="1" style="40" min="6" max="6"/>
    <col width="12" customWidth="1" style="40" min="7" max="7"/>
    <col width="13" customWidth="1" style="40" min="8" max="8"/>
    <col width="12" customWidth="1" style="40" min="9" max="9"/>
    <col width="13" customWidth="1" style="40" min="10" max="10"/>
    <col width="14" customWidth="1" style="40" min="11" max="11"/>
    <col width="12" customWidth="1" style="40" min="12" max="12"/>
  </cols>
  <sheetData>
    <row r="1">
      <c r="A1" s="41" t="inlineStr">
        <is>
          <t>MOD_SALARII — Declarații (input)</t>
        </is>
      </c>
    </row>
    <row r="2">
      <c r="A2" s="44" t="inlineStr">
        <is>
          <t>Completează galben: antetul, apoi brut / tichete / avans pe fiecare angajat. Restul coloanelor din registru sunt formule. Valorile implicite sunt cele din statul real din 31.07.2026, ca modulul să poată fi verificat contra lui.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CUI</t>
        </is>
      </c>
      <c r="B6" s="43" t="str">
        <f>Parametri!B6</f>
        <v>RO00000000</v>
      </c>
    </row>
    <row r="7">
      <c r="A7" s="43" t="inlineStr">
        <is>
          <t>Luna (AAAA-LL)</t>
        </is>
      </c>
      <c r="B7" s="64" t="inlineStr">
        <is>
          <t>2026-07</t>
        </is>
      </c>
    </row>
    <row r="8">
      <c r="A8" s="43" t="inlineStr">
        <is>
          <t>Data notei de costuri (ultima zi a lunii)</t>
        </is>
      </c>
      <c r="B8" s="64" t="inlineStr">
        <is>
          <t>2026-07-31</t>
        </is>
      </c>
      <c r="C8" s="44" t="inlineStr">
        <is>
          <t>Costurile se înregistrează la închiderea lunii</t>
        </is>
      </c>
    </row>
    <row r="9">
      <c r="A9" s="43" t="inlineStr">
        <is>
          <t>Data plăților (din extras)</t>
        </is>
      </c>
      <c r="B9" s="64" t="inlineStr">
        <is>
          <t>2026-08-10</t>
        </is>
      </c>
      <c r="C9" s="44" t="inlineStr">
        <is>
          <t>Netul și taxele se plătesc în luna următoare</t>
        </is>
      </c>
    </row>
    <row r="10">
      <c r="A10" s="43" t="inlineStr">
        <is>
          <t>Data plății avansului</t>
        </is>
      </c>
      <c r="B10" s="64" t="inlineStr">
        <is>
          <t>2026-07-20</t>
        </is>
      </c>
    </row>
    <row r="12">
      <c r="A12" s="42" t="inlineStr">
        <is>
          <t>2. Cote (din Parametri — se schimbă doar când se schimbă legea)</t>
        </is>
      </c>
    </row>
    <row r="13">
      <c r="A13" s="43" t="inlineStr">
        <is>
          <t>CAS (pensie), pe brut</t>
        </is>
      </c>
      <c r="B13" s="43">
        <f>param_cota_cas</f>
        <v>0.25</v>
      </c>
    </row>
    <row r="14">
      <c r="A14" s="43" t="inlineStr">
        <is>
          <t>CASS (sănătate), pe brut + tichete</t>
        </is>
      </c>
      <c r="B14" s="43">
        <f>param_cota_cass</f>
        <v>0.1</v>
      </c>
    </row>
    <row r="15">
      <c r="A15" s="43" t="inlineStr">
        <is>
          <t>Impozit pe venit, pe venit net + tichete</t>
        </is>
      </c>
      <c r="B15" s="43">
        <f>param_cota_impozit</f>
        <v>0.1</v>
      </c>
    </row>
    <row r="16">
      <c r="A16" s="43" t="inlineStr">
        <is>
          <t>CAM (asigurare de muncă), pe brut</t>
        </is>
      </c>
      <c r="B16" s="43">
        <f>param_cota_cam</f>
        <v>0.0225</v>
      </c>
    </row>
    <row r="18">
      <c r="A18" s="42" t="inlineStr">
        <is>
          <t>3. Registrul angajaților</t>
        </is>
      </c>
    </row>
    <row r="19">
      <c r="A19" s="44" t="inlineStr">
        <is>
          <t>Coloanele F–L sunt formule. Rotunjirea e la leu, la fiecare pas — la fel ca în statul de plată; altfel totalurile diferă de cele din soft cu câțiva lei.</t>
        </is>
      </c>
    </row>
    <row r="20">
      <c r="A20" s="65" t="inlineStr">
        <is>
          <t>Nr.</t>
        </is>
      </c>
      <c r="B20" s="65" t="inlineStr">
        <is>
          <t>Angajat</t>
        </is>
      </c>
      <c r="C20" s="65" t="inlineStr">
        <is>
          <t>Brut</t>
        </is>
      </c>
      <c r="D20" s="65" t="inlineStr">
        <is>
          <t>Tichete</t>
        </is>
      </c>
      <c r="E20" s="65" t="inlineStr">
        <is>
          <t>Avans</t>
        </is>
      </c>
      <c r="F20" s="65" t="inlineStr">
        <is>
          <t>CAS</t>
        </is>
      </c>
      <c r="G20" s="65" t="inlineStr">
        <is>
          <t>CASS</t>
        </is>
      </c>
      <c r="H20" s="65" t="inlineStr">
        <is>
          <t>Venit net</t>
        </is>
      </c>
      <c r="I20" s="65" t="inlineStr">
        <is>
          <t>Impozit</t>
        </is>
      </c>
      <c r="J20" s="65" t="inlineStr">
        <is>
          <t>Salariu net</t>
        </is>
      </c>
      <c r="K20" s="65" t="inlineStr">
        <is>
          <t>Total de plată</t>
        </is>
      </c>
      <c r="L20" s="65" t="inlineStr">
        <is>
          <t>CAM</t>
        </is>
      </c>
    </row>
    <row r="21">
      <c r="A21" s="43" t="n">
        <v>1</v>
      </c>
      <c r="B21" s="64" t="inlineStr">
        <is>
          <t>CHIRIACESCU DIANA-ELENA</t>
        </is>
      </c>
      <c r="C21" s="64" t="n">
        <v>24610</v>
      </c>
      <c r="D21" s="64" t="n">
        <v>690</v>
      </c>
      <c r="E21" s="64" t="n">
        <v>0</v>
      </c>
      <c r="F21" s="43">
        <f>IF($C21="","",ROUND($C21*B13,0))</f>
        <v>6153</v>
      </c>
      <c r="G21" s="43">
        <f>IF($C21="","",ROUND(($C21+$D21)*B14,0))</f>
        <v>2530</v>
      </c>
      <c r="H21" s="43">
        <f>IF($C21="","",$C21-$F21-$G21)</f>
        <v>15927</v>
      </c>
      <c r="I21" s="43">
        <f>IF($C21="","",ROUND(($H21+$D21)*B15,0))</f>
        <v>1662</v>
      </c>
      <c r="J21" s="43">
        <f>IF($C21="","",$H21-$I21)</f>
        <v>14265</v>
      </c>
      <c r="K21" s="43">
        <f>IF($C21="","",$J21-$E21)</f>
        <v>14265</v>
      </c>
      <c r="L21" s="43">
        <f>IF($C21="","",ROUND($C21*B16,0))</f>
        <v>554</v>
      </c>
    </row>
    <row r="22">
      <c r="A22" s="43" t="n">
        <v>2</v>
      </c>
      <c r="B22" s="64" t="inlineStr">
        <is>
          <t>NEAGU VLAD-FLORIAN</t>
        </is>
      </c>
      <c r="C22" s="64" t="n">
        <v>12513</v>
      </c>
      <c r="D22" s="64" t="n">
        <v>480</v>
      </c>
      <c r="E22" s="64" t="n">
        <v>0</v>
      </c>
      <c r="F22" s="43">
        <f>IF($C22="","",ROUND($C22*B13,0))</f>
        <v>3128</v>
      </c>
      <c r="G22" s="43">
        <f>IF($C22="","",ROUND(($C22+$D22)*B14,0))</f>
        <v>1299</v>
      </c>
      <c r="H22" s="43">
        <f>IF($C22="","",$C22-$F22-$G22)</f>
        <v>8086</v>
      </c>
      <c r="I22" s="43">
        <f>IF($C22="","",ROUND(($H22+$D22)*B15,0))</f>
        <v>857</v>
      </c>
      <c r="J22" s="43">
        <f>IF($C22="","",$H22-$I22)</f>
        <v>7229</v>
      </c>
      <c r="K22" s="43">
        <f>IF($C22="","",$J22-$E22)</f>
        <v>7229</v>
      </c>
      <c r="L22" s="43">
        <f>IF($C22="","",ROUND($C22*B16,0))</f>
        <v>282</v>
      </c>
    </row>
    <row r="23">
      <c r="A23" s="43" t="n">
        <v>3</v>
      </c>
      <c r="B23" s="64" t="inlineStr">
        <is>
          <t>POPESCU IOANA-GABRIELA</t>
        </is>
      </c>
      <c r="C23" s="64" t="n">
        <v>9627</v>
      </c>
      <c r="D23" s="64" t="n">
        <v>690</v>
      </c>
      <c r="E23" s="64" t="n">
        <v>0</v>
      </c>
      <c r="F23" s="43">
        <f>IF($C23="","",ROUND($C23*B13,0))</f>
        <v>2407</v>
      </c>
      <c r="G23" s="43">
        <f>IF($C23="","",ROUND(($C23+$D23)*B14,0))</f>
        <v>1032</v>
      </c>
      <c r="H23" s="43">
        <f>IF($C23="","",$C23-$F23-$G23)</f>
        <v>6188</v>
      </c>
      <c r="I23" s="43">
        <f>IF($C23="","",ROUND(($H23+$D23)*B15,0))</f>
        <v>688</v>
      </c>
      <c r="J23" s="43">
        <f>IF($C23="","",$H23-$I23)</f>
        <v>5500</v>
      </c>
      <c r="K23" s="43">
        <f>IF($C23="","",$J23-$E23)</f>
        <v>5500</v>
      </c>
      <c r="L23" s="43">
        <f>IF($C23="","",ROUND($C23*B16,0))</f>
        <v>217</v>
      </c>
    </row>
    <row r="24">
      <c r="A24" s="43" t="n">
        <v>4</v>
      </c>
      <c r="B24" s="64" t="inlineStr">
        <is>
          <t>SASCAU COSMIN-BOGDAN</t>
        </is>
      </c>
      <c r="C24" s="64" t="n">
        <v>24127</v>
      </c>
      <c r="D24" s="64" t="n">
        <v>690</v>
      </c>
      <c r="E24" s="64" t="n">
        <v>0</v>
      </c>
      <c r="F24" s="43">
        <f>IF($C24="","",ROUND($C24*B13,0))</f>
        <v>6032</v>
      </c>
      <c r="G24" s="43">
        <f>IF($C24="","",ROUND(($C24+$D24)*B14,0))</f>
        <v>2482</v>
      </c>
      <c r="H24" s="43">
        <f>IF($C24="","",$C24-$F24-$G24)</f>
        <v>15613</v>
      </c>
      <c r="I24" s="43">
        <f>IF($C24="","",ROUND(($H24+$D24)*B15,0))</f>
        <v>1630</v>
      </c>
      <c r="J24" s="43">
        <f>IF($C24="","",$H24-$I24)</f>
        <v>13983</v>
      </c>
      <c r="K24" s="43">
        <f>IF($C24="","",$J24-$E24)</f>
        <v>13983</v>
      </c>
      <c r="L24" s="43">
        <f>IF($C24="","",ROUND($C24*B16,0))</f>
        <v>543</v>
      </c>
    </row>
    <row r="25">
      <c r="A25" s="43" t="n">
        <v>5</v>
      </c>
      <c r="B25" s="64" t="inlineStr"/>
      <c r="C25" s="64" t="n"/>
      <c r="D25" s="64" t="n"/>
      <c r="E25" s="64" t="n"/>
      <c r="F25" s="43">
        <f>IF($C25="","",ROUND($C25*B13,0))</f>
        <v/>
      </c>
      <c r="G25" s="43">
        <f>IF($C25="","",ROUND(($C25+$D25)*B14,0))</f>
        <v/>
      </c>
      <c r="H25" s="43">
        <f>IF($C25="","",$C25-$F25-$G25)</f>
        <v/>
      </c>
      <c r="I25" s="43">
        <f>IF($C25="","",ROUND(($H25+$D25)*B15,0))</f>
        <v/>
      </c>
      <c r="J25" s="43">
        <f>IF($C25="","",$H25-$I25)</f>
        <v/>
      </c>
      <c r="K25" s="43">
        <f>IF($C25="","",$J25-$E25)</f>
        <v/>
      </c>
      <c r="L25" s="43">
        <f>IF($C25="","",ROUND($C25*B16,0))</f>
        <v/>
      </c>
    </row>
    <row r="26">
      <c r="A26" s="43" t="n">
        <v>6</v>
      </c>
      <c r="B26" s="64" t="inlineStr"/>
      <c r="C26" s="64" t="n"/>
      <c r="D26" s="64" t="n"/>
      <c r="E26" s="64" t="n"/>
      <c r="F26" s="43">
        <f>IF($C26="","",ROUND($C26*B13,0))</f>
        <v/>
      </c>
      <c r="G26" s="43">
        <f>IF($C26="","",ROUND(($C26+$D26)*B14,0))</f>
        <v/>
      </c>
      <c r="H26" s="43">
        <f>IF($C26="","",$C26-$F26-$G26)</f>
        <v/>
      </c>
      <c r="I26" s="43">
        <f>IF($C26="","",ROUND(($H26+$D26)*B15,0))</f>
        <v/>
      </c>
      <c r="J26" s="43">
        <f>IF($C26="","",$H26-$I26)</f>
        <v/>
      </c>
      <c r="K26" s="43">
        <f>IF($C26="","",$J26-$E26)</f>
        <v/>
      </c>
      <c r="L26" s="43">
        <f>IF($C26="","",ROUND($C26*B16,0))</f>
        <v/>
      </c>
    </row>
    <row r="27">
      <c r="A27" s="43" t="n">
        <v>7</v>
      </c>
      <c r="B27" s="64" t="inlineStr"/>
      <c r="C27" s="64" t="n"/>
      <c r="D27" s="64" t="n"/>
      <c r="E27" s="64" t="n"/>
      <c r="F27" s="43">
        <f>IF($C27="","",ROUND($C27*B13,0))</f>
        <v/>
      </c>
      <c r="G27" s="43">
        <f>IF($C27="","",ROUND(($C27+$D27)*B14,0))</f>
        <v/>
      </c>
      <c r="H27" s="43">
        <f>IF($C27="","",$C27-$F27-$G27)</f>
        <v/>
      </c>
      <c r="I27" s="43">
        <f>IF($C27="","",ROUND(($H27+$D27)*B15,0))</f>
        <v/>
      </c>
      <c r="J27" s="43">
        <f>IF($C27="","",$H27-$I27)</f>
        <v/>
      </c>
      <c r="K27" s="43">
        <f>IF($C27="","",$J27-$E27)</f>
        <v/>
      </c>
      <c r="L27" s="43">
        <f>IF($C27="","",ROUND($C27*B16,0))</f>
        <v/>
      </c>
    </row>
    <row r="28">
      <c r="A28" s="43" t="n">
        <v>8</v>
      </c>
      <c r="B28" s="64" t="inlineStr"/>
      <c r="C28" s="64" t="n"/>
      <c r="D28" s="64" t="n"/>
      <c r="E28" s="64" t="n"/>
      <c r="F28" s="43">
        <f>IF($C28="","",ROUND($C28*B13,0))</f>
        <v/>
      </c>
      <c r="G28" s="43">
        <f>IF($C28="","",ROUND(($C28+$D28)*B14,0))</f>
        <v/>
      </c>
      <c r="H28" s="43">
        <f>IF($C28="","",$C28-$F28-$G28)</f>
        <v/>
      </c>
      <c r="I28" s="43">
        <f>IF($C28="","",ROUND(($H28+$D28)*B15,0))</f>
        <v/>
      </c>
      <c r="J28" s="43">
        <f>IF($C28="","",$H28-$I28)</f>
        <v/>
      </c>
      <c r="K28" s="43">
        <f>IF($C28="","",$J28-$E28)</f>
        <v/>
      </c>
      <c r="L28" s="43">
        <f>IF($C28="","",ROUND($C28*B16,0))</f>
        <v/>
      </c>
    </row>
    <row r="29">
      <c r="A29" s="65" t="inlineStr"/>
      <c r="B29" s="65" t="inlineStr">
        <is>
          <t>TOTAL</t>
        </is>
      </c>
      <c r="C29" s="65">
        <f>SUM(C21:C28)</f>
        <v>70877</v>
      </c>
      <c r="D29" s="65">
        <f>SUM(D21:D28)</f>
        <v>2550</v>
      </c>
      <c r="E29" s="65">
        <f>SUM(E21:E28)</f>
        <v>0</v>
      </c>
      <c r="F29" s="65">
        <f>SUM(F21:F28)</f>
        <v>17720</v>
      </c>
      <c r="G29" s="65">
        <f>SUM(G21:G28)</f>
        <v>7343</v>
      </c>
      <c r="H29" s="65">
        <f>SUM(H21:H28)</f>
        <v>45814</v>
      </c>
      <c r="I29" s="65">
        <f>SUM(I21:I28)</f>
        <v>4837</v>
      </c>
      <c r="J29" s="65">
        <f>SUM(J21:J28)</f>
        <v>40977</v>
      </c>
      <c r="K29" s="65">
        <f>SUM(K21:K28)</f>
        <v>40977</v>
      </c>
      <c r="L29" s="65">
        <f>SUM(L21:L28)</f>
        <v>1596</v>
      </c>
    </row>
    <row r="31">
      <c r="A31" s="42" t="inlineStr">
        <is>
          <t>4. Conturi</t>
        </is>
      </c>
    </row>
    <row r="32">
      <c r="A32" s="43" t="inlineStr">
        <is>
          <t>Cont cheltuieli cu salariile</t>
        </is>
      </c>
      <c r="B32" s="64" t="n">
        <v>641</v>
      </c>
    </row>
    <row r="33">
      <c r="A33" s="43" t="inlineStr">
        <is>
          <t>Cont personal — salarii datorate</t>
        </is>
      </c>
      <c r="B33" s="64" t="n">
        <v>421</v>
      </c>
    </row>
    <row r="34">
      <c r="A34" s="43" t="inlineStr">
        <is>
          <t>Cont avansuri acordate personalului</t>
        </is>
      </c>
      <c r="B34" s="64" t="n">
        <v>425</v>
      </c>
    </row>
    <row r="35">
      <c r="A35" s="43" t="inlineStr">
        <is>
          <t>Cont CAS reținut</t>
        </is>
      </c>
      <c r="B35" s="64" t="n">
        <v>4315</v>
      </c>
    </row>
    <row r="36">
      <c r="A36" s="43" t="inlineStr">
        <is>
          <t>Cont CASS reținut</t>
        </is>
      </c>
      <c r="B36" s="64" t="n">
        <v>4316</v>
      </c>
    </row>
    <row r="37">
      <c r="A37" s="43" t="inlineStr">
        <is>
          <t>Cont impozit pe venit reținut</t>
        </is>
      </c>
      <c r="B37" s="64" t="n">
        <v>444</v>
      </c>
    </row>
    <row r="38">
      <c r="A38" s="43" t="inlineStr">
        <is>
          <t>Cont cheltuieli cu CAM</t>
        </is>
      </c>
      <c r="B38" s="64" t="n">
        <v>646</v>
      </c>
    </row>
    <row r="39">
      <c r="A39" s="43" t="inlineStr">
        <is>
          <t>Cont CAM datorat bugetului</t>
        </is>
      </c>
      <c r="B39" s="64" t="n">
        <v>436</v>
      </c>
    </row>
    <row r="40">
      <c r="A40" s="43" t="inlineStr">
        <is>
          <t>Cont cheltuieli cu tichetele</t>
        </is>
      </c>
      <c r="B40" s="64" t="n">
        <v>642</v>
      </c>
    </row>
    <row r="41">
      <c r="A41" s="43" t="inlineStr">
        <is>
          <t>Cont tichete în gestiune</t>
        </is>
      </c>
      <c r="B41" s="64" t="n">
        <v>5328</v>
      </c>
    </row>
    <row r="42">
      <c r="A42" s="43" t="inlineStr">
        <is>
          <t>Cont trezorerie</t>
        </is>
      </c>
      <c r="B42" s="64" t="inlineStr">
        <is>
          <t>5121</t>
        </is>
      </c>
    </row>
    <row r="44">
      <c r="A44" s="42" t="inlineStr">
        <is>
          <t>5. Controale</t>
        </is>
      </c>
    </row>
    <row r="45">
      <c r="A45" s="43" t="inlineStr">
        <is>
          <t>Check brut = net + rețineri</t>
        </is>
      </c>
      <c r="B45" s="43">
        <f>$C$29-($J$29+$F$29+$G$29+$I$29)</f>
        <v>0</v>
      </c>
      <c r="C45" s="43" t="str">
        <f>IF(ABS(B45)&lt;0.51,"OK — brutul se descompune integral","EROARE — rotunjirile nu se închid")</f>
        <v>OK — brutul se descompune integral</v>
      </c>
    </row>
    <row r="46">
      <c r="A46" s="43" t="inlineStr">
        <is>
          <t>Check total de plată = net − avans</t>
        </is>
      </c>
      <c r="B46" s="43">
        <f>$K$29-($J$29-$E$29)</f>
        <v>0</v>
      </c>
      <c r="C46" s="43" t="str">
        <f>IF(ABS(B46)&lt;0.01,"OK","EROARE")</f>
        <v>OK</v>
      </c>
    </row>
    <row r="47">
      <c r="A47" s="43" t="inlineStr">
        <is>
          <t>Reminder bază CASS</t>
        </is>
      </c>
      <c r="B47" s="43">
        <f>$D$29</f>
        <v>2550</v>
      </c>
      <c r="C47" s="43" t="str">
        <f>"Tichetele intră în baza CASS și în baza impozitului, dar NU în baza CAS. Dacă softul le tratează altfel, diferența apare aici."</f>
        <v>Tichetele intră în baza CASS și în baza impozitului, dar NU în baza CAS. Dacă softul le tratează altfel, diferența apare aici.</v>
      </c>
    </row>
    <row r="48">
      <c r="A48" s="43" t="inlineStr">
        <is>
          <t>Reminder deducere personală</t>
        </is>
      </c>
      <c r="B48" s="43" t="str">
        <f>"—"</f>
        <v>—</v>
      </c>
      <c r="C48" s="43" t="str">
        <f>"Modulul NU calculează deducerea personală. La salarii mici devine "&amp;"obligatorie — vezi Reguli_SALARII, tabelul C."</f>
        <v>Modulul NU calculează deducerea personală. La salarii mici devine obligatorie — vezi Reguli_SALARII, tabelul C.</v>
      </c>
    </row>
    <row r="50">
      <c r="A50" s="42" t="inlineStr">
        <is>
          <t>6. Sufix generat</t>
        </is>
      </c>
    </row>
    <row r="51">
      <c r="A51" s="43" t="inlineStr">
        <is>
          <t>Sufix</t>
        </is>
      </c>
      <c r="B51" s="43" t="str">
        <f>" - " &amp; B7</f>
        <v> - 2026-07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6" customWidth="1" style="40" min="1" max="1"/>
    <col width="30" customWidth="1" style="40" min="2" max="2"/>
    <col width="14" customWidth="1" style="40" min="3" max="3"/>
    <col width="40" customWidth="1" style="40" min="4" max="4"/>
    <col width="22" customWidth="1" style="40" min="5" max="5"/>
    <col width="54" customWidth="1" style="40" min="6" max="6"/>
  </cols>
  <sheetData>
    <row r="1">
      <c r="A1" s="41" t="inlineStr">
        <is>
          <t>MOD_SALARII — Reguli (tabele fixe)</t>
        </is>
      </c>
    </row>
    <row r="2">
      <c r="A2" s="44" t="inlineStr">
        <is>
          <t>Regula fiscală e dată, nu formulă. Se editează doar când se schimbă legea.</t>
        </is>
      </c>
    </row>
    <row r="4">
      <c r="A4" s="42" t="inlineStr">
        <is>
          <t>Tabel A — Contribuții și baze</t>
        </is>
      </c>
    </row>
    <row r="5">
      <c r="A5" s="65" t="inlineStr">
        <is>
          <t>Element</t>
        </is>
      </c>
      <c r="B5" s="65" t="inlineStr">
        <is>
          <t>Bază de calcul</t>
        </is>
      </c>
      <c r="C5" s="65" t="inlineStr">
        <is>
          <t>Cotă</t>
        </is>
      </c>
      <c r="D5" s="65" t="inlineStr">
        <is>
          <t>Cine suportă</t>
        </is>
      </c>
      <c r="E5" s="65" t="inlineStr">
        <is>
          <t>Cont</t>
        </is>
      </c>
      <c r="F5" s="65" t="inlineStr">
        <is>
          <t>Temei</t>
        </is>
      </c>
    </row>
    <row r="6">
      <c r="A6" s="43" t="inlineStr">
        <is>
          <t>CAS — pensie</t>
        </is>
      </c>
      <c r="B6" s="43" t="inlineStr">
        <is>
          <t>salariul brut</t>
        </is>
      </c>
      <c r="C6" s="43" t="inlineStr">
        <is>
          <t>25%</t>
        </is>
      </c>
      <c r="D6" s="43" t="inlineStr">
        <is>
          <t>angajatul (reținut)</t>
        </is>
      </c>
      <c r="E6" s="43" t="inlineStr">
        <is>
          <t>4315</t>
        </is>
      </c>
      <c r="F6" s="43" t="inlineStr">
        <is>
          <t>art. 138 Cod fiscal</t>
        </is>
      </c>
    </row>
    <row r="7">
      <c r="A7" s="43" t="inlineStr">
        <is>
          <t>CASS — sănătate</t>
        </is>
      </c>
      <c r="B7" s="43" t="inlineStr">
        <is>
          <t>brut + tichete de masă</t>
        </is>
      </c>
      <c r="C7" s="43" t="inlineStr">
        <is>
          <t>10%</t>
        </is>
      </c>
      <c r="D7" s="43" t="inlineStr">
        <is>
          <t>angajatul (reținut)</t>
        </is>
      </c>
      <c r="E7" s="43" t="inlineStr">
        <is>
          <t>4316</t>
        </is>
      </c>
      <c r="F7" s="43" t="inlineStr">
        <is>
          <t>art. 156 CF; tichetele intră în bază din 2024</t>
        </is>
      </c>
    </row>
    <row r="8">
      <c r="A8" s="43" t="inlineStr">
        <is>
          <t>Impozit pe venit</t>
        </is>
      </c>
      <c r="B8" s="43" t="inlineStr">
        <is>
          <t>venit net + tichete</t>
        </is>
      </c>
      <c r="C8" s="43" t="inlineStr">
        <is>
          <t>10%</t>
        </is>
      </c>
      <c r="D8" s="43" t="inlineStr">
        <is>
          <t>angajatul (reținut)</t>
        </is>
      </c>
      <c r="E8" s="43" t="inlineStr">
        <is>
          <t>444</t>
        </is>
      </c>
      <c r="F8" s="43" t="inlineStr">
        <is>
          <t>art. 78 CF</t>
        </is>
      </c>
    </row>
    <row r="9">
      <c r="A9" s="43" t="inlineStr">
        <is>
          <t>CAM — asigurare de muncă</t>
        </is>
      </c>
      <c r="B9" s="43" t="inlineStr">
        <is>
          <t>salariul brut</t>
        </is>
      </c>
      <c r="C9" s="43" t="inlineStr">
        <is>
          <t>2,25%</t>
        </is>
      </c>
      <c r="D9" s="43" t="inlineStr">
        <is>
          <t>angajatorul (cheltuială)</t>
        </is>
      </c>
      <c r="E9" s="43" t="inlineStr">
        <is>
          <t>436</t>
        </is>
      </c>
      <c r="F9" s="43" t="inlineStr">
        <is>
          <t>art. 220^3 CF</t>
        </is>
      </c>
    </row>
    <row r="10">
      <c r="A10" s="43" t="inlineStr">
        <is>
          <t>Tichete de masă</t>
        </is>
      </c>
      <c r="B10" s="43" t="inlineStr">
        <is>
          <t>valoare nominală</t>
        </is>
      </c>
      <c r="C10" s="43" t="inlineStr">
        <is>
          <t>—</t>
        </is>
      </c>
      <c r="D10" s="43" t="inlineStr">
        <is>
          <t>angajatorul (cheltuială)</t>
        </is>
      </c>
      <c r="E10" s="43" t="inlineStr">
        <is>
          <t>642 / 5328</t>
        </is>
      </c>
      <c r="F10" s="43" t="inlineStr">
        <is>
          <t>nu intră în baza CAS; intră în CASS și impozit</t>
        </is>
      </c>
    </row>
    <row r="12">
      <c r="A12" s="42" t="inlineStr">
        <is>
          <t>Tabel B — Ordinea înregistrărilor</t>
        </is>
      </c>
    </row>
    <row r="13">
      <c r="A13" s="65" t="inlineStr">
        <is>
          <t>Moment</t>
        </is>
      </c>
      <c r="B13" s="65" t="inlineStr">
        <is>
          <t>Ce se înregistrează</t>
        </is>
      </c>
      <c r="C13" s="65" t="inlineStr">
        <is>
          <t>Data</t>
        </is>
      </c>
      <c r="D13" s="65" t="inlineStr"/>
      <c r="E13" s="65" t="inlineStr"/>
      <c r="F13" s="65" t="inlineStr">
        <is>
          <t>Observație</t>
        </is>
      </c>
    </row>
    <row r="14">
      <c r="A14" s="43" t="inlineStr">
        <is>
          <t>Avans</t>
        </is>
      </c>
      <c r="B14" s="43" t="inlineStr">
        <is>
          <t>425 = 5121</t>
        </is>
      </c>
      <c r="C14" s="43" t="inlineStr">
        <is>
          <t>în cursul lunii</t>
        </is>
      </c>
      <c r="D14" s="43" t="inlineStr"/>
      <c r="E14" s="43" t="inlineStr"/>
      <c r="F14" s="43" t="inlineStr">
        <is>
          <t>Doar dacă există avans acordat</t>
        </is>
      </c>
    </row>
    <row r="15">
      <c r="A15" s="43" t="inlineStr">
        <is>
          <t>Închiderea lunii</t>
        </is>
      </c>
      <c r="B15" s="43" t="inlineStr">
        <is>
          <t>641 = 421; 421 = 4315/4316/444; 646 = 436; 642 = 5328</t>
        </is>
      </c>
      <c r="C15" s="43" t="inlineStr">
        <is>
          <t>ultima zi a lunii</t>
        </is>
      </c>
      <c r="D15" s="43" t="inlineStr"/>
      <c r="E15" s="43" t="inlineStr"/>
      <c r="F15" s="43" t="inlineStr">
        <is>
          <t>Costul aparține lunii lucrate</t>
        </is>
      </c>
    </row>
    <row r="16">
      <c r="A16" s="43" t="inlineStr">
        <is>
          <t>Stingerea avansului</t>
        </is>
      </c>
      <c r="B16" s="43" t="inlineStr">
        <is>
          <t>421 = 425</t>
        </is>
      </c>
      <c r="C16" s="43" t="inlineStr">
        <is>
          <t>ultima zi a lunii</t>
        </is>
      </c>
      <c r="D16" s="43" t="inlineStr"/>
      <c r="E16" s="43" t="inlineStr"/>
      <c r="F16" s="43" t="inlineStr">
        <is>
          <t>Diminuează datoria salarială cu avansul deja plătit</t>
        </is>
      </c>
    </row>
    <row r="17">
      <c r="A17" s="43" t="inlineStr">
        <is>
          <t>Plăți</t>
        </is>
      </c>
      <c r="B17" s="43" t="inlineStr">
        <is>
          <t>421 = 5121; 4315/4316/444 = 5121; 436 = 5121</t>
        </is>
      </c>
      <c r="C17" s="43" t="inlineStr">
        <is>
          <t>luna următoare</t>
        </is>
      </c>
      <c r="D17" s="43" t="inlineStr"/>
      <c r="E17" s="43" t="inlineStr"/>
      <c r="F17" s="43" t="inlineStr">
        <is>
          <t>Termenul legal: 25 a lunii următoare</t>
        </is>
      </c>
    </row>
    <row r="19">
      <c r="A19" s="42" t="inlineStr">
        <is>
          <t>Tabel C — LIMITĂRI DECLARATE ale modulului</t>
        </is>
      </c>
    </row>
    <row r="20">
      <c r="A20" s="44" t="inlineStr">
        <is>
          <t>Enumerate explicit ca să nu fie luate drept acoperite. Fiecare cere ajustare manuală înainte de folosire la un client căruia i se aplică.</t>
        </is>
      </c>
    </row>
    <row r="21">
      <c r="A21" s="65" t="inlineStr">
        <is>
          <t>Ce NU tratează</t>
        </is>
      </c>
      <c r="B21" s="65" t="inlineStr">
        <is>
          <t>De ce</t>
        </is>
      </c>
      <c r="C21" s="65" t="inlineStr">
        <is>
          <t>Ce faci</t>
        </is>
      </c>
      <c r="D21" s="65" t="inlineStr"/>
      <c r="E21" s="65" t="inlineStr"/>
      <c r="F21" s="65" t="inlineStr">
        <is>
          <t>Efect dacă îl ignori</t>
        </is>
      </c>
    </row>
    <row r="22">
      <c r="A22" s="43" t="inlineStr">
        <is>
          <t>Deducerea personală</t>
        </is>
      </c>
      <c r="B22" s="43" t="inlineStr">
        <is>
          <t>Cei 4 angajați din statul-sursă sunt peste plafonul de acordare, deci mecanismul nu apare în fișier și nu a fost inventat.</t>
        </is>
      </c>
      <c r="C22" s="43" t="inlineStr">
        <is>
          <t>La salarii mici: calculează deducerea și scade-o din baza impozitului.</t>
        </is>
      </c>
      <c r="D22" s="43" t="inlineStr"/>
      <c r="E22" s="43" t="inlineStr"/>
      <c r="F22" s="43" t="inlineStr">
        <is>
          <t>Impozit supraevaluat, net subevaluat</t>
        </is>
      </c>
    </row>
    <row r="23">
      <c r="A23" s="43" t="inlineStr">
        <is>
          <t>Facilități sectoriale (construcții, IT, agricultură, alimentar)</t>
        </is>
      </c>
      <c r="B23" s="43" t="inlineStr">
        <is>
          <t>Cotele și scutirile diferă pe sector și se schimbă des.</t>
        </is>
      </c>
      <c r="C23" s="43" t="inlineStr">
        <is>
          <t>Ajustează cotele din Parametri și verifică scutirea de CASS/impozit.</t>
        </is>
      </c>
      <c r="D23" s="43" t="inlineStr"/>
      <c r="E23" s="43" t="inlineStr"/>
      <c r="F23" s="43" t="inlineStr">
        <is>
          <t>Contribuții calculate greșit în ambele sensuri</t>
        </is>
      </c>
    </row>
    <row r="24">
      <c r="A24" s="43" t="inlineStr">
        <is>
          <t>Scutiri (handicap, studenți)</t>
        </is>
      </c>
      <c r="B24" s="43" t="inlineStr">
        <is>
          <t>Regim special, pe document justificativ.</t>
        </is>
      </c>
      <c r="C24" s="43" t="inlineStr">
        <is>
          <t>Tratează separat angajatul respectiv.</t>
        </is>
      </c>
      <c r="D24" s="43" t="inlineStr"/>
      <c r="E24" s="43" t="inlineStr"/>
      <c r="F24" s="43" t="inlineStr">
        <is>
          <t>Impozit reținut nedatorat</t>
        </is>
      </c>
    </row>
    <row r="25">
      <c r="A25" s="43" t="inlineStr">
        <is>
          <t>Pilonul II / pensii facultative</t>
        </is>
      </c>
      <c r="B25" s="43" t="inlineStr">
        <is>
          <t>Rețineri opționale, pe cerere.</t>
        </is>
      </c>
      <c r="C25" s="43" t="inlineStr">
        <is>
          <t>Adaugă coloană de reținere și cont 4315 analitic.</t>
        </is>
      </c>
      <c r="D25" s="43" t="inlineStr"/>
      <c r="E25" s="43" t="inlineStr"/>
      <c r="F25" s="43" t="inlineStr">
        <is>
          <t>Netul plătit nu corespunde statului</t>
        </is>
      </c>
    </row>
    <row r="26">
      <c r="A26" s="43" t="inlineStr">
        <is>
          <t>Concedii medicale (FNUASS)</t>
        </is>
      </c>
      <c r="B26" s="43" t="inlineStr">
        <is>
          <t>Recuperarea de la buget are mecanism propriu.</t>
        </is>
      </c>
      <c r="C26" s="43" t="inlineStr">
        <is>
          <t>Tratează prin 4382 / 4315 analitic.</t>
        </is>
      </c>
      <c r="D26" s="43" t="inlineStr"/>
      <c r="E26" s="43" t="inlineStr"/>
      <c r="F26" s="43" t="inlineStr">
        <is>
          <t>Cheltuiala rămâne umflată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14" customWidth="1" style="40" min="2" max="2"/>
    <col width="14" customWidth="1" style="40" min="3" max="3"/>
    <col width="46" customWidth="1" style="40" min="4" max="4"/>
    <col width="14" customWidth="1" style="40" min="5" max="5"/>
    <col width="14" customWidth="1" style="40" min="6" max="6"/>
    <col width="46" customWidth="1" style="40" min="7" max="7"/>
  </cols>
  <sheetData>
    <row r="1">
      <c r="A1" s="41" t="inlineStr">
        <is>
          <t>MOD_SALARII — Jurnale (generate automat)</t>
        </is>
      </c>
    </row>
    <row r="2">
      <c r="A2" s="44" t="inlineStr">
        <is>
          <t>Notele sunt agregate pe lună. Fișele individuale rămân în registrul din Declarații. Fiecare bloc are rând de Check.</t>
        </is>
      </c>
    </row>
    <row r="4">
      <c r="A4" s="42" t="inlineStr">
        <is>
          <t>Bloc 1 — Plata avansului</t>
        </is>
      </c>
    </row>
    <row r="5">
      <c r="A5" s="43" t="inlineStr">
        <is>
          <t>Data jurnal:</t>
        </is>
      </c>
      <c r="B5" s="43" t="str">
        <f>Declarații_SALARII!B10</f>
        <v>2026-07-20</v>
      </c>
    </row>
    <row r="7">
      <c r="A7" s="65" t="inlineStr">
        <is>
          <t>Nr</t>
        </is>
      </c>
      <c r="B7" s="65" t="inlineStr">
        <is>
          <t>Cont Dr</t>
        </is>
      </c>
      <c r="C7" s="65" t="inlineStr">
        <is>
          <t>Sumă Dr</t>
        </is>
      </c>
      <c r="D7" s="65" t="inlineStr">
        <is>
          <t>Descriere Dr</t>
        </is>
      </c>
      <c r="E7" s="65" t="inlineStr">
        <is>
          <t>Cont Cr</t>
        </is>
      </c>
      <c r="F7" s="65" t="inlineStr">
        <is>
          <t>Sumă Cr</t>
        </is>
      </c>
      <c r="G7" s="65" t="inlineStr">
        <is>
          <t>Descriere Cr</t>
        </is>
      </c>
    </row>
    <row r="8">
      <c r="A8" s="43" t="n">
        <v>1</v>
      </c>
      <c r="B8" s="43">
        <f>Declarații_SALARII!B34</f>
        <v>425</v>
      </c>
      <c r="C8" s="43">
        <f>Declarații_SALARII!$E$29</f>
        <v>0</v>
      </c>
      <c r="D8" s="43" t="str">
        <f>"Avans acordat personalului" &amp; Declarații_SALARII!B51</f>
        <v>Avans acordat personalului - 2026-07</v>
      </c>
      <c r="E8" s="43" t="str">
        <f>Declarații_SALARII!B42</f>
        <v>5121</v>
      </c>
      <c r="F8" s="43">
        <f>Declarații_SALARII!$E$29</f>
        <v>0</v>
      </c>
      <c r="G8" s="43" t="str">
        <f>"Plata avansului din bancă" &amp; Declarații_SALARII!B51</f>
        <v>Plata avansului din bancă - 2026-07</v>
      </c>
    </row>
    <row r="10">
      <c r="A10" s="43" t="inlineStr">
        <is>
          <t>Check Σ (structural)</t>
        </is>
      </c>
      <c r="B10" s="43">
        <f>C8-F8</f>
        <v>0</v>
      </c>
      <c r="C10" s="43" t="str">
        <f>IF(ABS(B10)&lt;0.01,"OK — nota se închide","EROARE")</f>
        <v>OK — nota se închide</v>
      </c>
    </row>
    <row r="11">
      <c r="A11" s="43" t="inlineStr">
        <is>
          <t>Bloc activ?</t>
        </is>
      </c>
      <c r="B11" s="43">
        <f>Declarații_SALARII!$E$29</f>
        <v>0</v>
      </c>
      <c r="C11" s="43" t="str">
        <f>IF(B11&gt;0,"ACTIV — există avans","INACTIV — fără avans în această lună")</f>
        <v>INACTIV — fără avans în această lună</v>
      </c>
    </row>
    <row r="13">
      <c r="A13" s="42" t="inlineStr">
        <is>
          <t>Bloc 2 — Costurile lunii</t>
        </is>
      </c>
    </row>
    <row r="14">
      <c r="A14" s="43" t="inlineStr">
        <is>
          <t>Data jurnal:</t>
        </is>
      </c>
      <c r="B14" s="43" t="str">
        <f>Declarații_SALARII!B8</f>
        <v>2026-07-31</v>
      </c>
    </row>
    <row r="16">
      <c r="A16" s="65" t="inlineStr">
        <is>
          <t>Nr</t>
        </is>
      </c>
      <c r="B16" s="65" t="inlineStr">
        <is>
          <t>Cont Dr</t>
        </is>
      </c>
      <c r="C16" s="65" t="inlineStr">
        <is>
          <t>Sumă Dr</t>
        </is>
      </c>
      <c r="D16" s="65" t="inlineStr">
        <is>
          <t>Descriere Dr</t>
        </is>
      </c>
      <c r="E16" s="65" t="inlineStr">
        <is>
          <t>Cont Cr</t>
        </is>
      </c>
      <c r="F16" s="65" t="inlineStr">
        <is>
          <t>Sumă Cr</t>
        </is>
      </c>
      <c r="G16" s="65" t="inlineStr">
        <is>
          <t>Descriere Cr</t>
        </is>
      </c>
    </row>
    <row r="17">
      <c r="A17" s="43" t="n">
        <v>1</v>
      </c>
      <c r="B17" s="43">
        <f>Declarații_SALARII!B32</f>
        <v>641</v>
      </c>
      <c r="C17" s="43">
        <f>Declarații_SALARII!$C$29</f>
        <v>70877</v>
      </c>
      <c r="D17" s="43" t="str">
        <f>"Cheltuieli cu salariile" &amp; Declarații_SALARII!B51</f>
        <v>Cheltuieli cu salariile - 2026-07</v>
      </c>
      <c r="E17" s="43">
        <f>Declarații_SALARII!B33</f>
        <v>421</v>
      </c>
      <c r="F17" s="43">
        <f>Declarații_SALARII!$C$29</f>
        <v>70877</v>
      </c>
      <c r="G17" s="43" t="str">
        <f>"Salarii brute datorate personalului" &amp; Declarații_SALARII!B51</f>
        <v>Salarii brute datorate personalului - 2026-07</v>
      </c>
    </row>
    <row r="18">
      <c r="A18" s="43" t="n">
        <v>2</v>
      </c>
      <c r="B18" s="43">
        <f>Declarații_SALARII!B33</f>
        <v>421</v>
      </c>
      <c r="C18" s="43">
        <f>Declarații_SALARII!$F$29+Declarații_SALARII!$G$29+Declarații_SALARII!$I$29</f>
        <v>29900</v>
      </c>
      <c r="D18" s="43" t="str">
        <f>"Rețineri din salarii: CAS, CASS, impozit" &amp; Declarații_SALARII!B51</f>
        <v>Rețineri din salarii: CAS, CASS, impozit - 2026-07</v>
      </c>
      <c r="E18" s="43">
        <f>Declarații_SALARII!B35</f>
        <v>4315</v>
      </c>
      <c r="F18" s="43">
        <f>Declarații_SALARII!$F$29</f>
        <v>17720</v>
      </c>
      <c r="G18" s="43" t="str">
        <f>"CAS reținut, datorat bugetului" &amp; Declarații_SALARII!B51</f>
        <v>CAS reținut, datorat bugetului - 2026-07</v>
      </c>
    </row>
    <row r="19">
      <c r="A19" s="43" t="n">
        <v>3</v>
      </c>
      <c r="E19" s="43">
        <f>Declarații_SALARII!B36</f>
        <v>4316</v>
      </c>
      <c r="F19" s="43">
        <f>Declarații_SALARII!$G$29</f>
        <v>7343</v>
      </c>
      <c r="G19" s="43" t="str">
        <f>"CASS reținut, datorat bugetului" &amp; Declarații_SALARII!B51</f>
        <v>CASS reținut, datorat bugetului - 2026-07</v>
      </c>
    </row>
    <row r="20">
      <c r="A20" s="43" t="n">
        <v>4</v>
      </c>
      <c r="E20" s="43">
        <f>Declarații_SALARII!B37</f>
        <v>444</v>
      </c>
      <c r="F20" s="43">
        <f>Declarații_SALARII!$I$29</f>
        <v>4837</v>
      </c>
      <c r="G20" s="43" t="str">
        <f>"Impozit pe venit reținut, datorat bugetului" &amp; Declarații_SALARII!B51</f>
        <v>Impozit pe venit reținut, datorat bugetului - 2026-07</v>
      </c>
    </row>
    <row r="21">
      <c r="A21" s="43" t="n">
        <v>5</v>
      </c>
      <c r="B21" s="43">
        <f>Declarații_SALARII!B38</f>
        <v>646</v>
      </c>
      <c r="C21" s="43">
        <f>Declarații_SALARII!$L$29</f>
        <v>1596</v>
      </c>
      <c r="D21" s="43" t="str">
        <f>"Cheltuieli cu CAM" &amp; Declarații_SALARII!B51</f>
        <v>Cheltuieli cu CAM - 2026-07</v>
      </c>
      <c r="E21" s="43">
        <f>Declarații_SALARII!B39</f>
        <v>436</v>
      </c>
      <c r="F21" s="43">
        <f>Declarații_SALARII!$L$29</f>
        <v>1596</v>
      </c>
      <c r="G21" s="43" t="str">
        <f>"CAM datorat bugetului" &amp; Declarații_SALARII!B51</f>
        <v>CAM datorat bugetului - 2026-07</v>
      </c>
    </row>
    <row r="22">
      <c r="A22" s="43" t="n">
        <v>6</v>
      </c>
      <c r="B22" s="43">
        <f>Declarații_SALARII!B40</f>
        <v>642</v>
      </c>
      <c r="C22" s="43">
        <f>Declarații_SALARII!$D$29</f>
        <v>2550</v>
      </c>
      <c r="D22" s="43" t="str">
        <f>"Cheltuieli cu tichetele de masă" &amp; Declarații_SALARII!B51</f>
        <v>Cheltuieli cu tichetele de masă - 2026-07</v>
      </c>
      <c r="E22" s="43">
        <f>Declarații_SALARII!B41</f>
        <v>5328</v>
      </c>
      <c r="F22" s="43">
        <f>Declarații_SALARII!$D$29</f>
        <v>2550</v>
      </c>
      <c r="G22" s="43" t="str">
        <f>"Descărcarea tichetelor din gestiune" &amp; Declarații_SALARII!B51</f>
        <v>Descărcarea tichetelor din gestiune - 2026-07</v>
      </c>
    </row>
    <row r="23">
      <c r="A23" s="43" t="n">
        <v>7</v>
      </c>
      <c r="B23" s="43">
        <f>Declarații_SALARII!B33</f>
        <v>421</v>
      </c>
      <c r="C23" s="43">
        <f>Declarații_SALARII!$E$29</f>
        <v>0</v>
      </c>
      <c r="D23" s="43" t="str">
        <f>"Diminuarea datoriei salariale cu avansul acordat" &amp; Declarații_SALARII!B51</f>
        <v>Diminuarea datoriei salariale cu avansul acordat - 2026-07</v>
      </c>
      <c r="E23" s="43">
        <f>Declarații_SALARII!B34</f>
        <v>425</v>
      </c>
      <c r="F23" s="43">
        <f>Declarații_SALARII!$E$29</f>
        <v>0</v>
      </c>
      <c r="G23" s="43" t="str">
        <f>"Stingerea avansului acordat personalului" &amp; Declarații_SALARII!B51</f>
        <v>Stingerea avansului acordat personalului - 2026-07</v>
      </c>
    </row>
    <row r="25">
      <c r="A25" s="43" t="inlineStr">
        <is>
          <t>Total Dr</t>
        </is>
      </c>
      <c r="B25" s="43">
        <f>SUM(C17:C23)</f>
        <v>104923</v>
      </c>
      <c r="C25" s="43" t="inlineStr"/>
    </row>
    <row r="26">
      <c r="A26" s="43" t="inlineStr">
        <is>
          <t>Total Cr</t>
        </is>
      </c>
      <c r="B26" s="43">
        <f>SUM(F17:F23)</f>
        <v>104923</v>
      </c>
      <c r="C26" s="43" t="inlineStr"/>
    </row>
    <row r="27">
      <c r="A27" s="43" t="inlineStr">
        <is>
          <t>Check Σ (structural)</t>
        </is>
      </c>
      <c r="B27" s="43">
        <f>SUM(C17:C23)-SUM(F17:F23)</f>
        <v>0</v>
      </c>
      <c r="C27" s="43" t="str">
        <f>IF(ABS(B27)&lt;0.01,"OK — notele se închid","EROARE")</f>
        <v>OK — notele se închid</v>
      </c>
    </row>
    <row r="28">
      <c r="A28" s="43" t="inlineStr">
        <is>
          <t>Check sold 421 după bloc</t>
        </is>
      </c>
      <c r="B28" s="43">
        <f>Declarații_SALARII!$C$29-(Declarații_SALARII!$F$29+Declarații_SALARII!$G$29+Declarații_SALARII!$I$29+Declarații_SALARII!$E$29)</f>
        <v>40977</v>
      </c>
      <c r="C28" s="43" t="str">
        <f>IF(ABS(B28-Declarații_SALARII!$K$29)&lt;0.51,"OK — soldul 421 = total de plată","EROARE — 421 nu corespunde netului")</f>
        <v>OK — soldul 421 = total de plată</v>
      </c>
    </row>
    <row r="30">
      <c r="A30" s="42" t="inlineStr">
        <is>
          <t>Bloc 3 — Plăți</t>
        </is>
      </c>
    </row>
    <row r="31">
      <c r="A31" s="43" t="inlineStr">
        <is>
          <t>Data jurnal:</t>
        </is>
      </c>
      <c r="B31" s="43" t="str">
        <f>Declarații_SALARII!B9</f>
        <v>2026-08-10</v>
      </c>
    </row>
    <row r="33">
      <c r="A33" s="65" t="inlineStr">
        <is>
          <t>Nr</t>
        </is>
      </c>
      <c r="B33" s="65" t="inlineStr">
        <is>
          <t>Cont Dr</t>
        </is>
      </c>
      <c r="C33" s="65" t="inlineStr">
        <is>
          <t>Sumă Dr</t>
        </is>
      </c>
      <c r="D33" s="65" t="inlineStr">
        <is>
          <t>Descriere Dr</t>
        </is>
      </c>
      <c r="E33" s="65" t="inlineStr">
        <is>
          <t>Cont Cr</t>
        </is>
      </c>
      <c r="F33" s="65" t="inlineStr">
        <is>
          <t>Sumă Cr</t>
        </is>
      </c>
      <c r="G33" s="65" t="inlineStr">
        <is>
          <t>Descriere Cr</t>
        </is>
      </c>
    </row>
    <row r="34">
      <c r="A34" s="43" t="n">
        <v>1</v>
      </c>
      <c r="B34" s="43">
        <f>Declarații_SALARII!B33</f>
        <v>421</v>
      </c>
      <c r="C34" s="43">
        <f>Declarații_SALARII!$K$29</f>
        <v>40977</v>
      </c>
      <c r="D34" s="43" t="str">
        <f>"Plata salariilor nete" &amp; Declarații_SALARII!B51</f>
        <v>Plata salariilor nete - 2026-07</v>
      </c>
      <c r="E34" s="43" t="str">
        <f>Declarații_SALARII!B42</f>
        <v>5121</v>
      </c>
      <c r="F34" s="43">
        <f>Declarații_SALARII!$K$29</f>
        <v>40977</v>
      </c>
      <c r="G34" s="43" t="str">
        <f>"Plata salariilor nete din bancă" &amp; Declarații_SALARII!B51</f>
        <v>Plata salariilor nete din bancă - 2026-07</v>
      </c>
    </row>
    <row r="35">
      <c r="A35" s="43" t="n">
        <v>2</v>
      </c>
      <c r="B35" s="43">
        <f>Declarații_SALARII!B35</f>
        <v>4315</v>
      </c>
      <c r="C35" s="43">
        <f>Declarații_SALARII!$F$29</f>
        <v>17720</v>
      </c>
      <c r="D35" s="43" t="str">
        <f>"Stingerea datoriei CAS" &amp; Declarații_SALARII!B51</f>
        <v>Stingerea datoriei CAS - 2026-07</v>
      </c>
      <c r="E35" s="43" t="str">
        <f>Declarații_SALARII!B42</f>
        <v>5121</v>
      </c>
      <c r="F35" s="43">
        <f>Declarații_SALARII!$F$29+Declarații_SALARII!$G$29+Declarații_SALARII!$I$29</f>
        <v>29900</v>
      </c>
      <c r="G35" s="43" t="str">
        <f>"Plata CAS, CASS și impozit din bancă" &amp; Declarații_SALARII!B51</f>
        <v>Plata CAS, CASS și impozit din bancă - 2026-07</v>
      </c>
    </row>
    <row r="36">
      <c r="A36" s="43" t="n">
        <v>3</v>
      </c>
      <c r="B36" s="43">
        <f>Declarații_SALARII!B36</f>
        <v>4316</v>
      </c>
      <c r="C36" s="43">
        <f>Declarații_SALARII!$G$29</f>
        <v>7343</v>
      </c>
      <c r="D36" s="43" t="str">
        <f>"Stingerea datoriei CASS" &amp; Declarații_SALARII!B51</f>
        <v>Stingerea datoriei CASS - 2026-07</v>
      </c>
    </row>
    <row r="37">
      <c r="A37" s="43" t="n">
        <v>4</v>
      </c>
      <c r="B37" s="43">
        <f>Declarații_SALARII!B37</f>
        <v>444</v>
      </c>
      <c r="C37" s="43">
        <f>Declarații_SALARII!$I$29</f>
        <v>4837</v>
      </c>
      <c r="D37" s="43" t="str">
        <f>"Stingerea datoriei de impozit" &amp; Declarații_SALARII!B51</f>
        <v>Stingerea datoriei de impozit - 2026-07</v>
      </c>
    </row>
    <row r="38">
      <c r="A38" s="43" t="n">
        <v>5</v>
      </c>
      <c r="B38" s="43">
        <f>Declarații_SALARII!B39</f>
        <v>436</v>
      </c>
      <c r="C38" s="43">
        <f>Declarații_SALARII!$L$29</f>
        <v>1596</v>
      </c>
      <c r="D38" s="43" t="str">
        <f>"Stingerea datoriei CAM" &amp; Declarații_SALARII!B51</f>
        <v>Stingerea datoriei CAM - 2026-07</v>
      </c>
      <c r="E38" s="43" t="str">
        <f>Declarații_SALARII!B42</f>
        <v>5121</v>
      </c>
      <c r="F38" s="43">
        <f>Declarații_SALARII!$L$29</f>
        <v>1596</v>
      </c>
      <c r="G38" s="43" t="str">
        <f>"Plata CAM din bancă" &amp; Declarații_SALARII!B51</f>
        <v>Plata CAM din bancă - 2026-07</v>
      </c>
    </row>
    <row r="40">
      <c r="A40" s="43" t="inlineStr">
        <is>
          <t>Total Dr</t>
        </is>
      </c>
      <c r="B40" s="43">
        <f>SUM(C34:C38)</f>
        <v>72473</v>
      </c>
      <c r="C40" s="43" t="inlineStr"/>
    </row>
    <row r="41">
      <c r="A41" s="43" t="inlineStr">
        <is>
          <t>Total Cr</t>
        </is>
      </c>
      <c r="B41" s="43">
        <f>SUM(F34:F38)</f>
        <v>72473</v>
      </c>
      <c r="C41" s="43" t="inlineStr"/>
    </row>
    <row r="42">
      <c r="A42" s="43" t="inlineStr">
        <is>
          <t>Check Σ (structural)</t>
        </is>
      </c>
      <c r="B42" s="43">
        <f>SUM(C34:C38)-SUM(F34:F38)</f>
        <v>0</v>
      </c>
      <c r="C42" s="43" t="str">
        <f>IF(ABS(B42)&lt;0.01,"OK — notele se închid","EROARE")</f>
        <v>OK — notele se închid</v>
      </c>
    </row>
    <row r="44">
      <c r="A44" s="44" t="inlineStr">
        <is>
          <t>Stare terminală așteptată: 421 = 0, 425 = 0, 4315/4316/444/436 = 0 după plăți; 641, 642 și 646 se închid pe 121 la finalul exercițiului (vezi fluxul de închidere a exercițiului).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26" customWidth="1" style="40" min="2" max="2"/>
    <col width="12" customWidth="1" style="40" min="3" max="3"/>
    <col width="12" customWidth="1" style="40" min="4" max="4"/>
    <col width="12" customWidth="1" style="40" min="5" max="5"/>
    <col width="14" customWidth="1" style="40" min="6" max="6"/>
    <col width="48" customWidth="1" style="40" min="7" max="7"/>
    <col width="20" customWidth="1" style="40" min="8" max="8"/>
    <col width="9" customWidth="1" style="40" min="9" max="9"/>
  </cols>
  <sheetData>
    <row r="1">
      <c r="A1" s="41" t="inlineStr">
        <is>
          <t>MOD_SALARII — Notă pentru import (1 rând = 1 înregistrare)</t>
        </is>
      </c>
    </row>
    <row r="2">
      <c r="A2" s="44" t="inlineStr">
        <is>
          <t>Filtrează pe Include = DA. Echilibrul se verifică pe bloc în Jurnale, nu pe totalul listei.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Bloc 1 — Avans</t>
        </is>
      </c>
      <c r="C5" s="43" t="str">
        <f>Declarații_SALARII!B10</f>
        <v>2026-07-20</v>
      </c>
      <c r="D5" s="43">
        <f>Jurnale_SALARII!B8</f>
        <v>425</v>
      </c>
      <c r="E5" s="43" t="str">
        <f>Jurnale_SALARII!E8</f>
        <v>5121</v>
      </c>
      <c r="F5" s="43">
        <f>Jurnale_SALARII!C8</f>
        <v>0</v>
      </c>
      <c r="G5" s="43" t="str">
        <f>Jurnale_SALARII!D8</f>
        <v>Avans acordat personalului - 2026-07</v>
      </c>
      <c r="H5" s="43" t="inlineStr">
        <is>
          <t>Stat de plată</t>
        </is>
      </c>
      <c r="I5" s="43" t="str">
        <f>IF(N(F5)&gt;0,"DA","NU")</f>
        <v>NU</v>
      </c>
    </row>
    <row r="6">
      <c r="A6" s="43" t="n">
        <v>2</v>
      </c>
      <c r="B6" s="43" t="inlineStr">
        <is>
          <t>Bloc 2 — Costuri</t>
        </is>
      </c>
      <c r="C6" s="43" t="str">
        <f>Declarații_SALARII!B8</f>
        <v>2026-07-31</v>
      </c>
      <c r="D6" s="43">
        <f>Jurnale_SALARII!B17</f>
        <v>641</v>
      </c>
      <c r="E6" s="43">
        <f>Jurnale_SALARII!E17</f>
        <v>421</v>
      </c>
      <c r="F6" s="43">
        <f>Jurnale_SALARII!C17</f>
        <v>70877</v>
      </c>
      <c r="G6" s="43" t="str">
        <f>Jurnale_SALARII!D17</f>
        <v>Cheltuieli cu salariile - 2026-07</v>
      </c>
      <c r="H6" s="43" t="inlineStr">
        <is>
          <t>Stat de plată</t>
        </is>
      </c>
      <c r="I6" s="43" t="str">
        <f>IF(N(F6)&gt;0,"DA","NU")</f>
        <v>DA</v>
      </c>
    </row>
    <row r="7">
      <c r="A7" s="43" t="n">
        <v>3</v>
      </c>
      <c r="B7" s="43" t="inlineStr">
        <is>
          <t>Bloc 2 — Costuri</t>
        </is>
      </c>
      <c r="C7" s="43" t="str">
        <f>Declarații_SALARII!B8</f>
        <v>2026-07-31</v>
      </c>
      <c r="D7" s="43">
        <f>Jurnale_SALARII!B18</f>
        <v>421</v>
      </c>
      <c r="E7" s="43">
        <f>Jurnale_SALARII!E18</f>
        <v>4315</v>
      </c>
      <c r="F7" s="43">
        <f>Jurnale_SALARII!C18</f>
        <v>29900</v>
      </c>
      <c r="G7" s="43" t="str">
        <f>Jurnale_SALARII!D18</f>
        <v>Rețineri din salarii: CAS, CASS, impozit - 2026-07</v>
      </c>
      <c r="H7" s="43" t="inlineStr">
        <is>
          <t>Stat de plată</t>
        </is>
      </c>
      <c r="I7" s="43" t="str">
        <f>IF(N(F7)&gt;0,"DA","NU")</f>
        <v>DA</v>
      </c>
    </row>
    <row r="8">
      <c r="A8" s="43" t="n">
        <v>4</v>
      </c>
      <c r="B8" s="43" t="inlineStr">
        <is>
          <t>Bloc 2 — Costuri</t>
        </is>
      </c>
      <c r="C8" s="43" t="str">
        <f>Declarații_SALARII!B8</f>
        <v>2026-07-31</v>
      </c>
      <c r="D8" s="43">
        <f>Jurnale_SALARII!B19</f>
        <v>0</v>
      </c>
      <c r="E8" s="43">
        <f>Jurnale_SALARII!E19</f>
        <v>4316</v>
      </c>
      <c r="F8" s="43">
        <f>Jurnale_SALARII!C19</f>
        <v>0</v>
      </c>
      <c r="G8" s="43">
        <f>Jurnale_SALARII!D19</f>
        <v>0</v>
      </c>
      <c r="H8" s="43" t="inlineStr">
        <is>
          <t>Stat de plată</t>
        </is>
      </c>
      <c r="I8" s="43" t="str">
        <f>IF(N(F8)&gt;0,"DA","NU")</f>
        <v>NU</v>
      </c>
    </row>
    <row r="9">
      <c r="A9" s="43" t="n">
        <v>5</v>
      </c>
      <c r="B9" s="43" t="inlineStr">
        <is>
          <t>Bloc 2 — Costuri</t>
        </is>
      </c>
      <c r="C9" s="43" t="str">
        <f>Declarații_SALARII!B8</f>
        <v>2026-07-31</v>
      </c>
      <c r="D9" s="43">
        <f>Jurnale_SALARII!B20</f>
        <v>0</v>
      </c>
      <c r="E9" s="43">
        <f>Jurnale_SALARII!E20</f>
        <v>444</v>
      </c>
      <c r="F9" s="43">
        <f>Jurnale_SALARII!C20</f>
        <v>0</v>
      </c>
      <c r="G9" s="43">
        <f>Jurnale_SALARII!D20</f>
        <v>0</v>
      </c>
      <c r="H9" s="43" t="inlineStr">
        <is>
          <t>Stat de plată</t>
        </is>
      </c>
      <c r="I9" s="43" t="str">
        <f>IF(N(F9)&gt;0,"DA","NU")</f>
        <v>NU</v>
      </c>
    </row>
    <row r="10">
      <c r="A10" s="43" t="n">
        <v>6</v>
      </c>
      <c r="B10" s="43" t="inlineStr">
        <is>
          <t>Bloc 2 — Costuri</t>
        </is>
      </c>
      <c r="C10" s="43" t="str">
        <f>Declarații_SALARII!B8</f>
        <v>2026-07-31</v>
      </c>
      <c r="D10" s="43">
        <f>Jurnale_SALARII!B21</f>
        <v>646</v>
      </c>
      <c r="E10" s="43">
        <f>Jurnale_SALARII!E21</f>
        <v>436</v>
      </c>
      <c r="F10" s="43">
        <f>Jurnale_SALARII!C21</f>
        <v>1596</v>
      </c>
      <c r="G10" s="43" t="str">
        <f>Jurnale_SALARII!D21</f>
        <v>Cheltuieli cu CAM - 2026-07</v>
      </c>
      <c r="H10" s="43" t="inlineStr">
        <is>
          <t>Stat de plată</t>
        </is>
      </c>
      <c r="I10" s="43" t="str">
        <f>IF(N(F10)&gt;0,"DA","NU")</f>
        <v>DA</v>
      </c>
    </row>
    <row r="11">
      <c r="A11" s="43" t="n">
        <v>7</v>
      </c>
      <c r="B11" s="43" t="inlineStr">
        <is>
          <t>Bloc 2 — Costuri</t>
        </is>
      </c>
      <c r="C11" s="43" t="str">
        <f>Declarații_SALARII!B8</f>
        <v>2026-07-31</v>
      </c>
      <c r="D11" s="43">
        <f>Jurnale_SALARII!B22</f>
        <v>642</v>
      </c>
      <c r="E11" s="43">
        <f>Jurnale_SALARII!E22</f>
        <v>5328</v>
      </c>
      <c r="F11" s="43">
        <f>Jurnale_SALARII!C22</f>
        <v>2550</v>
      </c>
      <c r="G11" s="43" t="str">
        <f>Jurnale_SALARII!D22</f>
        <v>Cheltuieli cu tichetele de masă - 2026-07</v>
      </c>
      <c r="H11" s="43" t="inlineStr">
        <is>
          <t>Stat de plată</t>
        </is>
      </c>
      <c r="I11" s="43" t="str">
        <f>IF(N(F11)&gt;0,"DA","NU")</f>
        <v>DA</v>
      </c>
    </row>
    <row r="12">
      <c r="A12" s="43" t="n">
        <v>8</v>
      </c>
      <c r="B12" s="43" t="inlineStr">
        <is>
          <t>Bloc 2 — Costuri</t>
        </is>
      </c>
      <c r="C12" s="43" t="str">
        <f>Declarații_SALARII!B8</f>
        <v>2026-07-31</v>
      </c>
      <c r="D12" s="43">
        <f>Jurnale_SALARII!B23</f>
        <v>421</v>
      </c>
      <c r="E12" s="43">
        <f>Jurnale_SALARII!E23</f>
        <v>425</v>
      </c>
      <c r="F12" s="43">
        <f>Jurnale_SALARII!C23</f>
        <v>0</v>
      </c>
      <c r="G12" s="43" t="str">
        <f>Jurnale_SALARII!D23</f>
        <v>Diminuarea datoriei salariale cu avansul acordat - 2026-07</v>
      </c>
      <c r="H12" s="43" t="inlineStr">
        <is>
          <t>Stat de plată</t>
        </is>
      </c>
      <c r="I12" s="43" t="str">
        <f>IF(N(F12)&gt;0,"DA","NU")</f>
        <v>NU</v>
      </c>
    </row>
    <row r="13">
      <c r="A13" s="43" t="n">
        <v>9</v>
      </c>
      <c r="B13" s="43" t="inlineStr">
        <is>
          <t>Bloc 3 — Plăți</t>
        </is>
      </c>
      <c r="C13" s="43" t="str">
        <f>Declarații_SALARII!B9</f>
        <v>2026-08-10</v>
      </c>
      <c r="D13" s="43">
        <f>Jurnale_SALARII!B34</f>
        <v>421</v>
      </c>
      <c r="E13" s="43" t="str">
        <f>Jurnale_SALARII!E34</f>
        <v>5121</v>
      </c>
      <c r="F13" s="43">
        <f>Jurnale_SALARII!C34</f>
        <v>40977</v>
      </c>
      <c r="G13" s="43" t="str">
        <f>Jurnale_SALARII!D34</f>
        <v>Plata salariilor nete - 2026-07</v>
      </c>
      <c r="H13" s="43" t="inlineStr">
        <is>
          <t>Stat de plată</t>
        </is>
      </c>
      <c r="I13" s="43" t="str">
        <f>IF(N(F13)&gt;0,"DA","NU")</f>
        <v>DA</v>
      </c>
    </row>
    <row r="14">
      <c r="A14" s="43" t="n">
        <v>10</v>
      </c>
      <c r="B14" s="43" t="inlineStr">
        <is>
          <t>Bloc 3 — Plăți</t>
        </is>
      </c>
      <c r="C14" s="43" t="str">
        <f>Declarații_SALARII!B9</f>
        <v>2026-08-10</v>
      </c>
      <c r="D14" s="43">
        <f>Jurnale_SALARII!B35</f>
        <v>4315</v>
      </c>
      <c r="E14" s="43" t="str">
        <f>Jurnale_SALARII!E35</f>
        <v>5121</v>
      </c>
      <c r="F14" s="43">
        <f>Jurnale_SALARII!C35</f>
        <v>17720</v>
      </c>
      <c r="G14" s="43" t="str">
        <f>Jurnale_SALARII!D35</f>
        <v>Stingerea datoriei CAS - 2026-07</v>
      </c>
      <c r="H14" s="43" t="inlineStr">
        <is>
          <t>Stat de plată</t>
        </is>
      </c>
      <c r="I14" s="43" t="str">
        <f>IF(N(F14)&gt;0,"DA","NU")</f>
        <v>DA</v>
      </c>
    </row>
    <row r="15">
      <c r="A15" s="43" t="n">
        <v>11</v>
      </c>
      <c r="B15" s="43" t="inlineStr">
        <is>
          <t>Bloc 3 — Plăți</t>
        </is>
      </c>
      <c r="C15" s="43" t="str">
        <f>Declarații_SALARII!B9</f>
        <v>2026-08-10</v>
      </c>
      <c r="D15" s="43">
        <f>Jurnale_SALARII!B36</f>
        <v>4316</v>
      </c>
      <c r="E15" s="43">
        <f>Jurnale_SALARII!E36</f>
        <v>0</v>
      </c>
      <c r="F15" s="43">
        <f>Jurnale_SALARII!C36</f>
        <v>7343</v>
      </c>
      <c r="G15" s="43" t="str">
        <f>Jurnale_SALARII!D36</f>
        <v>Stingerea datoriei CASS - 2026-07</v>
      </c>
      <c r="H15" s="43" t="inlineStr">
        <is>
          <t>Stat de plată</t>
        </is>
      </c>
      <c r="I15" s="43" t="str">
        <f>IF(N(F15)&gt;0,"DA","NU")</f>
        <v>DA</v>
      </c>
    </row>
    <row r="16">
      <c r="A16" s="43" t="n">
        <v>12</v>
      </c>
      <c r="B16" s="43" t="inlineStr">
        <is>
          <t>Bloc 3 — Plăți</t>
        </is>
      </c>
      <c r="C16" s="43" t="str">
        <f>Declarații_SALARII!B9</f>
        <v>2026-08-10</v>
      </c>
      <c r="D16" s="43">
        <f>Jurnale_SALARII!B37</f>
        <v>444</v>
      </c>
      <c r="E16" s="43">
        <f>Jurnale_SALARII!E37</f>
        <v>0</v>
      </c>
      <c r="F16" s="43">
        <f>Jurnale_SALARII!C37</f>
        <v>4837</v>
      </c>
      <c r="G16" s="43" t="str">
        <f>Jurnale_SALARII!D37</f>
        <v>Stingerea datoriei de impozit - 2026-07</v>
      </c>
      <c r="H16" s="43" t="inlineStr">
        <is>
          <t>Stat de plată</t>
        </is>
      </c>
      <c r="I16" s="43" t="str">
        <f>IF(N(F16)&gt;0,"DA","NU")</f>
        <v>DA</v>
      </c>
    </row>
    <row r="17">
      <c r="A17" s="43" t="n">
        <v>13</v>
      </c>
      <c r="B17" s="43" t="inlineStr">
        <is>
          <t>Bloc 3 — Plăți</t>
        </is>
      </c>
      <c r="C17" s="43" t="str">
        <f>Declarații_SALARII!B9</f>
        <v>2026-08-10</v>
      </c>
      <c r="D17" s="43">
        <f>Jurnale_SALARII!B38</f>
        <v>436</v>
      </c>
      <c r="E17" s="43" t="str">
        <f>Jurnale_SALARII!E38</f>
        <v>5121</v>
      </c>
      <c r="F17" s="43">
        <f>Jurnale_SALARII!C38</f>
        <v>1596</v>
      </c>
      <c r="G17" s="43" t="str">
        <f>Jurnale_SALARII!D38</f>
        <v>Stingerea datoriei CAM - 2026-07</v>
      </c>
      <c r="H17" s="43" t="inlineStr">
        <is>
          <t>Stat de plată</t>
        </is>
      </c>
      <c r="I17" s="43" t="str">
        <f>IF(N(F17)&gt;0,"DA","NU")</f>
        <v>DA</v>
      </c>
    </row>
    <row r="19">
      <c r="A19" s="43" t="inlineStr">
        <is>
          <t>Rânduri de importat (Include=DA)</t>
        </is>
      </c>
      <c r="B19" s="43">
        <f>COUNTIF(I5:I17,"DA")</f>
        <v>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52" customWidth="1" style="40" min="1" max="1"/>
    <col width="22" customWidth="1" style="40" min="2" max="2"/>
    <col width="56" customWidth="1" style="40" min="3" max="3"/>
  </cols>
  <sheetData>
    <row r="1">
      <c r="A1" s="41" t="inlineStr">
        <is>
          <t>MOD_SALARII_EVENIMENTE — Declarații (input)</t>
        </is>
      </c>
    </row>
    <row r="2">
      <c r="A2" s="44" t="inlineStr">
        <is>
          <t>Patru evenimente independente. Pune DA pe cele care s-au întâmplat luna asta — pot fi mai multe deodată, iar blocurile neactivate ies cu zero și nu intră în nota de export.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CUI</t>
        </is>
      </c>
      <c r="B6" s="43" t="str">
        <f>Parametri!B6</f>
        <v>RO00000000</v>
      </c>
    </row>
    <row r="7">
      <c r="A7" s="43" t="inlineStr">
        <is>
          <t>Luna (AAAA-LL)</t>
        </is>
      </c>
      <c r="B7" s="64" t="inlineStr">
        <is>
          <t>2026-07</t>
        </is>
      </c>
    </row>
    <row r="8">
      <c r="A8" s="43" t="inlineStr">
        <is>
          <t>Data jurnal</t>
        </is>
      </c>
      <c r="B8" s="64" t="inlineStr">
        <is>
          <t>2026-07-31</t>
        </is>
      </c>
    </row>
    <row r="10">
      <c r="A10" s="42" t="inlineStr">
        <is>
          <t>2. Eveniment A — Concediu medical</t>
        </is>
      </c>
    </row>
    <row r="11">
      <c r="A11" s="43" t="inlineStr">
        <is>
          <t>Se aplică? (DA/NU)</t>
        </is>
      </c>
      <c r="B11" s="64" t="inlineStr">
        <is>
          <t>DA</t>
        </is>
      </c>
    </row>
    <row r="12">
      <c r="A12" s="43" t="inlineStr">
        <is>
          <t>Indemnizație brută</t>
        </is>
      </c>
      <c r="B12" s="64" t="n">
        <v>1000</v>
      </c>
      <c r="C12" s="44" t="inlineStr">
        <is>
          <t>Media brutului pe ultimele 6 luni, plafonată la 12 salarii minime brute</t>
        </is>
      </c>
    </row>
    <row r="13">
      <c r="A13" s="43" t="inlineStr">
        <is>
          <t>Partea suportată de angajator</t>
        </is>
      </c>
      <c r="B13" s="64" t="n">
        <v>250</v>
      </c>
      <c r="C13" s="44" t="inlineStr">
        <is>
          <t>Numărul de zile depinde de codul de indemnizație; prima zi de boală obișnuită nu se plătește (feb. 2026 – dec. 2027)</t>
        </is>
      </c>
    </row>
    <row r="14">
      <c r="A14" s="43" t="inlineStr">
        <is>
          <t>Partea din FNUASS (auto)</t>
        </is>
      </c>
      <c r="B14" s="43">
        <f>B12-B13</f>
        <v>750</v>
      </c>
    </row>
    <row r="15">
      <c r="A15" s="43" t="inlineStr">
        <is>
          <t>CAS reținut (auto)</t>
        </is>
      </c>
      <c r="B15" s="43">
        <f>ROUND(B12*param_cota_cas,2)</f>
        <v>250</v>
      </c>
    </row>
    <row r="16">
      <c r="A16" s="43" t="inlineStr">
        <is>
          <t>CASS reținut (auto)</t>
        </is>
      </c>
      <c r="B16" s="43">
        <f>ROUND(B12*param_cota_cass,2)</f>
        <v>100</v>
      </c>
      <c r="C16" s="44" t="inlineStr">
        <is>
          <t>Din veniturile lunii august 2026 (Legea 170/2026)</t>
        </is>
      </c>
    </row>
    <row r="17">
      <c r="A17" s="43" t="inlineStr">
        <is>
          <t>Impozit reținut (auto)</t>
        </is>
      </c>
      <c r="B17" s="43">
        <f>ROUND((B12-B15-B16)*param_cota_impozit,2)</f>
        <v>65</v>
      </c>
    </row>
    <row r="18">
      <c r="A18" s="43" t="inlineStr">
        <is>
          <t>Total reținut (auto)</t>
        </is>
      </c>
      <c r="B18" s="43">
        <f>B15+B16+B17</f>
        <v>415</v>
      </c>
    </row>
    <row r="19">
      <c r="A19" s="43" t="inlineStr">
        <is>
          <t>Net de plată (auto)</t>
        </is>
      </c>
      <c r="B19" s="43">
        <f>B12-B18</f>
        <v>585</v>
      </c>
    </row>
    <row r="20">
      <c r="A20" s="43" t="inlineStr">
        <is>
          <t>CAM (auto) — DOAR pe partea angajatorului</t>
        </is>
      </c>
      <c r="B20" s="43">
        <f>ROUND(B13*param_cota_cam,2)</f>
        <v>5.63</v>
      </c>
      <c r="C20" s="44" t="inlineStr">
        <is>
          <t>Pe partea din FNUASS nu se datorează CAM — sunt bani avansați în numele casei, nu cheltuiala firmei</t>
        </is>
      </c>
    </row>
    <row r="22">
      <c r="A22" s="42" t="inlineStr">
        <is>
          <t>3. Eveniment B — Poprire pe salariu</t>
        </is>
      </c>
    </row>
    <row r="23">
      <c r="A23" s="43" t="inlineStr">
        <is>
          <t>Se aplică? (DA/NU)</t>
        </is>
      </c>
      <c r="B23" s="64" t="inlineStr">
        <is>
          <t>DA</t>
        </is>
      </c>
    </row>
    <row r="24">
      <c r="A24" s="43" t="inlineStr">
        <is>
          <t>Net de plată al salariatului</t>
        </is>
      </c>
      <c r="B24" s="64" t="n">
        <v>29250</v>
      </c>
      <c r="C24" s="44" t="inlineStr">
        <is>
          <t>Limita se calculează din NET, nu din brut: banii merg la executor, după ce statul și-a luat partea</t>
        </is>
      </c>
    </row>
    <row r="25">
      <c r="A25" s="43" t="inlineStr">
        <is>
          <t>Tip creanță (INTRETINERE / ALTA)</t>
        </is>
      </c>
      <c r="B25" s="64" t="inlineStr">
        <is>
          <t>ALTA</t>
        </is>
      </c>
    </row>
    <row r="26">
      <c r="A26" s="43" t="inlineStr">
        <is>
          <t>Mai multe popriri pe aceeași sumă? (DA/NU)</t>
        </is>
      </c>
      <c r="B26" s="64" t="inlineStr">
        <is>
          <t>NU</t>
        </is>
      </c>
    </row>
    <row r="27">
      <c r="A27" s="43" t="inlineStr">
        <is>
          <t>Fracția aplicabilă (auto)</t>
        </is>
      </c>
      <c r="B27" s="43">
        <f>IF(OR(B25="INTRETINERE",B26="DA"),1/2,1/3)</f>
        <v>0.3333333333333333</v>
      </c>
      <c r="C27" s="44" t="inlineStr">
        <is>
          <t>art. 729 CPC: 1/2 la întreținere sau la popriri multiple, 1/3 în rest</t>
        </is>
      </c>
    </row>
    <row r="28">
      <c r="A28" s="43" t="inlineStr">
        <is>
          <t>Sumă reținută (auto)</t>
        </is>
      </c>
      <c r="B28" s="43">
        <f>ROUND(B24*B27,2)</f>
        <v>9750</v>
      </c>
    </row>
    <row r="30">
      <c r="A30" s="42" t="inlineStr">
        <is>
          <t>4. Eveniment C — Drepturi de personal neridicate</t>
        </is>
      </c>
    </row>
    <row r="31">
      <c r="A31" s="43" t="inlineStr">
        <is>
          <t>Se aplică? (DA/NU)</t>
        </is>
      </c>
      <c r="B31" s="64" t="inlineStr">
        <is>
          <t>DA</t>
        </is>
      </c>
    </row>
    <row r="32">
      <c r="A32" s="43" t="inlineStr">
        <is>
          <t>Sume neridicate</t>
        </is>
      </c>
      <c r="B32" s="64" t="n">
        <v>3400</v>
      </c>
    </row>
    <row r="33">
      <c r="A33" s="43" t="inlineStr">
        <is>
          <t>S-au ridicat ulterior? (DA/NU)</t>
        </is>
      </c>
      <c r="B33" s="64" t="inlineStr">
        <is>
          <t>DA</t>
        </is>
      </c>
    </row>
    <row r="35">
      <c r="A35" s="42" t="inlineStr">
        <is>
          <t>5. Eveniment D — Creanță față de un fost salariat</t>
        </is>
      </c>
    </row>
    <row r="36">
      <c r="A36" s="43" t="inlineStr">
        <is>
          <t>Se aplică? (DA/NU)</t>
        </is>
      </c>
      <c r="B36" s="64" t="inlineStr">
        <is>
          <t>DA</t>
        </is>
      </c>
    </row>
    <row r="37">
      <c r="A37" s="43" t="inlineStr">
        <is>
          <t>Valoarea bunului nepredat / debitului</t>
        </is>
      </c>
      <c r="B37" s="64" t="n">
        <v>400</v>
      </c>
    </row>
    <row r="38">
      <c r="A38" s="43" t="inlineStr">
        <is>
          <t>S-a încasat? (DA/NU)</t>
        </is>
      </c>
      <c r="B38" s="64" t="inlineStr">
        <is>
          <t>DA</t>
        </is>
      </c>
    </row>
    <row r="40">
      <c r="A40" s="42" t="inlineStr">
        <is>
          <t>6. Conturi</t>
        </is>
      </c>
    </row>
    <row r="41">
      <c r="A41" s="43" t="inlineStr">
        <is>
          <t>Cheltuială indemnizație (6458)</t>
        </is>
      </c>
      <c r="B41" s="64" t="inlineStr">
        <is>
          <t>6458</t>
        </is>
      </c>
    </row>
    <row r="42">
      <c r="A42" s="43" t="inlineStr">
        <is>
          <t>Creanță FNUASS (4382)</t>
        </is>
      </c>
      <c r="B42" s="64" t="inlineStr">
        <is>
          <t>4382</t>
        </is>
      </c>
    </row>
    <row r="43">
      <c r="A43" s="43" t="inlineStr">
        <is>
          <t>Datorie indemnizație (423)</t>
        </is>
      </c>
      <c r="B43" s="64" t="inlineStr">
        <is>
          <t>423</t>
        </is>
      </c>
    </row>
    <row r="44">
      <c r="A44" s="43" t="inlineStr">
        <is>
          <t>CAS reținut (4315)</t>
        </is>
      </c>
      <c r="B44" s="64" t="inlineStr">
        <is>
          <t>4315</t>
        </is>
      </c>
    </row>
    <row r="45">
      <c r="A45" s="43" t="inlineStr">
        <is>
          <t>CASS reținut (4316)</t>
        </is>
      </c>
      <c r="B45" s="64" t="inlineStr">
        <is>
          <t>4316</t>
        </is>
      </c>
    </row>
    <row r="46">
      <c r="A46" s="43" t="inlineStr">
        <is>
          <t>Impozit reținut (444)</t>
        </is>
      </c>
      <c r="B46" s="64" t="inlineStr">
        <is>
          <t>444</t>
        </is>
      </c>
    </row>
    <row r="47">
      <c r="A47" s="43" t="inlineStr">
        <is>
          <t>Cheltuială CAM (646)</t>
        </is>
      </c>
      <c r="B47" s="64" t="inlineStr">
        <is>
          <t>646</t>
        </is>
      </c>
    </row>
    <row r="48">
      <c r="A48" s="43" t="inlineStr">
        <is>
          <t>Datorie CAM (436)</t>
        </is>
      </c>
      <c r="B48" s="64" t="inlineStr">
        <is>
          <t>436</t>
        </is>
      </c>
    </row>
    <row r="49">
      <c r="A49" s="43" t="inlineStr">
        <is>
          <t>Personal — salarii datorate (421)</t>
        </is>
      </c>
      <c r="B49" s="64" t="inlineStr">
        <is>
          <t>421</t>
        </is>
      </c>
    </row>
    <row r="50">
      <c r="A50" s="43" t="inlineStr">
        <is>
          <t>Drepturi neridicate (426)</t>
        </is>
      </c>
      <c r="B50" s="64" t="inlineStr">
        <is>
          <t>426</t>
        </is>
      </c>
    </row>
    <row r="51">
      <c r="A51" s="43" t="inlineStr">
        <is>
          <t>Rețineri datorate terților (427)</t>
        </is>
      </c>
      <c r="B51" s="64" t="inlineStr">
        <is>
          <t>427</t>
        </is>
      </c>
    </row>
    <row r="52">
      <c r="A52" s="43" t="inlineStr">
        <is>
          <t>Alte creanțe cu personalul (4282)</t>
        </is>
      </c>
      <c r="B52" s="64" t="inlineStr">
        <is>
          <t>4282</t>
        </is>
      </c>
    </row>
    <row r="53">
      <c r="A53" s="43" t="inlineStr">
        <is>
          <t>Venit din despăgubiri (7588)</t>
        </is>
      </c>
      <c r="B53" s="64" t="inlineStr">
        <is>
          <t>7588</t>
        </is>
      </c>
    </row>
    <row r="54">
      <c r="A54" s="43" t="inlineStr">
        <is>
          <t>Bancă (5121)</t>
        </is>
      </c>
      <c r="B54" s="64" t="inlineStr">
        <is>
          <t>5121</t>
        </is>
      </c>
    </row>
    <row r="55">
      <c r="A55" s="43" t="inlineStr">
        <is>
          <t>Casă (5311)</t>
        </is>
      </c>
      <c r="B55" s="64" t="inlineStr">
        <is>
          <t>5311</t>
        </is>
      </c>
    </row>
    <row r="57">
      <c r="A57" s="42" t="inlineStr">
        <is>
          <t>7. Sufix</t>
        </is>
      </c>
    </row>
    <row r="58">
      <c r="A58" s="43" t="inlineStr">
        <is>
          <t>Sufix</t>
        </is>
      </c>
      <c r="B58" s="43" t="str">
        <f>"— evenimente salariale " &amp; B7</f>
        <v>— evenimente salariale 2026-07</v>
      </c>
    </row>
    <row r="60">
      <c r="A60" s="42" t="inlineStr">
        <is>
          <t>8. Control</t>
        </is>
      </c>
    </row>
    <row r="61">
      <c r="A61" s="43" t="inlineStr">
        <is>
          <t>Modul activ?</t>
        </is>
      </c>
      <c r="B61" s="43" t="str">
        <f>IF(INDEX(CatalogModule!$A$1:$A$200,MATCH("MOD_SALARII_EVENIMENTE",CatalogModule!$B$1:$B$200,0))="DA","ACTIV","INACTIV")</f>
        <v>INACTIV</v>
      </c>
    </row>
    <row r="62">
      <c r="A62" s="43" t="inlineStr">
        <is>
          <t>Verificare: baza CAM = partea angajatorului, nu brutul</t>
        </is>
      </c>
      <c r="B62" s="43" t="str">
        <f>IF(ABS(B20-ROUND(B13*param_cota_cam,2))&lt;0.01,"OK — CAM doar pe partea proprie","EROARE")</f>
        <v>OK — CAM doar pe partea proprie</v>
      </c>
    </row>
    <row r="63">
      <c r="A63" s="43" t="inlineStr">
        <is>
          <t>Verificare: reținerea nu depășește limita legală</t>
        </is>
      </c>
      <c r="B63" s="43" t="str">
        <f>IF(B28&lt;=ROUND(B24*B27,2)+0.01,"OK — în limita art. 729","EROARE — peste limita legală")</f>
        <v>OK — în limita art. 729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style="40" min="1" max="1"/>
    <col width="34" customWidth="1" style="40" min="2" max="2"/>
    <col width="62" customWidth="1" style="40" min="3" max="3"/>
    <col width="52" customWidth="1" style="40" min="4" max="4"/>
  </cols>
  <sheetData>
    <row r="1">
      <c r="A1" s="41" t="inlineStr">
        <is>
          <t>MOD_SALARII_EVENIMENTE — Reguli (tabele fixe)</t>
        </is>
      </c>
    </row>
    <row r="2">
      <c r="A2" s="44" t="inlineStr">
        <is>
          <t>Regula e dată, nu formulă. Se editează doar când se schimbă legea.</t>
        </is>
      </c>
    </row>
    <row r="4">
      <c r="A4" s="42" t="inlineStr">
        <is>
          <t>Tabel A — Cele patru evenimente</t>
        </is>
      </c>
    </row>
    <row r="5">
      <c r="A5" s="65" t="inlineStr">
        <is>
          <t>Eveniment</t>
        </is>
      </c>
      <c r="B5" s="65" t="inlineStr">
        <is>
          <t>Ce îl declanșează</t>
        </is>
      </c>
      <c r="C5" s="65" t="inlineStr">
        <is>
          <t>Lanțul</t>
        </is>
      </c>
      <c r="D5" s="65" t="inlineStr">
        <is>
          <t>Stare terminală</t>
        </is>
      </c>
    </row>
    <row r="6">
      <c r="A6" s="43" t="inlineStr">
        <is>
          <t>A. Concediu medical</t>
        </is>
      </c>
      <c r="B6" s="43" t="inlineStr">
        <is>
          <t>Certificat medical + stat de plată</t>
        </is>
      </c>
      <c r="C6" s="43" t="inlineStr">
        <is>
          <t>6458 + 4382 = 423 · 423 = 4315/4316/444 · 646 = 436 · 423 = 5121 · 5121 = 4382</t>
        </is>
      </c>
      <c r="D6" s="43" t="inlineStr">
        <is>
          <t>Sold 423 = 0 și sold 4382 = 0 pe indemnizația decontată</t>
        </is>
      </c>
    </row>
    <row r="7">
      <c r="A7" s="43" t="inlineStr">
        <is>
          <t>B. Poprire</t>
        </is>
      </c>
      <c r="B7" s="43" t="inlineStr">
        <is>
          <t>Adresă de înființare a popririi</t>
        </is>
      </c>
      <c r="C7" s="43" t="inlineStr">
        <is>
          <t>421 = 427 · 427 = 5121</t>
        </is>
      </c>
      <c r="D7" s="43" t="inlineStr">
        <is>
          <t>Sold 427 = 0 după virare; rulaj creditor = sold creditor pe lună</t>
        </is>
      </c>
    </row>
    <row r="8">
      <c r="A8" s="43" t="inlineStr">
        <is>
          <t>C. Drepturi neridicate</t>
        </is>
      </c>
      <c r="B8" s="43" t="inlineStr">
        <is>
          <t>Stat de plată + registru de casă</t>
        </is>
      </c>
      <c r="C8" s="43" t="inlineStr">
        <is>
          <t>421 = 426 · 426 = 5311</t>
        </is>
      </c>
      <c r="D8" s="43" t="inlineStr">
        <is>
          <t>Sold 421 reconciliat cu statul; sold 426 = doar sumele nerevendicate</t>
        </is>
      </c>
    </row>
    <row r="9">
      <c r="A9" s="43" t="inlineStr">
        <is>
          <t>D. Creanță fost salariat</t>
        </is>
      </c>
      <c r="B9" s="43" t="inlineStr">
        <is>
          <t>Notă de lichidare + proces-verbal</t>
        </is>
      </c>
      <c r="C9" s="43" t="inlineStr">
        <is>
          <t>4282 = 7588 · 5311 = 4282</t>
        </is>
      </c>
      <c r="D9" s="43" t="inlineStr">
        <is>
          <t>Sold 4282 = 0, niciodată creditor</t>
        </is>
      </c>
    </row>
    <row r="11">
      <c r="A11" s="42" t="inlineStr">
        <is>
          <t>Tabel B — Praguri și temeiuri</t>
        </is>
      </c>
    </row>
    <row r="12">
      <c r="A12" s="65" t="inlineStr">
        <is>
          <t>Regulă</t>
        </is>
      </c>
      <c r="B12" s="65" t="inlineStr">
        <is>
          <t>Valoare</t>
        </is>
      </c>
      <c r="C12" s="65" t="inlineStr">
        <is>
          <t>Temei</t>
        </is>
      </c>
    </row>
    <row r="13">
      <c r="A13" s="43" t="inlineStr">
        <is>
          <t>Poprire — obligații de întreținere sau alocații pentru copii</t>
        </is>
      </c>
      <c r="B13" s="43" t="inlineStr">
        <is>
          <t>1/2 din net</t>
        </is>
      </c>
      <c r="C13" s="43" t="inlineStr">
        <is>
          <t>art. 729 alin. (1) lit. a) Cod procedură civilă</t>
        </is>
      </c>
    </row>
    <row r="14">
      <c r="A14" s="43" t="inlineStr">
        <is>
          <t>Poprire — alte datorii</t>
        </is>
      </c>
      <c r="B14" s="43" t="inlineStr">
        <is>
          <t>1/3 din net</t>
        </is>
      </c>
      <c r="C14" s="43" t="inlineStr">
        <is>
          <t>art. 729 alin. (1) lit. b) Cod procedură civilă</t>
        </is>
      </c>
    </row>
    <row r="15">
      <c r="A15" s="43" t="inlineStr">
        <is>
          <t>Poprire — mai multe popriri pe aceeași sumă</t>
        </is>
      </c>
      <c r="B15" s="43" t="inlineStr">
        <is>
          <t>maximum 1/2 în total</t>
        </is>
      </c>
      <c r="C15" s="43" t="inlineStr">
        <is>
          <t>art. 729 alin. (2) CPC — indiferent de natura creanțelor</t>
        </is>
      </c>
    </row>
    <row r="16">
      <c r="A16" s="43" t="inlineStr">
        <is>
          <t>Poprire — venit sub salariul minim net</t>
        </is>
      </c>
      <c r="B16" s="43" t="inlineStr">
        <is>
          <t>doar partea peste 1/2 din minimul net</t>
        </is>
      </c>
      <c r="C16" s="43" t="inlineStr">
        <is>
          <t>art. 729 alin. (3) CPC</t>
        </is>
      </c>
    </row>
    <row r="17">
      <c r="A17" s="43" t="inlineStr">
        <is>
          <t>Medical — prima zi de boală obișnuită</t>
        </is>
      </c>
      <c r="B17" s="43" t="inlineStr">
        <is>
          <t>nu se plătește</t>
        </is>
      </c>
      <c r="C17" s="43" t="inlineStr">
        <is>
          <t>februarie 2026 – decembrie 2027; NU se aplică la urgențe, accidente de muncă, sarcină, carantină</t>
        </is>
      </c>
    </row>
    <row r="18">
      <c r="A18" s="43" t="inlineStr">
        <is>
          <t>Medical — baza de calcul</t>
        </is>
      </c>
      <c r="B18" s="43" t="inlineStr">
        <is>
          <t>media brutului pe ultimele 6 luni</t>
        </is>
      </c>
      <c r="C18" s="43" t="inlineStr">
        <is>
          <t>plafonată la 12 salarii minime brute</t>
        </is>
      </c>
    </row>
    <row r="19">
      <c r="A19" s="43" t="inlineStr">
        <is>
          <t>Medical — CASS pe indemnizație</t>
        </is>
      </c>
      <c r="B19" s="43" t="inlineStr">
        <is>
          <t>10%, din veniturile lunii august 2026</t>
        </is>
      </c>
      <c r="C19" s="43" t="inlineStr">
        <is>
          <t>Legea 170/2026 — până atunci CASS nu se datora pe indemnizație</t>
        </is>
      </c>
    </row>
    <row r="20">
      <c r="A20" s="43" t="inlineStr">
        <is>
          <t>Medical — baza CAM</t>
        </is>
      </c>
      <c r="B20" s="43" t="inlineStr">
        <is>
          <t>DOAR partea suportată de angajator</t>
        </is>
      </c>
      <c r="C20" s="43" t="inlineStr">
        <is>
          <t>pe partea din FNUASS nu se datorează CAM: nu e cheltuiala firmei</t>
        </is>
      </c>
    </row>
    <row r="22">
      <c r="A22" s="42" t="inlineStr">
        <is>
          <t>Tabel C — Ce NU se face</t>
        </is>
      </c>
    </row>
    <row r="23">
      <c r="A23" s="44" t="inlineStr">
        <is>
          <t>• Toată indemnizația pe cheltuieli. Partea din FNUASS e CREANȚĂ pe 4382 — bani avansați în numele casei. Trecută pe cheltuieli, subestimează rezultatul.</t>
        </is>
      </c>
    </row>
    <row r="24">
      <c r="A24" s="44" t="inlineStr">
        <is>
          <t>• CAM pe indemnizația întreagă. Se datorează DOAR pe partea suportată de angajator.</t>
        </is>
      </c>
    </row>
    <row r="25">
      <c r="A25" s="44" t="inlineStr">
        <is>
          <t>• Poprirea calculată din brut. Limita se aplică pe NET.</t>
        </is>
      </c>
    </row>
    <row r="26">
      <c r="A26" s="44" t="inlineStr">
        <is>
          <t>• Salariul neridicat lăsat pe 421. Fără reclasificarea pe 426, corelația „sold 421 = restul de plată de pe stat” se rupe și pare restanță de salarii.</t>
        </is>
      </c>
    </row>
    <row r="27">
      <c r="A27" s="44" t="inlineStr">
        <is>
          <t>• 4428 în loc de 4282 la creanța față de un fost salariat. 4428 e TVA neexigibilă; contul corect e „Alte creanțe în legătură cu personalul”.</t>
        </is>
      </c>
    </row>
    <row r="29">
      <c r="A29" s="42" t="inlineStr">
        <is>
          <t>Tabel D — Corelații atinse</t>
        </is>
      </c>
    </row>
    <row r="30">
      <c r="A30" s="65" t="inlineStr">
        <is>
          <t>Corelație</t>
        </is>
      </c>
      <c r="B30" s="65" t="inlineStr">
        <is>
          <t>Ce o rupe SUSPECT</t>
        </is>
      </c>
    </row>
    <row r="31">
      <c r="A31" s="43" t="inlineStr">
        <is>
          <t>Sold 4382 = 0 după decontare</t>
        </is>
      </c>
      <c r="B31" s="43" t="inlineStr">
        <is>
          <t>Indemnizații nerecuperate de la casă — bani ai firmei blocați, adesea din dosare incomplete</t>
        </is>
      </c>
    </row>
    <row r="32">
      <c r="A32" s="43" t="inlineStr">
        <is>
          <t>Sold 427 = 0 după virare</t>
        </is>
      </c>
      <c r="B32" s="43" t="inlineStr">
        <is>
          <t>Bani opriți din salariul cuiva și nevirați — trece din problemă contabilă în problemă penală</t>
        </is>
      </c>
    </row>
    <row r="33">
      <c r="A33" s="43" t="inlineStr">
        <is>
          <t>Sold 421 = restul de plată de pe stat</t>
        </is>
      </c>
      <c r="B33" s="43" t="inlineStr">
        <is>
          <t>Reclasificarea pe 426 nu s-a făcut</t>
        </is>
      </c>
    </row>
    <row r="34">
      <c r="A34" s="43" t="inlineStr">
        <is>
          <t>Sold 4282 niciodată creditor</t>
        </is>
      </c>
      <c r="B34" s="43" t="inlineStr">
        <is>
          <t>Încasare dublă sau înregistrare inițială pe partea greșită (C-23)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style="40" min="1" max="1"/>
    <col width="16" customWidth="1" style="40" min="2" max="2"/>
    <col width="14" customWidth="1" style="40" min="3" max="3"/>
    <col width="50" customWidth="1" style="40" min="4" max="4"/>
    <col width="16" customWidth="1" style="40" min="5" max="5"/>
    <col width="14" customWidth="1" style="40" min="6" max="6"/>
    <col width="50" customWidth="1" style="40" min="7" max="7"/>
  </cols>
  <sheetData>
    <row r="1">
      <c r="A1" s="41" t="inlineStr">
        <is>
          <t>MOD_SALARII_EVENIMENTE — Jurnale (generate automat)</t>
        </is>
      </c>
    </row>
    <row r="2">
      <c r="A2" s="44" t="inlineStr">
        <is>
          <t>Fiecare bloc iese cu zero dacă evenimentul lui nu e activat. Verificarea globală însumează cu ABS, deci două erori de semn contrar nu se anulează.</t>
        </is>
      </c>
    </row>
    <row r="4">
      <c r="A4" s="42" t="inlineStr">
        <is>
          <t>Bloc A — Concediu medical</t>
        </is>
      </c>
    </row>
    <row r="5">
      <c r="A5" s="43" t="inlineStr">
        <is>
          <t>Data:</t>
        </is>
      </c>
      <c r="B5" s="43" t="str">
        <f>Declarații_SALARII_EVENIMENTE!B8</f>
        <v>2026-07-31</v>
      </c>
    </row>
    <row r="6">
      <c r="A6" s="65" t="inlineStr">
        <is>
          <t>Nr</t>
        </is>
      </c>
      <c r="B6" s="65" t="inlineStr">
        <is>
          <t>Cont Dr</t>
        </is>
      </c>
      <c r="C6" s="65" t="inlineStr">
        <is>
          <t>Sumă Dr</t>
        </is>
      </c>
      <c r="D6" s="65" t="inlineStr">
        <is>
          <t>Descriere Dr</t>
        </is>
      </c>
      <c r="E6" s="65" t="inlineStr">
        <is>
          <t>Cont Cr</t>
        </is>
      </c>
      <c r="F6" s="65" t="inlineStr">
        <is>
          <t>Sumă Cr</t>
        </is>
      </c>
      <c r="G6" s="65" t="inlineStr">
        <is>
          <t>Descriere Cr</t>
        </is>
      </c>
    </row>
    <row r="7">
      <c r="A7" s="43" t="n">
        <v>1</v>
      </c>
      <c r="B7" s="43" t="str">
        <f>Declarații_SALARII_EVENIMENTE!B41</f>
        <v>6458</v>
      </c>
      <c r="C7" s="43">
        <f>IF(Declarații_SALARII_EVENIMENTE!B11="DA",Declarații_SALARII_EVENIMENTE!B13,0)</f>
        <v>250</v>
      </c>
      <c r="D7" s="43" t="str">
        <f>"Indemnizație — partea angajatorului " &amp; Declarații_SALARII_EVENIMENTE!B58</f>
        <v>Indemnizație — partea angajatorului — evenimente salariale 2026-07</v>
      </c>
      <c r="E7" s="43" t="str">
        <f>Declarații_SALARII_EVENIMENTE!B43</f>
        <v>423</v>
      </c>
      <c r="F7" s="43">
        <f>IF(Declarații_SALARII_EVENIMENTE!B11="DA",Declarații_SALARII_EVENIMENTE!B12,0)</f>
        <v>1000</v>
      </c>
      <c r="G7" s="43" t="str">
        <f>"Datorie indemnizație (brut) " &amp; Declarații_SALARII_EVENIMENTE!B58</f>
        <v>Datorie indemnizație (brut) — evenimente salariale 2026-07</v>
      </c>
    </row>
    <row r="8">
      <c r="A8" s="43" t="n">
        <v>2</v>
      </c>
      <c r="B8" s="43" t="str">
        <f>Declarații_SALARII_EVENIMENTE!B42</f>
        <v>4382</v>
      </c>
      <c r="C8" s="43">
        <f>IF(Declarații_SALARII_EVENIMENTE!B11="DA",Declarații_SALARII_EVENIMENTE!B14,0)</f>
        <v>750</v>
      </c>
      <c r="D8" s="43" t="str">
        <f>"Creanță FNUASS — avansat în numele casei " &amp; Declarații_SALARII_EVENIMENTE!B58</f>
        <v>Creanță FNUASS — avansat în numele casei — evenimente salariale 2026-07</v>
      </c>
      <c r="E8" s="43" t="n">
        <v>0</v>
      </c>
      <c r="F8" s="43" t="n">
        <v>0</v>
      </c>
    </row>
    <row r="9">
      <c r="A9" s="43" t="inlineStr">
        <is>
          <t>Check A1 (constituire)</t>
        </is>
      </c>
      <c r="B9" s="43">
        <f>(C7+C8)-F7</f>
        <v>0</v>
      </c>
      <c r="C9" s="43" t="str">
        <f>IF(ABS(B9)&lt;0.01,"OK","EROARE")</f>
        <v>OK</v>
      </c>
    </row>
    <row r="10">
      <c r="A10" s="43" t="n">
        <v>3</v>
      </c>
      <c r="B10" s="43" t="str">
        <f>Declarații_SALARII_EVENIMENTE!B43</f>
        <v>423</v>
      </c>
      <c r="C10" s="43">
        <f>IF(Declarații_SALARII_EVENIMENTE!B11="DA",Declarații_SALARII_EVENIMENTE!B18,0)</f>
        <v>415</v>
      </c>
      <c r="D10" s="43" t="str">
        <f>"Rețineri din indemnizație (pe TOT brutul) " &amp; Declarații_SALARII_EVENIMENTE!B58</f>
        <v>Rețineri din indemnizație (pe TOT brutul) — evenimente salariale 2026-07</v>
      </c>
      <c r="E10" s="43" t="str">
        <f>Declarații_SALARII_EVENIMENTE!B44</f>
        <v>4315</v>
      </c>
      <c r="F10" s="43">
        <f>IF(Declarații_SALARII_EVENIMENTE!B11="DA",Declarații_SALARII_EVENIMENTE!B15,0)</f>
        <v>250</v>
      </c>
      <c r="G10" s="43" t="str">
        <f>"CAS reținut " &amp; Declarații_SALARII_EVENIMENTE!B58</f>
        <v>CAS reținut — evenimente salariale 2026-07</v>
      </c>
    </row>
    <row r="11">
      <c r="A11" s="43" t="n">
        <v>4</v>
      </c>
      <c r="B11" s="43" t="n">
        <v>0</v>
      </c>
      <c r="C11" s="43" t="n">
        <v>0</v>
      </c>
      <c r="E11" s="43" t="str">
        <f>Declarații_SALARII_EVENIMENTE!B45</f>
        <v>4316</v>
      </c>
      <c r="F11" s="43">
        <f>IF(Declarații_SALARII_EVENIMENTE!B11="DA",Declarații_SALARII_EVENIMENTE!B16,0)</f>
        <v>100</v>
      </c>
      <c r="G11" s="43" t="str">
        <f>"CASS reținut " &amp; Declarații_SALARII_EVENIMENTE!B58</f>
        <v>CASS reținut — evenimente salariale 2026-07</v>
      </c>
    </row>
    <row r="12">
      <c r="A12" s="43" t="n">
        <v>5</v>
      </c>
      <c r="B12" s="43" t="n">
        <v>0</v>
      </c>
      <c r="C12" s="43" t="n">
        <v>0</v>
      </c>
      <c r="E12" s="43" t="str">
        <f>Declarații_SALARII_EVENIMENTE!B46</f>
        <v>444</v>
      </c>
      <c r="F12" s="43">
        <f>IF(Declarații_SALARII_EVENIMENTE!B11="DA",Declarații_SALARII_EVENIMENTE!B17,0)</f>
        <v>65</v>
      </c>
      <c r="G12" s="43" t="str">
        <f>"Impozit reținut " &amp; Declarații_SALARII_EVENIMENTE!B58</f>
        <v>Impozit reținut — evenimente salariale 2026-07</v>
      </c>
    </row>
    <row r="13">
      <c r="A13" s="43" t="inlineStr">
        <is>
          <t>Check A2 (rețineri)</t>
        </is>
      </c>
      <c r="B13" s="43">
        <f>C10-(F10+F11+F12)</f>
        <v>0</v>
      </c>
      <c r="C13" s="43" t="str">
        <f>IF(ABS(B13)&lt;0.01,"OK","EROARE")</f>
        <v>OK</v>
      </c>
    </row>
    <row r="14">
      <c r="A14" s="43" t="n">
        <v>6</v>
      </c>
      <c r="B14" s="43" t="str">
        <f>Declarații_SALARII_EVENIMENTE!B47</f>
        <v>646</v>
      </c>
      <c r="C14" s="43">
        <f>IF(Declarații_SALARII_EVENIMENTE!B11="DA",Declarații_SALARII_EVENIMENTE!B20,0)</f>
        <v>5.63</v>
      </c>
      <c r="D14" s="43" t="str">
        <f>"CAM — doar pe partea angajatorului " &amp; Declarații_SALARII_EVENIMENTE!B58</f>
        <v>CAM — doar pe partea angajatorului — evenimente salariale 2026-07</v>
      </c>
      <c r="E14" s="43" t="str">
        <f>Declarații_SALARII_EVENIMENTE!B48</f>
        <v>436</v>
      </c>
      <c r="F14" s="43">
        <f>IF(Declarații_SALARII_EVENIMENTE!B11="DA",Declarații_SALARII_EVENIMENTE!B20,0)</f>
        <v>5.63</v>
      </c>
      <c r="G14" s="43" t="str">
        <f>"Datorie CAM " &amp; Declarații_SALARII_EVENIMENTE!B58</f>
        <v>Datorie CAM — evenimente salariale 2026-07</v>
      </c>
    </row>
    <row r="15">
      <c r="A15" s="43" t="inlineStr">
        <is>
          <t>Check A3 (CAM)</t>
        </is>
      </c>
      <c r="B15" s="43">
        <f>C14-F14</f>
        <v>0</v>
      </c>
      <c r="C15" s="43" t="str">
        <f>IF(ABS(B15)&lt;0.01,"OK","EROARE")</f>
        <v>OK</v>
      </c>
    </row>
    <row r="16">
      <c r="A16" s="43" t="n">
        <v>7</v>
      </c>
      <c r="B16" s="43" t="str">
        <f>Declarații_SALARII_EVENIMENTE!B43</f>
        <v>423</v>
      </c>
      <c r="C16" s="43">
        <f>IF(Declarații_SALARII_EVENIMENTE!B11="DA",Declarații_SALARII_EVENIMENTE!B19,0)</f>
        <v>585</v>
      </c>
      <c r="D16" s="43" t="str">
        <f>"Plata netului către salariat " &amp; Declarații_SALARII_EVENIMENTE!B58</f>
        <v>Plata netului către salariat — evenimente salariale 2026-07</v>
      </c>
      <c r="E16" s="43" t="str">
        <f>Declarații_SALARII_EVENIMENTE!B54</f>
        <v>5121</v>
      </c>
      <c r="F16" s="43">
        <f>IF(Declarații_SALARII_EVENIMENTE!B11="DA",Declarații_SALARII_EVENIMENTE!B19,0)</f>
        <v>585</v>
      </c>
      <c r="G16" s="43" t="str">
        <f>"Ieșire bancă " &amp; Declarații_SALARII_EVENIMENTE!B58</f>
        <v>Ieșire bancă — evenimente salariale 2026-07</v>
      </c>
    </row>
    <row r="17">
      <c r="A17" s="43" t="n">
        <v>8</v>
      </c>
      <c r="B17" s="43" t="str">
        <f>Declarații_SALARII_EVENIMENTE!B54</f>
        <v>5121</v>
      </c>
      <c r="C17" s="43">
        <f>IF(Declarații_SALARII_EVENIMENTE!B11="DA",Declarații_SALARII_EVENIMENTE!B14,0)</f>
        <v>750</v>
      </c>
      <c r="D17" s="43" t="str">
        <f>"Decontarea cu FNUASS " &amp; Declarații_SALARII_EVENIMENTE!B58</f>
        <v>Decontarea cu FNUASS — evenimente salariale 2026-07</v>
      </c>
      <c r="E17" s="43" t="str">
        <f>Declarații_SALARII_EVENIMENTE!B42</f>
        <v>4382</v>
      </c>
      <c r="F17" s="43">
        <f>IF(Declarații_SALARII_EVENIMENTE!B11="DA",Declarații_SALARII_EVENIMENTE!B14,0)</f>
        <v>750</v>
      </c>
      <c r="G17" s="43" t="str">
        <f>"Stingerea creanței sociale " &amp; Declarații_SALARII_EVENIMENTE!B58</f>
        <v>Stingerea creanței sociale — evenimente salariale 2026-07</v>
      </c>
    </row>
    <row r="18">
      <c r="A18" s="43" t="inlineStr">
        <is>
          <t>Check A4 (plăți)</t>
        </is>
      </c>
      <c r="B18" s="43">
        <f>(C16+C17)-(F16+F17)</f>
        <v>0</v>
      </c>
      <c r="C18" s="43" t="str">
        <f>IF(ABS(B18)&lt;0.01,"OK","EROARE")</f>
        <v>OK</v>
      </c>
    </row>
    <row r="20">
      <c r="A20" s="42" t="inlineStr">
        <is>
          <t>Bloc B — Poprire pe salariu</t>
        </is>
      </c>
    </row>
    <row r="21">
      <c r="A21" s="65" t="inlineStr">
        <is>
          <t>Nr</t>
        </is>
      </c>
      <c r="B21" s="65" t="inlineStr">
        <is>
          <t>Cont Dr</t>
        </is>
      </c>
      <c r="C21" s="65" t="inlineStr">
        <is>
          <t>Sumă Dr</t>
        </is>
      </c>
      <c r="D21" s="65" t="inlineStr">
        <is>
          <t>Descriere Dr</t>
        </is>
      </c>
      <c r="E21" s="65" t="inlineStr">
        <is>
          <t>Cont Cr</t>
        </is>
      </c>
      <c r="F21" s="65" t="inlineStr">
        <is>
          <t>Sumă Cr</t>
        </is>
      </c>
      <c r="G21" s="65" t="inlineStr">
        <is>
          <t>Descriere Cr</t>
        </is>
      </c>
    </row>
    <row r="22">
      <c r="A22" s="43" t="n">
        <v>1</v>
      </c>
      <c r="B22" s="43" t="str">
        <f>Declarații_SALARII_EVENIMENTE!B49</f>
        <v>421</v>
      </c>
      <c r="C22" s="43">
        <f>IF(Declarații_SALARII_EVENIMENTE!B23="DA",Declarații_SALARII_EVENIMENTE!B28,0)</f>
        <v>9750</v>
      </c>
      <c r="D22" s="43" t="str">
        <f>"Reținere din salariu (poprire) " &amp; Declarații_SALARII_EVENIMENTE!B58</f>
        <v>Reținere din salariu (poprire) — evenimente salariale 2026-07</v>
      </c>
      <c r="E22" s="43" t="str">
        <f>Declarații_SALARII_EVENIMENTE!B51</f>
        <v>427</v>
      </c>
      <c r="F22" s="43">
        <f>IF(Declarații_SALARII_EVENIMENTE!B23="DA",Declarații_SALARII_EVENIMENTE!B28,0)</f>
        <v>9750</v>
      </c>
      <c r="G22" s="43" t="str">
        <f>"Datorie față de terț " &amp; Declarații_SALARII_EVENIMENTE!B58</f>
        <v>Datorie față de terț — evenimente salariale 2026-07</v>
      </c>
    </row>
    <row r="23">
      <c r="A23" s="43" t="n">
        <v>2</v>
      </c>
      <c r="B23" s="43" t="str">
        <f>Declarații_SALARII_EVENIMENTE!B51</f>
        <v>427</v>
      </c>
      <c r="C23" s="43">
        <f>IF(Declarații_SALARII_EVENIMENTE!B23="DA",Declarații_SALARII_EVENIMENTE!B28,0)</f>
        <v>9750</v>
      </c>
      <c r="D23" s="43" t="str">
        <f>"Virare către executor " &amp; Declarații_SALARII_EVENIMENTE!B58</f>
        <v>Virare către executor — evenimente salariale 2026-07</v>
      </c>
      <c r="E23" s="43" t="str">
        <f>Declarații_SALARII_EVENIMENTE!B54</f>
        <v>5121</v>
      </c>
      <c r="F23" s="43">
        <f>IF(Declarații_SALARII_EVENIMENTE!B23="DA",Declarații_SALARII_EVENIMENTE!B28,0)</f>
        <v>9750</v>
      </c>
      <c r="G23" s="43" t="str">
        <f>"Ieșire bancă " &amp; Declarații_SALARII_EVENIMENTE!B58</f>
        <v>Ieșire bancă — evenimente salariale 2026-07</v>
      </c>
    </row>
    <row r="24">
      <c r="A24" s="43" t="inlineStr">
        <is>
          <t>Check B</t>
        </is>
      </c>
      <c r="B24" s="43">
        <f>(C22+C23)-(F22+F23)</f>
        <v>0</v>
      </c>
      <c r="C24" s="43" t="str">
        <f>IF(ABS(B24)&lt;0.01,"OK","EROARE")</f>
        <v>OK</v>
      </c>
    </row>
    <row r="26">
      <c r="A26" s="42" t="inlineStr">
        <is>
          <t>Bloc C — Drepturi de personal neridicate</t>
        </is>
      </c>
    </row>
    <row r="27">
      <c r="A27" s="65" t="inlineStr">
        <is>
          <t>Nr</t>
        </is>
      </c>
      <c r="B27" s="65" t="inlineStr">
        <is>
          <t>Cont Dr</t>
        </is>
      </c>
      <c r="C27" s="65" t="inlineStr">
        <is>
          <t>Sumă Dr</t>
        </is>
      </c>
      <c r="D27" s="65" t="inlineStr">
        <is>
          <t>Descriere Dr</t>
        </is>
      </c>
      <c r="E27" s="65" t="inlineStr">
        <is>
          <t>Cont Cr</t>
        </is>
      </c>
      <c r="F27" s="65" t="inlineStr">
        <is>
          <t>Sumă Cr</t>
        </is>
      </c>
      <c r="G27" s="65" t="inlineStr">
        <is>
          <t>Descriere Cr</t>
        </is>
      </c>
    </row>
    <row r="28">
      <c r="A28" s="43" t="n">
        <v>1</v>
      </c>
      <c r="B28" s="43" t="str">
        <f>Declarații_SALARII_EVENIMENTE!B49</f>
        <v>421</v>
      </c>
      <c r="C28" s="43">
        <f>IF(Declarații_SALARII_EVENIMENTE!B31="DA",Declarații_SALARII_EVENIMENTE!B32,0)</f>
        <v>3400</v>
      </c>
      <c r="D28" s="43" t="str">
        <f>"Reclasificare drepturi neridicate " &amp; Declarații_SALARII_EVENIMENTE!B58</f>
        <v>Reclasificare drepturi neridicate — evenimente salariale 2026-07</v>
      </c>
      <c r="E28" s="43" t="str">
        <f>Declarații_SALARII_EVENIMENTE!B50</f>
        <v>426</v>
      </c>
      <c r="F28" s="43">
        <f>IF(Declarații_SALARII_EVENIMENTE!B31="DA",Declarații_SALARII_EVENIMENTE!B32,0)</f>
        <v>3400</v>
      </c>
      <c r="G28" s="43" t="str">
        <f>"Datorie neridicată " &amp; Declarații_SALARII_EVENIMENTE!B58</f>
        <v>Datorie neridicată — evenimente salariale 2026-07</v>
      </c>
    </row>
    <row r="29">
      <c r="A29" s="43" t="n">
        <v>2</v>
      </c>
      <c r="B29" s="43" t="str">
        <f>Declarații_SALARII_EVENIMENTE!B50</f>
        <v>426</v>
      </c>
      <c r="C29" s="43">
        <f>IF(AND(Declarații_SALARII_EVENIMENTE!B31="DA",Declarații_SALARII_EVENIMENTE!B33="DA"),Declarații_SALARII_EVENIMENTE!B32,0)</f>
        <v>3400</v>
      </c>
      <c r="D29" s="43" t="str">
        <f>"Ridicarea ulterioară " &amp; Declarații_SALARII_EVENIMENTE!B58</f>
        <v>Ridicarea ulterioară — evenimente salariale 2026-07</v>
      </c>
      <c r="E29" s="43" t="str">
        <f>Declarații_SALARII_EVENIMENTE!B55</f>
        <v>5311</v>
      </c>
      <c r="F29" s="43">
        <f>IF(AND(Declarații_SALARII_EVENIMENTE!B31="DA",Declarații_SALARII_EVENIMENTE!B33="DA"),Declarații_SALARII_EVENIMENTE!B32,0)</f>
        <v>3400</v>
      </c>
      <c r="G29" s="43" t="str">
        <f>"Ieșire casă " &amp; Declarații_SALARII_EVENIMENTE!B58</f>
        <v>Ieșire casă — evenimente salariale 2026-07</v>
      </c>
    </row>
    <row r="30">
      <c r="A30" s="43" t="inlineStr">
        <is>
          <t>Check C</t>
        </is>
      </c>
      <c r="B30" s="43">
        <f>(C28+C29)-(F28+F29)</f>
        <v>0</v>
      </c>
      <c r="C30" s="43" t="str">
        <f>IF(ABS(B30)&lt;0.01,"OK","EROARE")</f>
        <v>OK</v>
      </c>
    </row>
    <row r="32">
      <c r="A32" s="42" t="inlineStr">
        <is>
          <t>Bloc D — Creanță față de un fost salariat</t>
        </is>
      </c>
    </row>
    <row r="33">
      <c r="A33" s="65" t="inlineStr">
        <is>
          <t>Nr</t>
        </is>
      </c>
      <c r="B33" s="65" t="inlineStr">
        <is>
          <t>Cont Dr</t>
        </is>
      </c>
      <c r="C33" s="65" t="inlineStr">
        <is>
          <t>Sumă Dr</t>
        </is>
      </c>
      <c r="D33" s="65" t="inlineStr">
        <is>
          <t>Descriere Dr</t>
        </is>
      </c>
      <c r="E33" s="65" t="inlineStr">
        <is>
          <t>Cont Cr</t>
        </is>
      </c>
      <c r="F33" s="65" t="inlineStr">
        <is>
          <t>Sumă Cr</t>
        </is>
      </c>
      <c r="G33" s="65" t="inlineStr">
        <is>
          <t>Descriere Cr</t>
        </is>
      </c>
    </row>
    <row r="34">
      <c r="A34" s="43" t="n">
        <v>1</v>
      </c>
      <c r="B34" s="43" t="str">
        <f>Declarații_SALARII_EVENIMENTE!B52</f>
        <v>4282</v>
      </c>
      <c r="C34" s="43">
        <f>IF(Declarații_SALARII_EVENIMENTE!B36="DA",Declarații_SALARII_EVENIMENTE!B37,0)</f>
        <v>400</v>
      </c>
      <c r="D34" s="43" t="str">
        <f>"Creanță față de fostul salariat " &amp; Declarații_SALARII_EVENIMENTE!B58</f>
        <v>Creanță față de fostul salariat — evenimente salariale 2026-07</v>
      </c>
      <c r="E34" s="43" t="str">
        <f>Declarații_SALARII_EVENIMENTE!B53</f>
        <v>7588</v>
      </c>
      <c r="F34" s="43">
        <f>IF(Declarații_SALARII_EVENIMENTE!B36="DA",Declarații_SALARII_EVENIMENTE!B37,0)</f>
        <v>400</v>
      </c>
      <c r="G34" s="43" t="str">
        <f>"Venit din despăgubiri " &amp; Declarații_SALARII_EVENIMENTE!B58</f>
        <v>Venit din despăgubiri — evenimente salariale 2026-07</v>
      </c>
    </row>
    <row r="35">
      <c r="A35" s="43" t="n">
        <v>2</v>
      </c>
      <c r="B35" s="43" t="str">
        <f>Declarații_SALARII_EVENIMENTE!B55</f>
        <v>5311</v>
      </c>
      <c r="C35" s="43">
        <f>IF(AND(Declarații_SALARII_EVENIMENTE!B36="DA",Declarații_SALARII_EVENIMENTE!B38="DA"),Declarații_SALARII_EVENIMENTE!B37,0)</f>
        <v>400</v>
      </c>
      <c r="D35" s="43" t="str">
        <f>"Încasarea creanței " &amp; Declarații_SALARII_EVENIMENTE!B58</f>
        <v>Încasarea creanței — evenimente salariale 2026-07</v>
      </c>
      <c r="E35" s="43" t="str">
        <f>Declarații_SALARII_EVENIMENTE!B52</f>
        <v>4282</v>
      </c>
      <c r="F35" s="43">
        <f>IF(AND(Declarații_SALARII_EVENIMENTE!B36="DA",Declarații_SALARII_EVENIMENTE!B38="DA"),Declarații_SALARII_EVENIMENTE!B37,0)</f>
        <v>400</v>
      </c>
      <c r="G35" s="43" t="str">
        <f>"Stingerea creanței " &amp; Declarații_SALARII_EVENIMENTE!B58</f>
        <v>Stingerea creanței — evenimente salariale 2026-07</v>
      </c>
    </row>
    <row r="36">
      <c r="A36" s="43" t="inlineStr">
        <is>
          <t>Check D</t>
        </is>
      </c>
      <c r="B36" s="43">
        <f>(C34+C35)-(F34+F35)</f>
        <v>0</v>
      </c>
      <c r="C36" s="43" t="str">
        <f>IF(ABS(B36)&lt;0.01,"OK","EROARE")</f>
        <v>OK</v>
      </c>
    </row>
    <row r="38">
      <c r="A38" s="43" t="inlineStr">
        <is>
          <t>Check global</t>
        </is>
      </c>
      <c r="B38" s="43">
        <f>ABS(B9)+ABS(B13)+ABS(B15)+ABS(B18)+ABS(B24)+ABS(B30)+ABS(B36)</f>
        <v>0</v>
      </c>
      <c r="C38" s="43" t="str">
        <f>IF(B38&lt;0.01,"OK — toate blocurile se închid","EROARE — cel puțin un bloc dezechilibrat")</f>
        <v>OK — toate blocurile se închid</v>
      </c>
    </row>
    <row r="40">
      <c r="A40" s="42" t="inlineStr">
        <is>
          <t>Stare terminală</t>
        </is>
      </c>
    </row>
    <row r="41">
      <c r="A41" s="44" t="inlineStr">
        <is>
          <t>Sold 423 = 0 și sold 4382 = 0 pe indemnizația decontată | sold 427 = 0 după virare | sold 421 reconciliat cu statul, sold 426 = doar sumele nerevendicate | sold 4282 = 0, niciodată creditor. Pe rezultat rămân doar partea angajatorului din indemnizație și CAM-ul aferent ei.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26" customWidth="1" style="40" min="2" max="2"/>
    <col width="14" customWidth="1" style="40" min="3" max="3"/>
    <col width="12" customWidth="1" style="40" min="4" max="4"/>
    <col width="12" customWidth="1" style="40" min="5" max="5"/>
    <col width="14" customWidth="1" style="40" min="6" max="6"/>
    <col width="50" customWidth="1" style="40" min="7" max="7"/>
    <col width="26" customWidth="1" style="40" min="8" max="8"/>
    <col width="10" customWidth="1" style="40" min="9" max="9"/>
  </cols>
  <sheetData>
    <row r="1">
      <c r="A1" s="41" t="inlineStr">
        <is>
          <t>MOD_SALARII_EVENIMENTE — Notă pentru import</t>
        </is>
      </c>
    </row>
    <row r="2">
      <c r="A2" s="44" t="inlineStr">
        <is>
          <t>Filtrează Include=DA. Blocurile neactivate ies cu sumă 0 și apar ca NU.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A Medical — cheltuiala proprie</t>
        </is>
      </c>
      <c r="C5" s="43" t="str">
        <f>Declarații_SALARII_EVENIMENTE!B8</f>
        <v>2026-07-31</v>
      </c>
      <c r="D5" s="43" t="str">
        <f>Jurnale_SALARII_EVENIMENTE!B7</f>
        <v>6458</v>
      </c>
      <c r="E5" s="43" t="str">
        <f>Jurnale_SALARII_EVENIMENTE!E7</f>
        <v>423</v>
      </c>
      <c r="F5" s="43">
        <f>Jurnale_SALARII_EVENIMENTE!C7</f>
        <v>250</v>
      </c>
      <c r="G5" s="43" t="str">
        <f>Jurnale_SALARII_EVENIMENTE!D7</f>
        <v>Indemnizație — partea angajatorului — evenimente salariale 2026-07</v>
      </c>
      <c r="H5" s="43" t="inlineStr">
        <is>
          <t>Certificat medical</t>
        </is>
      </c>
      <c r="I5" s="43" t="str">
        <f>IF(AND(ISNUMBER(F5),F5&gt;0),"DA","NU")</f>
        <v>DA</v>
      </c>
    </row>
    <row r="6">
      <c r="A6" s="43" t="n">
        <v>2</v>
      </c>
      <c r="B6" s="43" t="inlineStr">
        <is>
          <t>A Medical — creanța FNUASS</t>
        </is>
      </c>
      <c r="C6" s="43" t="str">
        <f>Declarații_SALARII_EVENIMENTE!B8</f>
        <v>2026-07-31</v>
      </c>
      <c r="D6" s="43" t="str">
        <f>Jurnale_SALARII_EVENIMENTE!B8</f>
        <v>4382</v>
      </c>
      <c r="E6" s="43">
        <f>Jurnale_SALARII_EVENIMENTE!E8</f>
        <v>0</v>
      </c>
      <c r="F6" s="43">
        <f>Jurnale_SALARII_EVENIMENTE!C8</f>
        <v>750</v>
      </c>
      <c r="G6" s="43" t="str">
        <f>Jurnale_SALARII_EVENIMENTE!D8</f>
        <v>Creanță FNUASS — avansat în numele casei — evenimente salariale 2026-07</v>
      </c>
      <c r="H6" s="43" t="inlineStr">
        <is>
          <t>Certificat medical</t>
        </is>
      </c>
      <c r="I6" s="43" t="str">
        <f>IF(AND(ISNUMBER(F6),F6&gt;0),"DA","NU")</f>
        <v>DA</v>
      </c>
    </row>
    <row r="7">
      <c r="A7" s="43" t="n">
        <v>3</v>
      </c>
      <c r="B7" s="43" t="inlineStr">
        <is>
          <t>A Medical — CAS</t>
        </is>
      </c>
      <c r="C7" s="43" t="str">
        <f>Declarații_SALARII_EVENIMENTE!B8</f>
        <v>2026-07-31</v>
      </c>
      <c r="D7" s="43" t="str">
        <f>Jurnale_SALARII_EVENIMENTE!B10</f>
        <v>423</v>
      </c>
      <c r="E7" s="43" t="str">
        <f>Jurnale_SALARII_EVENIMENTE!E10</f>
        <v>4315</v>
      </c>
      <c r="F7" s="43">
        <f>Jurnale_SALARII_EVENIMENTE!F11</f>
        <v>100</v>
      </c>
      <c r="G7" s="43" t="str">
        <f>Jurnale_SALARII_EVENIMENTE!D10</f>
        <v>Rețineri din indemnizație (pe TOT brutul) — evenimente salariale 2026-07</v>
      </c>
      <c r="H7" s="43" t="inlineStr">
        <is>
          <t>Stat de plată</t>
        </is>
      </c>
      <c r="I7" s="43" t="str">
        <f>IF(AND(ISNUMBER(F7),F7&gt;0),"DA","NU")</f>
        <v>DA</v>
      </c>
    </row>
    <row r="8">
      <c r="A8" s="43" t="n">
        <v>4</v>
      </c>
      <c r="B8" s="43" t="inlineStr">
        <is>
          <t>A Medical — CASS</t>
        </is>
      </c>
      <c r="C8" s="43" t="str">
        <f>Declarații_SALARII_EVENIMENTE!B8</f>
        <v>2026-07-31</v>
      </c>
      <c r="D8" s="43">
        <f>Jurnale_SALARII_EVENIMENTE!B11</f>
        <v>0</v>
      </c>
      <c r="E8" s="43" t="str">
        <f>Jurnale_SALARII_EVENIMENTE!E11</f>
        <v>4316</v>
      </c>
      <c r="F8" s="43">
        <f>Jurnale_SALARII_EVENIMENTE!F11</f>
        <v>100</v>
      </c>
      <c r="G8" s="43" t="str">
        <f>Jurnale_SALARII_EVENIMENTE!G11</f>
        <v>CASS reținut — evenimente salariale 2026-07</v>
      </c>
      <c r="H8" s="43" t="inlineStr">
        <is>
          <t>Stat de plată</t>
        </is>
      </c>
      <c r="I8" s="43" t="str">
        <f>IF(AND(ISNUMBER(F8),F8&gt;0),"DA","NU")</f>
        <v>DA</v>
      </c>
    </row>
    <row r="9">
      <c r="A9" s="43" t="n">
        <v>5</v>
      </c>
      <c r="B9" s="43" t="inlineStr">
        <is>
          <t>A Medical — impozit</t>
        </is>
      </c>
      <c r="C9" s="43" t="str">
        <f>Declarații_SALARII_EVENIMENTE!B8</f>
        <v>2026-07-31</v>
      </c>
      <c r="D9" s="43">
        <f>Jurnale_SALARII_EVENIMENTE!B12</f>
        <v>0</v>
      </c>
      <c r="E9" s="43" t="str">
        <f>Jurnale_SALARII_EVENIMENTE!E12</f>
        <v>444</v>
      </c>
      <c r="F9" s="43">
        <f>Jurnale_SALARII_EVENIMENTE!F12</f>
        <v>65</v>
      </c>
      <c r="G9" s="43" t="str">
        <f>Jurnale_SALARII_EVENIMENTE!G12</f>
        <v>Impozit reținut — evenimente salariale 2026-07</v>
      </c>
      <c r="H9" s="43" t="inlineStr">
        <is>
          <t>Stat de plată</t>
        </is>
      </c>
      <c r="I9" s="43" t="str">
        <f>IF(AND(ISNUMBER(F9),F9&gt;0),"DA","NU")</f>
        <v>DA</v>
      </c>
    </row>
    <row r="10">
      <c r="A10" s="43" t="n">
        <v>6</v>
      </c>
      <c r="B10" s="43" t="inlineStr">
        <is>
          <t>A Medical — CAM</t>
        </is>
      </c>
      <c r="C10" s="43" t="str">
        <f>Declarații_SALARII_EVENIMENTE!B8</f>
        <v>2026-07-31</v>
      </c>
      <c r="D10" s="43" t="str">
        <f>Jurnale_SALARII_EVENIMENTE!B14</f>
        <v>646</v>
      </c>
      <c r="E10" s="43" t="str">
        <f>Jurnale_SALARII_EVENIMENTE!E14</f>
        <v>436</v>
      </c>
      <c r="F10" s="43">
        <f>Jurnale_SALARII_EVENIMENTE!C14</f>
        <v>5.63</v>
      </c>
      <c r="G10" s="43" t="str">
        <f>Jurnale_SALARII_EVENIMENTE!D14</f>
        <v>CAM — doar pe partea angajatorului — evenimente salariale 2026-07</v>
      </c>
      <c r="H10" s="43" t="inlineStr">
        <is>
          <t>Notă de contribuții</t>
        </is>
      </c>
      <c r="I10" s="43" t="str">
        <f>IF(AND(ISNUMBER(F10),F10&gt;0),"DA","NU")</f>
        <v>DA</v>
      </c>
    </row>
    <row r="11">
      <c r="A11" s="43" t="n">
        <v>7</v>
      </c>
      <c r="B11" s="43" t="inlineStr">
        <is>
          <t>A Medical — plata netului</t>
        </is>
      </c>
      <c r="C11" s="43" t="str">
        <f>Declarații_SALARII_EVENIMENTE!B8</f>
        <v>2026-07-31</v>
      </c>
      <c r="D11" s="43" t="str">
        <f>Jurnale_SALARII_EVENIMENTE!B16</f>
        <v>423</v>
      </c>
      <c r="E11" s="43" t="str">
        <f>Jurnale_SALARII_EVENIMENTE!E16</f>
        <v>5121</v>
      </c>
      <c r="F11" s="43">
        <f>Jurnale_SALARII_EVENIMENTE!C16</f>
        <v>585</v>
      </c>
      <c r="G11" s="43" t="str">
        <f>Jurnale_SALARII_EVENIMENTE!D16</f>
        <v>Plata netului către salariat — evenimente salariale 2026-07</v>
      </c>
      <c r="H11" s="43" t="inlineStr">
        <is>
          <t>Extras de cont</t>
        </is>
      </c>
      <c r="I11" s="43" t="str">
        <f>IF(AND(ISNUMBER(F11),F11&gt;0),"DA","NU")</f>
        <v>DA</v>
      </c>
    </row>
    <row r="12">
      <c r="A12" s="43" t="n">
        <v>8</v>
      </c>
      <c r="B12" s="43" t="inlineStr">
        <is>
          <t>A Medical — decontare FNUASS</t>
        </is>
      </c>
      <c r="C12" s="43" t="str">
        <f>Declarații_SALARII_EVENIMENTE!B8</f>
        <v>2026-07-31</v>
      </c>
      <c r="D12" s="43" t="str">
        <f>Jurnale_SALARII_EVENIMENTE!B17</f>
        <v>5121</v>
      </c>
      <c r="E12" s="43" t="str">
        <f>Jurnale_SALARII_EVENIMENTE!E17</f>
        <v>4382</v>
      </c>
      <c r="F12" s="43">
        <f>Jurnale_SALARII_EVENIMENTE!C17</f>
        <v>750</v>
      </c>
      <c r="G12" s="43" t="str">
        <f>Jurnale_SALARII_EVENIMENTE!D17</f>
        <v>Decontarea cu FNUASS — evenimente salariale 2026-07</v>
      </c>
      <c r="H12" s="43" t="inlineStr">
        <is>
          <t>Extras de cont</t>
        </is>
      </c>
      <c r="I12" s="43" t="str">
        <f>IF(AND(ISNUMBER(F12),F12&gt;0),"DA","NU")</f>
        <v>DA</v>
      </c>
    </row>
    <row r="13">
      <c r="A13" s="43" t="n">
        <v>9</v>
      </c>
      <c r="B13" s="43" t="inlineStr">
        <is>
          <t>B Poprire — reținere</t>
        </is>
      </c>
      <c r="C13" s="43" t="str">
        <f>Declarații_SALARII_EVENIMENTE!B8</f>
        <v>2026-07-31</v>
      </c>
      <c r="D13" s="43" t="str">
        <f>Jurnale_SALARII_EVENIMENTE!B22</f>
        <v>421</v>
      </c>
      <c r="E13" s="43" t="str">
        <f>Jurnale_SALARII_EVENIMENTE!E22</f>
        <v>427</v>
      </c>
      <c r="F13" s="43">
        <f>Jurnale_SALARII_EVENIMENTE!C22</f>
        <v>9750</v>
      </c>
      <c r="G13" s="43" t="str">
        <f>Jurnale_SALARII_EVENIMENTE!D22</f>
        <v>Reținere din salariu (poprire) — evenimente salariale 2026-07</v>
      </c>
      <c r="H13" s="43" t="inlineStr">
        <is>
          <t>Adresă de poprire</t>
        </is>
      </c>
      <c r="I13" s="43" t="str">
        <f>IF(AND(ISNUMBER(F13),F13&gt;0),"DA","NU")</f>
        <v>DA</v>
      </c>
    </row>
    <row r="14">
      <c r="A14" s="43" t="n">
        <v>10</v>
      </c>
      <c r="B14" s="43" t="inlineStr">
        <is>
          <t>B Poprire — virare</t>
        </is>
      </c>
      <c r="C14" s="43" t="str">
        <f>Declarații_SALARII_EVENIMENTE!B8</f>
        <v>2026-07-31</v>
      </c>
      <c r="D14" s="43" t="str">
        <f>Jurnale_SALARII_EVENIMENTE!B23</f>
        <v>427</v>
      </c>
      <c r="E14" s="43" t="str">
        <f>Jurnale_SALARII_EVENIMENTE!E23</f>
        <v>5121</v>
      </c>
      <c r="F14" s="43">
        <f>Jurnale_SALARII_EVENIMENTE!C23</f>
        <v>9750</v>
      </c>
      <c r="G14" s="43" t="str">
        <f>Jurnale_SALARII_EVENIMENTE!D23</f>
        <v>Virare către executor — evenimente salariale 2026-07</v>
      </c>
      <c r="H14" s="43" t="inlineStr">
        <is>
          <t>Extras de cont</t>
        </is>
      </c>
      <c r="I14" s="43" t="str">
        <f>IF(AND(ISNUMBER(F14),F14&gt;0),"DA","NU")</f>
        <v>DA</v>
      </c>
    </row>
    <row r="15">
      <c r="A15" s="43" t="n">
        <v>11</v>
      </c>
      <c r="B15" s="43" t="inlineStr">
        <is>
          <t>C Neridicate — reclasificare</t>
        </is>
      </c>
      <c r="C15" s="43" t="str">
        <f>Declarații_SALARII_EVENIMENTE!B8</f>
        <v>2026-07-31</v>
      </c>
      <c r="D15" s="43" t="str">
        <f>Jurnale_SALARII_EVENIMENTE!B28</f>
        <v>421</v>
      </c>
      <c r="E15" s="43" t="str">
        <f>Jurnale_SALARII_EVENIMENTE!E28</f>
        <v>426</v>
      </c>
      <c r="F15" s="43">
        <f>Jurnale_SALARII_EVENIMENTE!C28</f>
        <v>3400</v>
      </c>
      <c r="G15" s="43" t="str">
        <f>Jurnale_SALARII_EVENIMENTE!D28</f>
        <v>Reclasificare drepturi neridicate — evenimente salariale 2026-07</v>
      </c>
      <c r="H15" s="43" t="inlineStr">
        <is>
          <t>Registru de casă</t>
        </is>
      </c>
      <c r="I15" s="43" t="str">
        <f>IF(AND(ISNUMBER(F15),F15&gt;0),"DA","NU")</f>
        <v>DA</v>
      </c>
    </row>
    <row r="16">
      <c r="A16" s="43" t="n">
        <v>12</v>
      </c>
      <c r="B16" s="43" t="inlineStr">
        <is>
          <t>C Neridicate — ridicare</t>
        </is>
      </c>
      <c r="C16" s="43" t="str">
        <f>Declarații_SALARII_EVENIMENTE!B8</f>
        <v>2026-07-31</v>
      </c>
      <c r="D16" s="43" t="str">
        <f>Jurnale_SALARII_EVENIMENTE!B29</f>
        <v>426</v>
      </c>
      <c r="E16" s="43" t="str">
        <f>Jurnale_SALARII_EVENIMENTE!E29</f>
        <v>5311</v>
      </c>
      <c r="F16" s="43">
        <f>Jurnale_SALARII_EVENIMENTE!C29</f>
        <v>3400</v>
      </c>
      <c r="G16" s="43" t="str">
        <f>Jurnale_SALARII_EVENIMENTE!D29</f>
        <v>Ridicarea ulterioară — evenimente salariale 2026-07</v>
      </c>
      <c r="H16" s="43" t="inlineStr">
        <is>
          <t>Dispoziție de plată</t>
        </is>
      </c>
      <c r="I16" s="43" t="str">
        <f>IF(AND(ISNUMBER(F16),F16&gt;0),"DA","NU")</f>
        <v>DA</v>
      </c>
    </row>
    <row r="17">
      <c r="A17" s="43" t="n">
        <v>13</v>
      </c>
      <c r="B17" s="43" t="inlineStr">
        <is>
          <t>D Fost salariat — creanța</t>
        </is>
      </c>
      <c r="C17" s="43" t="str">
        <f>Declarații_SALARII_EVENIMENTE!B8</f>
        <v>2026-07-31</v>
      </c>
      <c r="D17" s="43" t="str">
        <f>Jurnale_SALARII_EVENIMENTE!B34</f>
        <v>4282</v>
      </c>
      <c r="E17" s="43" t="str">
        <f>Jurnale_SALARII_EVENIMENTE!E34</f>
        <v>7588</v>
      </c>
      <c r="F17" s="43">
        <f>Jurnale_SALARII_EVENIMENTE!C34</f>
        <v>400</v>
      </c>
      <c r="G17" s="43" t="str">
        <f>Jurnale_SALARII_EVENIMENTE!D34</f>
        <v>Creanță față de fostul salariat — evenimente salariale 2026-07</v>
      </c>
      <c r="H17" s="43" t="inlineStr">
        <is>
          <t>Notă de lichidare</t>
        </is>
      </c>
      <c r="I17" s="43" t="str">
        <f>IF(AND(ISNUMBER(F17),F17&gt;0),"DA","NU")</f>
        <v>DA</v>
      </c>
    </row>
    <row r="18">
      <c r="A18" s="43" t="n">
        <v>14</v>
      </c>
      <c r="B18" s="43" t="inlineStr">
        <is>
          <t>D Fost salariat — încasarea</t>
        </is>
      </c>
      <c r="C18" s="43" t="str">
        <f>Declarații_SALARII_EVENIMENTE!B8</f>
        <v>2026-07-31</v>
      </c>
      <c r="D18" s="43" t="str">
        <f>Jurnale_SALARII_EVENIMENTE!B35</f>
        <v>5311</v>
      </c>
      <c r="E18" s="43" t="str">
        <f>Jurnale_SALARII_EVENIMENTE!E35</f>
        <v>4282</v>
      </c>
      <c r="F18" s="43">
        <f>Jurnale_SALARII_EVENIMENTE!C35</f>
        <v>400</v>
      </c>
      <c r="G18" s="43" t="str">
        <f>Jurnale_SALARII_EVENIMENTE!D35</f>
        <v>Încasarea creanței — evenimente salariale 2026-07</v>
      </c>
      <c r="H18" s="43" t="inlineStr">
        <is>
          <t>Chitanță</t>
        </is>
      </c>
      <c r="I18" s="43" t="str">
        <f>IF(AND(ISNUMBER(F18),F18&gt;0),"DA","NU")</f>
        <v>DA</v>
      </c>
    </row>
    <row r="20">
      <c r="A20" s="43" t="inlineStr">
        <is>
          <t>Rânduri de importat</t>
        </is>
      </c>
      <c r="B20" s="43">
        <f>COUNTIF(I5:I18,"DA")</f>
        <v>14</v>
      </c>
    </row>
    <row r="21">
      <c r="A21" s="43" t="inlineStr">
        <is>
          <t>Check global</t>
        </is>
      </c>
      <c r="B21" s="43">
        <f>Jurnale_SALARII_EVENIMENTE!B38</f>
        <v>0</v>
      </c>
      <c r="C21" s="43" t="str">
        <f>IF(ABS(B21)&lt;0.01,"OK","EROARE")</f>
        <v>OK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0" customWidth="1" style="40" min="1" max="1"/>
    <col width="22" customWidth="1" style="40" min="2" max="2"/>
    <col width="58" customWidth="1" style="40" min="3" max="3"/>
  </cols>
  <sheetData>
    <row r="1">
      <c r="A1" s="41" t="inlineStr">
        <is>
          <t>MOD_DECONT — Declarații (input)</t>
        </is>
      </c>
    </row>
    <row r="2">
      <c r="A2" s="44" t="inlineStr">
        <is>
          <t>Antetul și politica de conturi se completează o dată. Liniile propriu-zise se lipesc în foaia Registru_DECONT. Valorile implicite sunt cele din decontul real din 31.07.2026, ca modulul să poată fi verificat contra lui.</t>
        </is>
      </c>
    </row>
    <row r="4">
      <c r="A4" s="42" t="inlineStr">
        <is>
          <t>1. Antet</t>
        </is>
      </c>
    </row>
    <row r="5">
      <c r="A5" s="43" t="inlineStr">
        <is>
          <t>Societate</t>
        </is>
      </c>
      <c r="B5" s="43" t="str">
        <f>Parametri!B5</f>
        <v>SC EXEMPLU SRL</v>
      </c>
    </row>
    <row r="6">
      <c r="A6" s="43" t="inlineStr">
        <is>
          <t>Titular decont</t>
        </is>
      </c>
      <c r="B6" s="64" t="inlineStr">
        <is>
          <t>CHIRIACESCU DIANA</t>
        </is>
      </c>
    </row>
    <row r="7">
      <c r="A7" s="43" t="inlineStr">
        <is>
          <t>Data decontului</t>
        </is>
      </c>
      <c r="B7" s="64" t="inlineStr">
        <is>
          <t>2026-07-31</t>
        </is>
      </c>
    </row>
    <row r="8">
      <c r="A8" s="43" t="inlineStr">
        <is>
          <t>Data plății / restituirii</t>
        </is>
      </c>
      <c r="B8" s="64" t="inlineStr">
        <is>
          <t>2026-08-05</t>
        </is>
      </c>
    </row>
    <row r="10">
      <c r="A10" s="42" t="inlineStr">
        <is>
          <t>2. Declarații fiscale</t>
        </is>
      </c>
    </row>
    <row r="11">
      <c r="A11" s="43" t="inlineStr">
        <is>
          <t>Societate plătitoare de TVA (DA / NU)</t>
        </is>
      </c>
      <c r="B11" s="64" t="inlineStr">
        <is>
          <t>DA</t>
        </is>
      </c>
    </row>
    <row r="12">
      <c r="A12" s="43" t="inlineStr">
        <is>
          <t>Cotă TVA standard</t>
        </is>
      </c>
      <c r="B12" s="43">
        <f>Parametri!B10</f>
        <v>0.21</v>
      </c>
    </row>
    <row r="13">
      <c r="A13" s="43" t="inlineStr">
        <is>
          <t>Cotă TVA redusă</t>
        </is>
      </c>
      <c r="B13" s="43">
        <f>Parametri!B11</f>
        <v>0.11</v>
      </c>
    </row>
    <row r="14">
      <c r="A14" s="43" t="inlineStr">
        <is>
          <t>Procent deducere TVA vehicule</t>
        </is>
      </c>
      <c r="B14" s="43">
        <f>param_proc_vehicul</f>
        <v>0.5</v>
      </c>
    </row>
    <row r="16">
      <c r="A16" s="42" t="inlineStr">
        <is>
          <t>3. Politica de conturi (comutatoare)</t>
        </is>
      </c>
    </row>
    <row r="17">
      <c r="A17" s="43" t="inlineStr">
        <is>
          <t>Cont datorie față de titular</t>
        </is>
      </c>
      <c r="B17" s="64" t="inlineStr">
        <is>
          <t>542</t>
        </is>
      </c>
      <c r="C17" s="44" t="inlineStr">
        <is>
          <t>542 avansuri de trezorerie / 462 creditori / 4281 alte datorii</t>
        </is>
      </c>
    </row>
    <row r="18">
      <c r="A18" s="43" t="inlineStr">
        <is>
          <t>Cont avans de trezorerie</t>
        </is>
      </c>
      <c r="B18" s="64" t="inlineStr">
        <is>
          <t>542</t>
        </is>
      </c>
      <c r="C18" s="44" t="inlineStr">
        <is>
          <t>542 / 425</t>
        </is>
      </c>
    </row>
    <row r="19">
      <c r="A19" s="43" t="inlineStr">
        <is>
          <t>Cont transport și parcare</t>
        </is>
      </c>
      <c r="B19" s="64" t="inlineStr">
        <is>
          <t>625</t>
        </is>
      </c>
      <c r="C19" s="44" t="inlineStr">
        <is>
          <t>624 / 625 — comutator; 625 e convenția din decontul-sursă</t>
        </is>
      </c>
    </row>
    <row r="20">
      <c r="A20" s="43" t="inlineStr">
        <is>
          <t>Cont masă în deplasare</t>
        </is>
      </c>
      <c r="B20" s="64" t="inlineStr">
        <is>
          <t>625</t>
        </is>
      </c>
      <c r="C20" s="44" t="inlineStr">
        <is>
          <t>625 / 6231 / 6588 — comutator</t>
        </is>
      </c>
    </row>
    <row r="21">
      <c r="A21" s="43" t="inlineStr">
        <is>
          <t>Cont TVA deductibilă</t>
        </is>
      </c>
      <c r="B21" s="64" t="n">
        <v>4426</v>
      </c>
    </row>
    <row r="22">
      <c r="A22" s="43" t="inlineStr">
        <is>
          <t>Cont trezorerie pentru plăți</t>
        </is>
      </c>
      <c r="B22" s="64" t="inlineStr">
        <is>
          <t>5121</t>
        </is>
      </c>
      <c r="C22" s="44" t="inlineStr">
        <is>
          <t>5121 / 5311</t>
        </is>
      </c>
    </row>
    <row r="24">
      <c r="A24" s="42" t="inlineStr">
        <is>
          <t>4. Avans și control</t>
        </is>
      </c>
    </row>
    <row r="25">
      <c r="A25" s="43" t="inlineStr">
        <is>
          <t>Avans primit (declarat în decont)</t>
        </is>
      </c>
      <c r="B25" s="64" t="n">
        <v>0</v>
      </c>
    </row>
    <row r="26">
      <c r="A26" s="43" t="inlineStr">
        <is>
          <t>Sold cont avans din balanță</t>
        </is>
      </c>
      <c r="B26" s="64" t="n">
        <v>0</v>
      </c>
      <c r="C26" s="44" t="inlineStr">
        <is>
          <t>Din fișa contului, la data decontului</t>
        </is>
      </c>
    </row>
    <row r="27">
      <c r="A27" s="43" t="inlineStr">
        <is>
          <t>Verdict control avans</t>
        </is>
      </c>
      <c r="B27" s="43">
        <f>B26-B25</f>
        <v>0</v>
      </c>
      <c r="C27" s="43" t="str">
        <f>IF(ABS(B27)&lt;0.01,"OK — avansul declarat corespunde balanței","ATENȚIE — declarația titularului nu corespunde evidenței contabile")</f>
        <v>OK — avansul declarat corespunde balanței</v>
      </c>
    </row>
    <row r="29">
      <c r="A29" s="42" t="inlineStr">
        <is>
          <t>5. Sufix generat</t>
        </is>
      </c>
    </row>
    <row r="30">
      <c r="A30" s="43" t="inlineStr">
        <is>
          <t>Sufix</t>
        </is>
      </c>
      <c r="B30" s="43" t="str">
        <f>" - decont " &amp; B6 &amp; " " &amp; B7</f>
        <v> - decont CHIRIACESCU DIANA 2026-07-31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6" customWidth="1" style="40" min="1" max="1"/>
    <col width="40" customWidth="1" style="40" min="2" max="2"/>
    <col width="10" customWidth="1" style="40" min="3" max="3"/>
    <col width="12" customWidth="1" style="40" min="4" max="4"/>
    <col width="24" customWidth="1" style="40" min="5" max="5"/>
    <col width="12" customWidth="1" style="40" min="6" max="6"/>
    <col width="22" customWidth="1" style="40" min="7" max="7"/>
    <col width="52" customWidth="1" style="40" min="8" max="8"/>
  </cols>
  <sheetData>
    <row r="1">
      <c r="A1" s="41" t="inlineStr">
        <is>
          <t>MOD_DECONT — Reguli (tabele fixe)</t>
        </is>
      </c>
    </row>
    <row r="2">
      <c r="A2" s="44" t="inlineStr">
        <is>
          <t>Regula fiscală e dată, nu formulă. Motorul din Registru caută în tabelele astea; se editează doar când se schimbă legea sau politica firmei.</t>
        </is>
      </c>
    </row>
    <row r="4">
      <c r="A4" s="42" t="inlineStr">
        <is>
          <t>Tabel A — Natura cheltuielii</t>
        </is>
      </c>
    </row>
    <row r="5">
      <c r="A5" s="65" t="inlineStr">
        <is>
          <t>Cod</t>
        </is>
      </c>
      <c r="B5" s="65" t="inlineStr">
        <is>
          <t>Denumire</t>
        </is>
      </c>
      <c r="C5" s="65" t="inlineStr">
        <is>
          <t>Cont</t>
        </is>
      </c>
      <c r="D5" s="65" t="inlineStr">
        <is>
          <t>Cotă TVA</t>
        </is>
      </c>
      <c r="E5" s="65" t="inlineStr">
        <is>
          <t>Regim TVA</t>
        </is>
      </c>
      <c r="F5" s="65" t="inlineStr">
        <is>
          <t>% deducere</t>
        </is>
      </c>
      <c r="G5" s="65" t="inlineStr">
        <is>
          <t>Impozit pe profit</t>
        </is>
      </c>
      <c r="H5" s="65" t="inlineStr">
        <is>
          <t>Temei / observație</t>
        </is>
      </c>
    </row>
    <row r="6">
      <c r="A6" s="43" t="inlineStr">
        <is>
          <t>TRANSP_INT</t>
        </is>
      </c>
      <c r="B6" s="43" t="inlineStr">
        <is>
          <t>Transport aerian internațional de persoane</t>
        </is>
      </c>
      <c r="C6" s="43" t="str">
        <f>Declarații_DECONT!B19</f>
        <v>625</v>
      </c>
      <c r="D6" s="43" t="n">
        <v>0</v>
      </c>
      <c r="E6" s="43" t="inlineStr">
        <is>
          <t>Scutit cu drept de deducere</t>
        </is>
      </c>
      <c r="F6" s="43" t="n">
        <v>1</v>
      </c>
      <c r="G6" s="43" t="inlineStr">
        <is>
          <t>Deductibil</t>
        </is>
      </c>
      <c r="H6" s="43" t="inlineStr">
        <is>
          <t>art. 294 alin. (1) — scutire cu drept de deducere, TVA zero</t>
        </is>
      </c>
    </row>
    <row r="7">
      <c r="A7" s="43" t="inlineStr">
        <is>
          <t>TRANSP_INTERN</t>
        </is>
      </c>
      <c r="B7" s="43" t="inlineStr">
        <is>
          <t>Transport intern de persoane</t>
        </is>
      </c>
      <c r="C7" s="43" t="str">
        <f>Declarații_DECONT!B19</f>
        <v>625</v>
      </c>
      <c r="D7" s="43">
        <f>Declarații_DECONT!B13</f>
        <v>0.11</v>
      </c>
      <c r="E7" s="43" t="inlineStr">
        <is>
          <t>Taxabil</t>
        </is>
      </c>
      <c r="F7" s="43" t="n">
        <v>1</v>
      </c>
      <c r="G7" s="43" t="inlineStr">
        <is>
          <t>Deductibil</t>
        </is>
      </c>
      <c r="H7" s="43" t="inlineStr">
        <is>
          <t>cotă redusă pentru transportul de persoane</t>
        </is>
      </c>
    </row>
    <row r="8">
      <c r="A8" s="43" t="inlineStr">
        <is>
          <t>PARCARE</t>
        </is>
      </c>
      <c r="B8" s="43" t="inlineStr">
        <is>
          <t>Parcare, taxe de drum</t>
        </is>
      </c>
      <c r="C8" s="43" t="str">
        <f>Declarații_DECONT!B19</f>
        <v>625</v>
      </c>
      <c r="D8" s="43">
        <f>Declarații_DECONT!B12</f>
        <v>0.21</v>
      </c>
      <c r="E8" s="43" t="inlineStr">
        <is>
          <t>Taxabil</t>
        </is>
      </c>
      <c r="F8" s="43" t="n">
        <v>1</v>
      </c>
      <c r="G8" s="43" t="inlineStr">
        <is>
          <t>Deductibil</t>
        </is>
      </c>
      <c r="H8" s="43" t="inlineStr">
        <is>
          <t>cotă standard</t>
        </is>
      </c>
    </row>
    <row r="9">
      <c r="A9" s="43" t="inlineStr">
        <is>
          <t>TAXI</t>
        </is>
      </c>
      <c r="B9" s="43" t="inlineStr">
        <is>
          <t>Taxi, transfer aeroport</t>
        </is>
      </c>
      <c r="C9" s="43" t="str">
        <f>Declarații_DECONT!B19</f>
        <v>625</v>
      </c>
      <c r="D9" s="43">
        <f>Declarații_DECONT!B13</f>
        <v>0.11</v>
      </c>
      <c r="E9" s="43" t="inlineStr">
        <is>
          <t>Taxabil</t>
        </is>
      </c>
      <c r="F9" s="43" t="n">
        <v>1</v>
      </c>
      <c r="G9" s="43" t="inlineStr">
        <is>
          <t>Deductibil</t>
        </is>
      </c>
      <c r="H9" s="43" t="inlineStr">
        <is>
          <t>transport de persoane</t>
        </is>
      </c>
    </row>
    <row r="10">
      <c r="A10" s="43" t="inlineStr">
        <is>
          <t>CAZARE</t>
        </is>
      </c>
      <c r="B10" s="43" t="inlineStr">
        <is>
          <t>Cazare hotelieră</t>
        </is>
      </c>
      <c r="C10" s="43" t="str">
        <f>Declarații_DECONT!B20</f>
        <v>625</v>
      </c>
      <c r="D10" s="43">
        <f>Declarații_DECONT!B13</f>
        <v>0.11</v>
      </c>
      <c r="E10" s="43" t="inlineStr">
        <is>
          <t>Taxabil</t>
        </is>
      </c>
      <c r="F10" s="43" t="n">
        <v>1</v>
      </c>
      <c r="G10" s="43" t="inlineStr">
        <is>
          <t>Deductibil</t>
        </is>
      </c>
      <c r="H10" s="43" t="inlineStr">
        <is>
          <t>cotă redusă HoReCa</t>
        </is>
      </c>
    </row>
    <row r="11">
      <c r="A11" s="43" t="inlineStr">
        <is>
          <t>MASA</t>
        </is>
      </c>
      <c r="B11" s="43" t="inlineStr">
        <is>
          <t>Masă în deplasare</t>
        </is>
      </c>
      <c r="C11" s="43" t="str">
        <f>Declarații_DECONT!B20</f>
        <v>625</v>
      </c>
      <c r="D11" s="43">
        <f>Declarații_DECONT!B13</f>
        <v>0.11</v>
      </c>
      <c r="E11" s="43" t="inlineStr">
        <is>
          <t>Taxabil</t>
        </is>
      </c>
      <c r="F11" s="43" t="n">
        <v>1</v>
      </c>
      <c r="G11" s="43" t="inlineStr">
        <is>
          <t>Deductibil</t>
        </is>
      </c>
      <c r="H11" s="43" t="inlineStr">
        <is>
          <t>restaurant/catering; dacă se acordă diurnă, comută pe 6588</t>
        </is>
      </c>
    </row>
    <row r="12">
      <c r="A12" s="43" t="inlineStr">
        <is>
          <t>PROTOCOL</t>
        </is>
      </c>
      <c r="B12" s="43" t="inlineStr">
        <is>
          <t>Protocol cu partener / client</t>
        </is>
      </c>
      <c r="C12" s="43" t="inlineStr">
        <is>
          <t>6231</t>
        </is>
      </c>
      <c r="D12" s="43">
        <f>Declarații_DECONT!B13</f>
        <v>0.11</v>
      </c>
      <c r="E12" s="43" t="inlineStr">
        <is>
          <t>Taxabil</t>
        </is>
      </c>
      <c r="F12" s="43" t="n">
        <v>1</v>
      </c>
      <c r="G12" s="43" t="inlineStr">
        <is>
          <t>Deductibil limitat 2%</t>
        </is>
      </c>
      <c r="H12" s="43" t="inlineStr">
        <is>
          <t>limita de 2% din profitul contabil</t>
        </is>
      </c>
    </row>
    <row r="13">
      <c r="A13" s="43" t="inlineStr">
        <is>
          <t>COMBUSTIBIL</t>
        </is>
      </c>
      <c r="B13" s="43" t="inlineStr">
        <is>
          <t>Combustibil auto</t>
        </is>
      </c>
      <c r="C13" s="43" t="inlineStr">
        <is>
          <t>6022</t>
        </is>
      </c>
      <c r="D13" s="43">
        <f>Declarații_DECONT!B12</f>
        <v>0.21</v>
      </c>
      <c r="E13" s="43" t="inlineStr">
        <is>
          <t>Taxabil</t>
        </is>
      </c>
      <c r="F13" s="43">
        <f>Declarații_DECONT!B14</f>
        <v>0.5</v>
      </c>
      <c r="G13" s="43" t="inlineStr">
        <is>
          <t>Deductibil limitat 50%</t>
        </is>
      </c>
      <c r="H13" s="43" t="inlineStr">
        <is>
          <t>art. 298 — deducere TVA 50% fără utilizare exclusivă</t>
        </is>
      </c>
    </row>
    <row r="14">
      <c r="A14" s="43" t="inlineStr">
        <is>
          <t>SERVICII</t>
        </is>
      </c>
      <c r="B14" s="43" t="inlineStr">
        <is>
          <t>Alte servicii executate de terți</t>
        </is>
      </c>
      <c r="C14" s="43" t="inlineStr">
        <is>
          <t>628</t>
        </is>
      </c>
      <c r="D14" s="43">
        <f>Declarații_DECONT!B12</f>
        <v>0.21</v>
      </c>
      <c r="E14" s="43" t="inlineStr">
        <is>
          <t>Taxabil</t>
        </is>
      </c>
      <c r="F14" s="43" t="n">
        <v>1</v>
      </c>
      <c r="G14" s="43" t="inlineStr">
        <is>
          <t>Deductibil</t>
        </is>
      </c>
      <c r="H14" s="43" t="inlineStr">
        <is>
          <t>—</t>
        </is>
      </c>
    </row>
    <row r="15">
      <c r="A15" s="43" t="inlineStr">
        <is>
          <t>MATERIALE</t>
        </is>
      </c>
      <c r="B15" s="43" t="inlineStr">
        <is>
          <t>Materiale consumabile</t>
        </is>
      </c>
      <c r="C15" s="43" t="inlineStr">
        <is>
          <t>6028</t>
        </is>
      </c>
      <c r="D15" s="43">
        <f>Declarații_DECONT!B12</f>
        <v>0.21</v>
      </c>
      <c r="E15" s="43" t="inlineStr">
        <is>
          <t>Taxabil</t>
        </is>
      </c>
      <c r="F15" s="43" t="n">
        <v>1</v>
      </c>
      <c r="G15" s="43" t="inlineStr">
        <is>
          <t>Deductibil</t>
        </is>
      </c>
      <c r="H15" s="43" t="inlineStr">
        <is>
          <t>—</t>
        </is>
      </c>
    </row>
    <row r="16">
      <c r="A16" s="43" t="inlineStr">
        <is>
          <t>PERSONAL</t>
        </is>
      </c>
      <c r="B16" s="43" t="inlineStr">
        <is>
          <t>Cheltuială personală / nejustificată</t>
        </is>
      </c>
      <c r="C16" s="43" t="inlineStr">
        <is>
          <t>6588</t>
        </is>
      </c>
      <c r="D16" s="43" t="n">
        <v>0</v>
      </c>
      <c r="E16" s="43" t="inlineStr">
        <is>
          <t>Fără drept de deducere</t>
        </is>
      </c>
      <c r="F16" s="43" t="n">
        <v>0</v>
      </c>
      <c r="G16" s="43" t="inlineStr">
        <is>
          <t>Nedeductibil</t>
        </is>
      </c>
      <c r="H16" s="43" t="inlineStr">
        <is>
          <t>nu se acceptă la deducere fiscală</t>
        </is>
      </c>
    </row>
    <row r="18">
      <c r="A18" s="42" t="inlineStr">
        <is>
          <t>Tabel B — Matricea dreptului de deducere</t>
        </is>
      </c>
    </row>
    <row r="19">
      <c r="A19" s="44" t="inlineStr">
        <is>
          <t>Cheia e perechea „tip document | CUI pe document”. Aici se decide dacă TVA se deduce și dacă cheltuiala se acceptă la decont.</t>
        </is>
      </c>
    </row>
    <row r="20">
      <c r="A20" s="65" t="inlineStr">
        <is>
          <t>Cheie</t>
        </is>
      </c>
      <c r="B20" s="65" t="inlineStr">
        <is>
          <t>Tip document</t>
        </is>
      </c>
      <c r="C20" s="65" t="inlineStr">
        <is>
          <t>CUI pe document</t>
        </is>
      </c>
      <c r="D20" s="65" t="inlineStr">
        <is>
          <t>Deducere TVA</t>
        </is>
      </c>
      <c r="E20" s="65" t="inlineStr">
        <is>
          <t>Cheltuială acceptată</t>
        </is>
      </c>
      <c r="F20" s="65" t="inlineStr"/>
      <c r="G20" s="65" t="inlineStr"/>
      <c r="H20" s="65" t="inlineStr">
        <is>
          <t>Motivare</t>
        </is>
      </c>
    </row>
    <row r="21">
      <c r="A21" s="43" t="inlineStr">
        <is>
          <t>Factura|DA</t>
        </is>
      </c>
      <c r="B21" s="43" t="inlineStr">
        <is>
          <t>Factura</t>
        </is>
      </c>
      <c r="C21" s="43" t="inlineStr">
        <is>
          <t>DA</t>
        </is>
      </c>
      <c r="D21" s="43" t="inlineStr">
        <is>
          <t>DA</t>
        </is>
      </c>
      <c r="E21" s="43" t="inlineStr">
        <is>
          <t>DA</t>
        </is>
      </c>
      <c r="H21" s="43" t="inlineStr">
        <is>
          <t>Factură completă conform art. 319 — TVA deductibil</t>
        </is>
      </c>
    </row>
    <row r="22">
      <c r="A22" s="43" t="inlineStr">
        <is>
          <t>Factura|NU</t>
        </is>
      </c>
      <c r="B22" s="43" t="inlineStr">
        <is>
          <t>Factura</t>
        </is>
      </c>
      <c r="C22" s="43" t="inlineStr">
        <is>
          <t>NU</t>
        </is>
      </c>
      <c r="D22" s="43" t="inlineStr">
        <is>
          <t>NU</t>
        </is>
      </c>
      <c r="E22" s="43" t="inlineStr">
        <is>
          <t>DA</t>
        </is>
      </c>
      <c r="H22" s="43" t="inlineStr">
        <is>
          <t>Lipsesc datele cumpărătorului — TVA nedeductibil, cheltuiala rămâne acceptată</t>
        </is>
      </c>
    </row>
    <row r="23">
      <c r="A23" s="43" t="inlineStr">
        <is>
          <t>Bon fiscal|DA</t>
        </is>
      </c>
      <c r="B23" s="43" t="inlineStr">
        <is>
          <t>Bon fiscal</t>
        </is>
      </c>
      <c r="C23" s="43" t="inlineStr">
        <is>
          <t>DA</t>
        </is>
      </c>
      <c r="D23" s="43" t="inlineStr">
        <is>
          <t>DA</t>
        </is>
      </c>
      <c r="E23" s="43" t="inlineStr">
        <is>
          <t>DA</t>
        </is>
      </c>
      <c r="H23" s="43" t="inlineStr">
        <is>
          <t>Factură simplificată — deducere permisă sub plafonul de 100 EUR</t>
        </is>
      </c>
    </row>
    <row r="24">
      <c r="A24" s="43" t="inlineStr">
        <is>
          <t>Bon fiscal|NU</t>
        </is>
      </c>
      <c r="B24" s="43" t="inlineStr">
        <is>
          <t>Bon fiscal</t>
        </is>
      </c>
      <c r="C24" s="43" t="inlineStr">
        <is>
          <t>NU</t>
        </is>
      </c>
      <c r="D24" s="43" t="inlineStr">
        <is>
          <t>NU</t>
        </is>
      </c>
      <c r="E24" s="43" t="inlineStr">
        <is>
          <t>DA</t>
        </is>
      </c>
      <c r="H24" s="43" t="inlineStr">
        <is>
          <t>Bon fără CUI — TVA nedeductibil; justificare cu ordin de deplasare</t>
        </is>
      </c>
    </row>
    <row r="25">
      <c r="A25" s="43" t="inlineStr">
        <is>
          <t>Lipsa document|DA</t>
        </is>
      </c>
      <c r="B25" s="43" t="inlineStr">
        <is>
          <t>Lipsa document</t>
        </is>
      </c>
      <c r="C25" s="43" t="inlineStr">
        <is>
          <t>DA</t>
        </is>
      </c>
      <c r="D25" s="43" t="inlineStr">
        <is>
          <t>NU</t>
        </is>
      </c>
      <c r="E25" s="43" t="inlineStr">
        <is>
          <t>NU</t>
        </is>
      </c>
      <c r="H25" s="43" t="inlineStr">
        <is>
          <t>Fără document justificativ — decontul nu se acceptă</t>
        </is>
      </c>
    </row>
    <row r="26">
      <c r="A26" s="43" t="inlineStr">
        <is>
          <t>Lipsa document|NU</t>
        </is>
      </c>
      <c r="B26" s="43" t="inlineStr">
        <is>
          <t>Lipsa document</t>
        </is>
      </c>
      <c r="C26" s="43" t="inlineStr">
        <is>
          <t>NU</t>
        </is>
      </c>
      <c r="D26" s="43" t="inlineStr">
        <is>
          <t>NU</t>
        </is>
      </c>
      <c r="E26" s="43" t="inlineStr">
        <is>
          <t>NU</t>
        </is>
      </c>
      <c r="H26" s="43" t="inlineStr">
        <is>
          <t>Fără document justificativ — decontul nu se acceptă</t>
        </is>
      </c>
    </row>
    <row r="28">
      <c r="A28" s="42" t="inlineStr">
        <is>
          <t>Tabel C — Limitare cunoscută</t>
        </is>
      </c>
    </row>
    <row r="29">
      <c r="A29" s="43" t="inlineStr">
        <is>
          <t>Liniile fără document justificativ nu se înregistrează pe cheltuială. Dacă suma se plătește totuși titularului, ea devine avantaj de natură salarială și se impozitează prin statul de plată (impozit + contribuții) — tratament care ține de MOD_SALARII. Modulul le ține separat, nu le calculează.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5" customWidth="1" style="40" min="1" max="1"/>
    <col width="28" customWidth="1" style="40" min="2" max="2"/>
    <col width="12" customWidth="1" style="40" min="3" max="3"/>
    <col width="12" customWidth="1" style="40" min="4" max="4"/>
    <col width="14" customWidth="1" style="40" min="5" max="5"/>
    <col width="12" customWidth="1" style="40" min="6" max="6"/>
    <col width="10" customWidth="1" style="40" min="7" max="7"/>
    <col width="10" customWidth="1" style="40" min="8" max="8"/>
    <col width="10" customWidth="1" style="40" min="9" max="9"/>
    <col width="10" customWidth="1" style="40" min="10" max="10"/>
    <col width="10" customWidth="1" style="40" min="11" max="11"/>
    <col width="14" customWidth="1" style="40" min="12" max="12"/>
    <col width="14" customWidth="1" style="40" min="13" max="13"/>
    <col width="14" customWidth="1" style="40" min="14" max="14"/>
    <col width="18" customWidth="1" style="40" min="15" max="15"/>
    <col width="56" customWidth="1" style="40" min="16" max="16"/>
  </cols>
  <sheetData>
    <row r="1">
      <c r="A1" s="41" t="inlineStr">
        <is>
          <t>MOD_DECONT — Registrul liniilor</t>
        </is>
      </c>
    </row>
    <row r="2">
      <c r="A2" s="44" t="inlineStr">
        <is>
          <t>Completează galben coloanele B–G. Coloanele H–P sunt formule: contul, cota, regimul și dreptul de deducere se citesc din Reguli. Coloana „Regula aplicată” spune de ce a ieșit așa.</t>
        </is>
      </c>
    </row>
    <row r="4">
      <c r="A4" s="65" t="inlineStr">
        <is>
          <t>Nr.</t>
        </is>
      </c>
      <c r="B4" s="65" t="inlineStr">
        <is>
          <t>Furnizor</t>
        </is>
      </c>
      <c r="C4" s="65" t="inlineStr">
        <is>
          <t>Data doc.</t>
        </is>
      </c>
      <c r="D4" s="65" t="inlineStr">
        <is>
          <t>Sumă brută</t>
        </is>
      </c>
      <c r="E4" s="65" t="inlineStr">
        <is>
          <t>Natura chelt.</t>
        </is>
      </c>
      <c r="F4" s="65" t="inlineStr">
        <is>
          <t>Tip document</t>
        </is>
      </c>
      <c r="G4" s="65" t="inlineStr">
        <is>
          <t>CUI pe doc.</t>
        </is>
      </c>
      <c r="H4" s="65" t="inlineStr">
        <is>
          <t>Cont</t>
        </is>
      </c>
      <c r="I4" s="65" t="inlineStr">
        <is>
          <t>Cotă</t>
        </is>
      </c>
      <c r="J4" s="65" t="inlineStr">
        <is>
          <t>% ded.</t>
        </is>
      </c>
      <c r="K4" s="65" t="inlineStr">
        <is>
          <t>Deducere TVA</t>
        </is>
      </c>
      <c r="L4" s="65" t="inlineStr">
        <is>
          <t>Acceptat</t>
        </is>
      </c>
      <c r="M4" s="65" t="inlineStr">
        <is>
          <t>Bază cheltuială</t>
        </is>
      </c>
      <c r="N4" s="65" t="inlineStr">
        <is>
          <t>TVA deductibil</t>
        </is>
      </c>
      <c r="O4" s="65" t="inlineStr">
        <is>
          <t>Impozit pe profit</t>
        </is>
      </c>
      <c r="P4" s="65" t="inlineStr">
        <is>
          <t>Regula aplicată</t>
        </is>
      </c>
    </row>
    <row r="5">
      <c r="A5" s="43" t="n">
        <v>1</v>
      </c>
      <c r="B5" s="64" t="inlineStr">
        <is>
          <t>WIZZ AIR MALTA LIMITED</t>
        </is>
      </c>
      <c r="C5" s="64" t="inlineStr">
        <is>
          <t>2026-07-20</t>
        </is>
      </c>
      <c r="D5" s="64" t="n">
        <v>1780.38</v>
      </c>
      <c r="E5" s="64" t="inlineStr">
        <is>
          <t>TRANSP_INT</t>
        </is>
      </c>
      <c r="F5" s="64" t="inlineStr">
        <is>
          <t>Factura</t>
        </is>
      </c>
      <c r="G5" s="64" t="inlineStr">
        <is>
          <t>DA</t>
        </is>
      </c>
      <c r="H5" s="43" t="str">
        <f>IF($D5="","",IFERROR(VLOOKUP($E5,Reguli_DECONT!$A$6:$H$16,3,FALSE),"?"))</f>
        <v>625</v>
      </c>
      <c r="I5" s="43">
        <f>IF($D5="","",IFERROR(VLOOKUP($E5,Reguli_DECONT!$A$6:$H$16,4,FALSE),0))</f>
        <v>0</v>
      </c>
      <c r="J5" s="43">
        <f>IF($D5="","",IFERROR(VLOOKUP($E5,Reguli_DECONT!$A$6:$H$16,6,FALSE),0))</f>
        <v>1</v>
      </c>
      <c r="K5" s="43" t="str">
        <f>IF($D5="","",IF(Declarații_DECONT!B11&lt;&gt;"DA","NU",IFERROR(VLOOKUP($F5&amp;"|"&amp;$G5,Reguli_DECONT!$A$21:$H$26,4,FALSE),"NU")))</f>
        <v>DA</v>
      </c>
      <c r="L5" s="43" t="str">
        <f>IF($D5="","",IFERROR(VLOOKUP($F5&amp;"|"&amp;$G5,Reguli_DECONT!$A$21:$H$26,5,FALSE),"NU"))</f>
        <v>DA</v>
      </c>
      <c r="M5" s="43">
        <f>IF($D5="","",IF($L5&lt;&gt;"DA",0,$D5-$N5))</f>
        <v>1780.38</v>
      </c>
      <c r="N5" s="43">
        <f>IF($D5="","",IF($L5&lt;&gt;"DA",0,IF($K5&lt;&gt;"DA",0,ROUND($D5*$I5/(1+$I5)*$J5,2))))</f>
        <v>0</v>
      </c>
      <c r="O5" s="43" t="str">
        <f>IF($D5="","",IFERROR(VLOOKUP($E5,Reguli_DECONT!$A$6:$H$16,7,FALSE),"?"))</f>
        <v>Deductibil</v>
      </c>
      <c r="P5" s="44" t="str">
        <f>IF($D5="","",IFERROR(VLOOKUP($F5&amp;"|"&amp;$G5,Reguli_DECONT!$A$21:$H$26,8,FALSE),"cod de natură necunoscut"))</f>
        <v>Factură completă conform art. 319 — TVA deductibil</v>
      </c>
    </row>
    <row r="6">
      <c r="A6" s="43" t="n">
        <v>2</v>
      </c>
      <c r="B6" s="64" t="inlineStr">
        <is>
          <t>WIZZ AIR MALTA LIMITED</t>
        </is>
      </c>
      <c r="C6" s="64" t="inlineStr">
        <is>
          <t>2026-07-29</t>
        </is>
      </c>
      <c r="D6" s="64" t="n">
        <v>1720.38</v>
      </c>
      <c r="E6" s="64" t="inlineStr">
        <is>
          <t>TRANSP_INT</t>
        </is>
      </c>
      <c r="F6" s="64" t="inlineStr">
        <is>
          <t>Factura</t>
        </is>
      </c>
      <c r="G6" s="64" t="inlineStr">
        <is>
          <t>DA</t>
        </is>
      </c>
      <c r="H6" s="43" t="str">
        <f>IF($D6="","",IFERROR(VLOOKUP($E6,Reguli_DECONT!$A$6:$H$16,3,FALSE),"?"))</f>
        <v>625</v>
      </c>
      <c r="I6" s="43">
        <f>IF($D6="","",IFERROR(VLOOKUP($E6,Reguli_DECONT!$A$6:$H$16,4,FALSE),0))</f>
        <v>0</v>
      </c>
      <c r="J6" s="43">
        <f>IF($D6="","",IFERROR(VLOOKUP($E6,Reguli_DECONT!$A$6:$H$16,6,FALSE),0))</f>
        <v>1</v>
      </c>
      <c r="K6" s="43" t="str">
        <f>IF($D6="","",IF(Declarații_DECONT!B11&lt;&gt;"DA","NU",IFERROR(VLOOKUP($F6&amp;"|"&amp;$G6,Reguli_DECONT!$A$21:$H$26,4,FALSE),"NU")))</f>
        <v>DA</v>
      </c>
      <c r="L6" s="43" t="str">
        <f>IF($D6="","",IFERROR(VLOOKUP($F6&amp;"|"&amp;$G6,Reguli_DECONT!$A$21:$H$26,5,FALSE),"NU"))</f>
        <v>DA</v>
      </c>
      <c r="M6" s="43">
        <f>IF($D6="","",IF($L6&lt;&gt;"DA",0,$D6-$N6))</f>
        <v>1720.38</v>
      </c>
      <c r="N6" s="43">
        <f>IF($D6="","",IF($L6&lt;&gt;"DA",0,IF($K6&lt;&gt;"DA",0,ROUND($D6*$I6/(1+$I6)*$J6,2))))</f>
        <v>0</v>
      </c>
      <c r="O6" s="43" t="str">
        <f>IF($D6="","",IFERROR(VLOOKUP($E6,Reguli_DECONT!$A$6:$H$16,7,FALSE),"?"))</f>
        <v>Deductibil</v>
      </c>
      <c r="P6" s="44" t="str">
        <f>IF($D6="","",IFERROR(VLOOKUP($F6&amp;"|"&amp;$G6,Reguli_DECONT!$A$21:$H$26,8,FALSE),"cod de natură necunoscut"))</f>
        <v>Factură completă conform art. 319 — TVA deductibil</v>
      </c>
    </row>
    <row r="7">
      <c r="A7" s="43" t="n">
        <v>3</v>
      </c>
      <c r="B7" s="64" t="inlineStr">
        <is>
          <t>CITY CAFÉ EXPRESS</t>
        </is>
      </c>
      <c r="C7" s="64" t="inlineStr">
        <is>
          <t>2026-07-14</t>
        </is>
      </c>
      <c r="D7" s="64" t="n">
        <v>38</v>
      </c>
      <c r="E7" s="64" t="inlineStr">
        <is>
          <t>MASA</t>
        </is>
      </c>
      <c r="F7" s="64" t="inlineStr">
        <is>
          <t>Bon fiscal</t>
        </is>
      </c>
      <c r="G7" s="64" t="inlineStr">
        <is>
          <t>NU</t>
        </is>
      </c>
      <c r="H7" s="43" t="str">
        <f>IF($D7="","",IFERROR(VLOOKUP($E7,Reguli_DECONT!$A$6:$H$16,3,FALSE),"?"))</f>
        <v>625</v>
      </c>
      <c r="I7" s="43">
        <f>IF($D7="","",IFERROR(VLOOKUP($E7,Reguli_DECONT!$A$6:$H$16,4,FALSE),0))</f>
        <v>0.11</v>
      </c>
      <c r="J7" s="43">
        <f>IF($D7="","",IFERROR(VLOOKUP($E7,Reguli_DECONT!$A$6:$H$16,6,FALSE),0))</f>
        <v>1</v>
      </c>
      <c r="K7" s="43" t="str">
        <f>IF($D7="","",IF(Declarații_DECONT!B11&lt;&gt;"DA","NU",IFERROR(VLOOKUP($F7&amp;"|"&amp;$G7,Reguli_DECONT!$A$21:$H$26,4,FALSE),"NU")))</f>
        <v>NU</v>
      </c>
      <c r="L7" s="43" t="str">
        <f>IF($D7="","",IFERROR(VLOOKUP($F7&amp;"|"&amp;$G7,Reguli_DECONT!$A$21:$H$26,5,FALSE),"NU"))</f>
        <v>DA</v>
      </c>
      <c r="M7" s="43">
        <f>IF($D7="","",IF($L7&lt;&gt;"DA",0,$D7-$N7))</f>
        <v>38</v>
      </c>
      <c r="N7" s="43">
        <f>IF($D7="","",IF($L7&lt;&gt;"DA",0,IF($K7&lt;&gt;"DA",0,ROUND($D7*$I7/(1+$I7)*$J7,2))))</f>
        <v>0</v>
      </c>
      <c r="O7" s="43" t="str">
        <f>IF($D7="","",IFERROR(VLOOKUP($E7,Reguli_DECONT!$A$6:$H$16,7,FALSE),"?"))</f>
        <v>Deductibil</v>
      </c>
      <c r="P7" s="44" t="str">
        <f>IF($D7="","",IFERROR(VLOOKUP($F7&amp;"|"&amp;$G7,Reguli_DECONT!$A$21:$H$26,8,FALSE),"cod de natură necunoscut"))</f>
        <v>Bon fără CUI — TVA nedeductibil; justificare cu ordin de deplasare</v>
      </c>
    </row>
    <row r="8">
      <c r="A8" s="43" t="n">
        <v>4</v>
      </c>
      <c r="B8" s="64" t="inlineStr">
        <is>
          <t>OLIMPIA PARKING</t>
        </is>
      </c>
      <c r="C8" s="64" t="inlineStr">
        <is>
          <t>2026-07-16</t>
        </is>
      </c>
      <c r="D8" s="64" t="n">
        <v>200</v>
      </c>
      <c r="E8" s="64" t="inlineStr">
        <is>
          <t>PARCARE</t>
        </is>
      </c>
      <c r="F8" s="64" t="inlineStr">
        <is>
          <t>Bon fiscal</t>
        </is>
      </c>
      <c r="G8" s="64" t="inlineStr">
        <is>
          <t>NU</t>
        </is>
      </c>
      <c r="H8" s="43" t="str">
        <f>IF($D8="","",IFERROR(VLOOKUP($E8,Reguli_DECONT!$A$6:$H$16,3,FALSE),"?"))</f>
        <v>625</v>
      </c>
      <c r="I8" s="43">
        <f>IF($D8="","",IFERROR(VLOOKUP($E8,Reguli_DECONT!$A$6:$H$16,4,FALSE),0))</f>
        <v>0.21</v>
      </c>
      <c r="J8" s="43">
        <f>IF($D8="","",IFERROR(VLOOKUP($E8,Reguli_DECONT!$A$6:$H$16,6,FALSE),0))</f>
        <v>1</v>
      </c>
      <c r="K8" s="43" t="str">
        <f>IF($D8="","",IF(Declarații_DECONT!B11&lt;&gt;"DA","NU",IFERROR(VLOOKUP($F8&amp;"|"&amp;$G8,Reguli_DECONT!$A$21:$H$26,4,FALSE),"NU")))</f>
        <v>NU</v>
      </c>
      <c r="L8" s="43" t="str">
        <f>IF($D8="","",IFERROR(VLOOKUP($F8&amp;"|"&amp;$G8,Reguli_DECONT!$A$21:$H$26,5,FALSE),"NU"))</f>
        <v>DA</v>
      </c>
      <c r="M8" s="43">
        <f>IF($D8="","",IF($L8&lt;&gt;"DA",0,$D8-$N8))</f>
        <v>200</v>
      </c>
      <c r="N8" s="43">
        <f>IF($D8="","",IF($L8&lt;&gt;"DA",0,IF($K8&lt;&gt;"DA",0,ROUND($D8*$I8/(1+$I8)*$J8,2))))</f>
        <v>0</v>
      </c>
      <c r="O8" s="43" t="str">
        <f>IF($D8="","",IFERROR(VLOOKUP($E8,Reguli_DECONT!$A$6:$H$16,7,FALSE),"?"))</f>
        <v>Deductibil</v>
      </c>
      <c r="P8" s="44" t="str">
        <f>IF($D8="","",IFERROR(VLOOKUP($F8&amp;"|"&amp;$G8,Reguli_DECONT!$A$21:$H$26,8,FALSE),"cod de natură necunoscut"))</f>
        <v>Bon fără CUI — TVA nedeductibil; justificare cu ordin de deplasare</v>
      </c>
    </row>
    <row r="9">
      <c r="A9" s="43" t="n">
        <v>5</v>
      </c>
      <c r="B9" s="64" t="inlineStr">
        <is>
          <t>OLIMPIA PARKING</t>
        </is>
      </c>
      <c r="C9" s="64" t="inlineStr">
        <is>
          <t>2026-07-30</t>
        </is>
      </c>
      <c r="D9" s="64" t="n">
        <v>200</v>
      </c>
      <c r="E9" s="64" t="inlineStr">
        <is>
          <t>PARCARE</t>
        </is>
      </c>
      <c r="F9" s="64" t="inlineStr">
        <is>
          <t>Bon fiscal</t>
        </is>
      </c>
      <c r="G9" s="64" t="inlineStr">
        <is>
          <t>NU</t>
        </is>
      </c>
      <c r="H9" s="43" t="str">
        <f>IF($D9="","",IFERROR(VLOOKUP($E9,Reguli_DECONT!$A$6:$H$16,3,FALSE),"?"))</f>
        <v>625</v>
      </c>
      <c r="I9" s="43">
        <f>IF($D9="","",IFERROR(VLOOKUP($E9,Reguli_DECONT!$A$6:$H$16,4,FALSE),0))</f>
        <v>0.21</v>
      </c>
      <c r="J9" s="43">
        <f>IF($D9="","",IFERROR(VLOOKUP($E9,Reguli_DECONT!$A$6:$H$16,6,FALSE),0))</f>
        <v>1</v>
      </c>
      <c r="K9" s="43" t="str">
        <f>IF($D9="","",IF(Declarații_DECONT!B11&lt;&gt;"DA","NU",IFERROR(VLOOKUP($F9&amp;"|"&amp;$G9,Reguli_DECONT!$A$21:$H$26,4,FALSE),"NU")))</f>
        <v>NU</v>
      </c>
      <c r="L9" s="43" t="str">
        <f>IF($D9="","",IFERROR(VLOOKUP($F9&amp;"|"&amp;$G9,Reguli_DECONT!$A$21:$H$26,5,FALSE),"NU"))</f>
        <v>DA</v>
      </c>
      <c r="M9" s="43">
        <f>IF($D9="","",IF($L9&lt;&gt;"DA",0,$D9-$N9))</f>
        <v>200</v>
      </c>
      <c r="N9" s="43">
        <f>IF($D9="","",IF($L9&lt;&gt;"DA",0,IF($K9&lt;&gt;"DA",0,ROUND($D9*$I9/(1+$I9)*$J9,2))))</f>
        <v>0</v>
      </c>
      <c r="O9" s="43" t="str">
        <f>IF($D9="","",IFERROR(VLOOKUP($E9,Reguli_DECONT!$A$6:$H$16,7,FALSE),"?"))</f>
        <v>Deductibil</v>
      </c>
      <c r="P9" s="44" t="str">
        <f>IF($D9="","",IFERROR(VLOOKUP($F9&amp;"|"&amp;$G9,Reguli_DECONT!$A$21:$H$26,8,FALSE),"cod de natură necunoscut"))</f>
        <v>Bon fără CUI — TVA nedeductibil; justificare cu ordin de deplasare</v>
      </c>
    </row>
    <row r="10">
      <c r="A10" s="43" t="n">
        <v>6</v>
      </c>
      <c r="B10" s="64" t="inlineStr"/>
      <c r="C10" s="64" t="n"/>
      <c r="D10" s="64" t="n"/>
      <c r="E10" s="64" t="inlineStr"/>
      <c r="F10" s="64" t="inlineStr"/>
      <c r="G10" s="64" t="inlineStr"/>
      <c r="H10" s="43">
        <f>IF($D10="","",IFERROR(VLOOKUP($E10,Reguli_DECONT!$A$6:$H$16,3,FALSE),"?"))</f>
        <v/>
      </c>
      <c r="I10" s="43">
        <f>IF($D10="","",IFERROR(VLOOKUP($E10,Reguli_DECONT!$A$6:$H$16,4,FALSE),0))</f>
        <v/>
      </c>
      <c r="J10" s="43">
        <f>IF($D10="","",IFERROR(VLOOKUP($E10,Reguli_DECONT!$A$6:$H$16,6,FALSE),0))</f>
        <v/>
      </c>
      <c r="K10" s="43">
        <f>IF($D10="","",IF(Declarații_DECONT!B11&lt;&gt;"DA","NU",IFERROR(VLOOKUP($F10&amp;"|"&amp;$G10,Reguli_DECONT!$A$21:$H$26,4,FALSE),"NU")))</f>
        <v/>
      </c>
      <c r="L10" s="43">
        <f>IF($D10="","",IFERROR(VLOOKUP($F10&amp;"|"&amp;$G10,Reguli_DECONT!$A$21:$H$26,5,FALSE),"NU"))</f>
        <v/>
      </c>
      <c r="M10" s="43">
        <f>IF($D10="","",IF($L10&lt;&gt;"DA",0,$D10-$N10))</f>
        <v/>
      </c>
      <c r="N10" s="43">
        <f>IF($D10="","",IF($L10&lt;&gt;"DA",0,IF($K10&lt;&gt;"DA",0,ROUND($D10*$I10/(1+$I10)*$J10,2))))</f>
        <v/>
      </c>
      <c r="O10" s="43">
        <f>IF($D10="","",IFERROR(VLOOKUP($E10,Reguli_DECONT!$A$6:$H$16,7,FALSE),"?"))</f>
        <v/>
      </c>
      <c r="P10" s="44">
        <f>IF($D10="","",IFERROR(VLOOKUP($F10&amp;"|"&amp;$G10,Reguli_DECONT!$A$21:$H$26,8,FALSE),"cod de natură necunoscut"))</f>
        <v/>
      </c>
    </row>
    <row r="11">
      <c r="A11" s="43" t="n">
        <v>7</v>
      </c>
      <c r="B11" s="64" t="inlineStr"/>
      <c r="C11" s="64" t="n"/>
      <c r="D11" s="64" t="n"/>
      <c r="E11" s="64" t="inlineStr"/>
      <c r="F11" s="64" t="inlineStr"/>
      <c r="G11" s="64" t="inlineStr"/>
      <c r="H11" s="43">
        <f>IF($D11="","",IFERROR(VLOOKUP($E11,Reguli_DECONT!$A$6:$H$16,3,FALSE),"?"))</f>
        <v/>
      </c>
      <c r="I11" s="43">
        <f>IF($D11="","",IFERROR(VLOOKUP($E11,Reguli_DECONT!$A$6:$H$16,4,FALSE),0))</f>
        <v/>
      </c>
      <c r="J11" s="43">
        <f>IF($D11="","",IFERROR(VLOOKUP($E11,Reguli_DECONT!$A$6:$H$16,6,FALSE),0))</f>
        <v/>
      </c>
      <c r="K11" s="43">
        <f>IF($D11="","",IF(Declarații_DECONT!B11&lt;&gt;"DA","NU",IFERROR(VLOOKUP($F11&amp;"|"&amp;$G11,Reguli_DECONT!$A$21:$H$26,4,FALSE),"NU")))</f>
        <v/>
      </c>
      <c r="L11" s="43">
        <f>IF($D11="","",IFERROR(VLOOKUP($F11&amp;"|"&amp;$G11,Reguli_DECONT!$A$21:$H$26,5,FALSE),"NU"))</f>
        <v/>
      </c>
      <c r="M11" s="43">
        <f>IF($D11="","",IF($L11&lt;&gt;"DA",0,$D11-$N11))</f>
        <v/>
      </c>
      <c r="N11" s="43">
        <f>IF($D11="","",IF($L11&lt;&gt;"DA",0,IF($K11&lt;&gt;"DA",0,ROUND($D11*$I11/(1+$I11)*$J11,2))))</f>
        <v/>
      </c>
      <c r="O11" s="43">
        <f>IF($D11="","",IFERROR(VLOOKUP($E11,Reguli_DECONT!$A$6:$H$16,7,FALSE),"?"))</f>
        <v/>
      </c>
      <c r="P11" s="44">
        <f>IF($D11="","",IFERROR(VLOOKUP($F11&amp;"|"&amp;$G11,Reguli_DECONT!$A$21:$H$26,8,FALSE),"cod de natură necunoscut"))</f>
        <v/>
      </c>
    </row>
    <row r="12">
      <c r="A12" s="43" t="n">
        <v>8</v>
      </c>
      <c r="B12" s="64" t="inlineStr"/>
      <c r="C12" s="64" t="n"/>
      <c r="D12" s="64" t="n"/>
      <c r="E12" s="64" t="inlineStr"/>
      <c r="F12" s="64" t="inlineStr"/>
      <c r="G12" s="64" t="inlineStr"/>
      <c r="H12" s="43">
        <f>IF($D12="","",IFERROR(VLOOKUP($E12,Reguli_DECONT!$A$6:$H$16,3,FALSE),"?"))</f>
        <v/>
      </c>
      <c r="I12" s="43">
        <f>IF($D12="","",IFERROR(VLOOKUP($E12,Reguli_DECONT!$A$6:$H$16,4,FALSE),0))</f>
        <v/>
      </c>
      <c r="J12" s="43">
        <f>IF($D12="","",IFERROR(VLOOKUP($E12,Reguli_DECONT!$A$6:$H$16,6,FALSE),0))</f>
        <v/>
      </c>
      <c r="K12" s="43">
        <f>IF($D12="","",IF(Declarații_DECONT!B11&lt;&gt;"DA","NU",IFERROR(VLOOKUP($F12&amp;"|"&amp;$G12,Reguli_DECONT!$A$21:$H$26,4,FALSE),"NU")))</f>
        <v/>
      </c>
      <c r="L12" s="43">
        <f>IF($D12="","",IFERROR(VLOOKUP($F12&amp;"|"&amp;$G12,Reguli_DECONT!$A$21:$H$26,5,FALSE),"NU"))</f>
        <v/>
      </c>
      <c r="M12" s="43">
        <f>IF($D12="","",IF($L12&lt;&gt;"DA",0,$D12-$N12))</f>
        <v/>
      </c>
      <c r="N12" s="43">
        <f>IF($D12="","",IF($L12&lt;&gt;"DA",0,IF($K12&lt;&gt;"DA",0,ROUND($D12*$I12/(1+$I12)*$J12,2))))</f>
        <v/>
      </c>
      <c r="O12" s="43">
        <f>IF($D12="","",IFERROR(VLOOKUP($E12,Reguli_DECONT!$A$6:$H$16,7,FALSE),"?"))</f>
        <v/>
      </c>
      <c r="P12" s="44">
        <f>IF($D12="","",IFERROR(VLOOKUP($F12&amp;"|"&amp;$G12,Reguli_DECONT!$A$21:$H$26,8,FALSE),"cod de natură necunoscut"))</f>
        <v/>
      </c>
    </row>
    <row r="13">
      <c r="A13" s="43" t="n">
        <v>9</v>
      </c>
      <c r="B13" s="64" t="inlineStr"/>
      <c r="C13" s="64" t="n"/>
      <c r="D13" s="64" t="n"/>
      <c r="E13" s="64" t="inlineStr"/>
      <c r="F13" s="64" t="inlineStr"/>
      <c r="G13" s="64" t="inlineStr"/>
      <c r="H13" s="43">
        <f>IF($D13="","",IFERROR(VLOOKUP($E13,Reguli_DECONT!$A$6:$H$16,3,FALSE),"?"))</f>
        <v/>
      </c>
      <c r="I13" s="43">
        <f>IF($D13="","",IFERROR(VLOOKUP($E13,Reguli_DECONT!$A$6:$H$16,4,FALSE),0))</f>
        <v/>
      </c>
      <c r="J13" s="43">
        <f>IF($D13="","",IFERROR(VLOOKUP($E13,Reguli_DECONT!$A$6:$H$16,6,FALSE),0))</f>
        <v/>
      </c>
      <c r="K13" s="43">
        <f>IF($D13="","",IF(Declarații_DECONT!B11&lt;&gt;"DA","NU",IFERROR(VLOOKUP($F13&amp;"|"&amp;$G13,Reguli_DECONT!$A$21:$H$26,4,FALSE),"NU")))</f>
        <v/>
      </c>
      <c r="L13" s="43">
        <f>IF($D13="","",IFERROR(VLOOKUP($F13&amp;"|"&amp;$G13,Reguli_DECONT!$A$21:$H$26,5,FALSE),"NU"))</f>
        <v/>
      </c>
      <c r="M13" s="43">
        <f>IF($D13="","",IF($L13&lt;&gt;"DA",0,$D13-$N13))</f>
        <v/>
      </c>
      <c r="N13" s="43">
        <f>IF($D13="","",IF($L13&lt;&gt;"DA",0,IF($K13&lt;&gt;"DA",0,ROUND($D13*$I13/(1+$I13)*$J13,2))))</f>
        <v/>
      </c>
      <c r="O13" s="43">
        <f>IF($D13="","",IFERROR(VLOOKUP($E13,Reguli_DECONT!$A$6:$H$16,7,FALSE),"?"))</f>
        <v/>
      </c>
      <c r="P13" s="44">
        <f>IF($D13="","",IFERROR(VLOOKUP($F13&amp;"|"&amp;$G13,Reguli_DECONT!$A$21:$H$26,8,FALSE),"cod de natură necunoscut"))</f>
        <v/>
      </c>
    </row>
    <row r="14">
      <c r="A14" s="43" t="n">
        <v>10</v>
      </c>
      <c r="B14" s="64" t="inlineStr"/>
      <c r="C14" s="64" t="n"/>
      <c r="D14" s="64" t="n"/>
      <c r="E14" s="64" t="inlineStr"/>
      <c r="F14" s="64" t="inlineStr"/>
      <c r="G14" s="64" t="inlineStr"/>
      <c r="H14" s="43">
        <f>IF($D14="","",IFERROR(VLOOKUP($E14,Reguli_DECONT!$A$6:$H$16,3,FALSE),"?"))</f>
        <v/>
      </c>
      <c r="I14" s="43">
        <f>IF($D14="","",IFERROR(VLOOKUP($E14,Reguli_DECONT!$A$6:$H$16,4,FALSE),0))</f>
        <v/>
      </c>
      <c r="J14" s="43">
        <f>IF($D14="","",IFERROR(VLOOKUP($E14,Reguli_DECONT!$A$6:$H$16,6,FALSE),0))</f>
        <v/>
      </c>
      <c r="K14" s="43">
        <f>IF($D14="","",IF(Declarații_DECONT!B11&lt;&gt;"DA","NU",IFERROR(VLOOKUP($F14&amp;"|"&amp;$G14,Reguli_DECONT!$A$21:$H$26,4,FALSE),"NU")))</f>
        <v/>
      </c>
      <c r="L14" s="43">
        <f>IF($D14="","",IFERROR(VLOOKUP($F14&amp;"|"&amp;$G14,Reguli_DECONT!$A$21:$H$26,5,FALSE),"NU"))</f>
        <v/>
      </c>
      <c r="M14" s="43">
        <f>IF($D14="","",IF($L14&lt;&gt;"DA",0,$D14-$N14))</f>
        <v/>
      </c>
      <c r="N14" s="43">
        <f>IF($D14="","",IF($L14&lt;&gt;"DA",0,IF($K14&lt;&gt;"DA",0,ROUND($D14*$I14/(1+$I14)*$J14,2))))</f>
        <v/>
      </c>
      <c r="O14" s="43">
        <f>IF($D14="","",IFERROR(VLOOKUP($E14,Reguli_DECONT!$A$6:$H$16,7,FALSE),"?"))</f>
        <v/>
      </c>
      <c r="P14" s="44">
        <f>IF($D14="","",IFERROR(VLOOKUP($F14&amp;"|"&amp;$G14,Reguli_DECONT!$A$21:$H$26,8,FALSE),"cod de natură necunoscut"))</f>
        <v/>
      </c>
    </row>
    <row r="15">
      <c r="A15" s="65" t="inlineStr"/>
      <c r="B15" s="65" t="inlineStr">
        <is>
          <t>TOTAL</t>
        </is>
      </c>
      <c r="C15" s="65" t="inlineStr"/>
      <c r="D15" s="65">
        <f>SUM(D5:D14)</f>
        <v>3938.76</v>
      </c>
      <c r="E15" s="65" t="inlineStr"/>
      <c r="F15" s="65" t="inlineStr"/>
      <c r="G15" s="65" t="inlineStr"/>
      <c r="H15" s="65" t="inlineStr"/>
      <c r="I15" s="65" t="inlineStr"/>
      <c r="J15" s="65" t="inlineStr"/>
      <c r="K15" s="65" t="inlineStr"/>
      <c r="L15" s="65" t="inlineStr"/>
      <c r="M15" s="65">
        <f>SUM(M5:M14)</f>
        <v>3938.76</v>
      </c>
      <c r="N15" s="65">
        <f>SUM(N5:N14)</f>
        <v>0</v>
      </c>
      <c r="O15" s="65" t="inlineStr"/>
      <c r="P15" s="65" t="inlineStr"/>
    </row>
    <row r="17">
      <c r="A17" s="42" t="inlineStr">
        <is>
          <t>Recapitulație</t>
        </is>
      </c>
    </row>
    <row r="18">
      <c r="A18" s="43" t="inlineStr">
        <is>
          <t>Total datorat titularului (bază + TVA dedus)</t>
        </is>
      </c>
      <c r="B18" s="43">
        <f>Registru_DECONT!$M$15+Registru_DECONT!$N$15</f>
        <v>3938.76</v>
      </c>
    </row>
    <row r="19">
      <c r="A19" s="43" t="inlineStr">
        <is>
          <t>Total neacceptat (fără document justificativ)</t>
        </is>
      </c>
      <c r="B19" s="43">
        <f>Registru_DECONT!$D$15-(Registru_DECONT!$M$15+Registru_DECONT!$N$15)</f>
        <v>0</v>
      </c>
    </row>
    <row r="20">
      <c r="A20" s="43" t="inlineStr">
        <is>
          <t>Avans acordat</t>
        </is>
      </c>
      <c r="B20" s="43">
        <f>Declarații_DECONT!B25</f>
        <v>0</v>
      </c>
    </row>
    <row r="21">
      <c r="A21" s="43" t="inlineStr">
        <is>
          <t>De plătit titularului (+) / de restituit (−)</t>
        </is>
      </c>
      <c r="B21" s="43">
        <f>Registru_DECONT!$B$18-Declarații_DECONT!B25</f>
        <v>3938.76</v>
      </c>
    </row>
    <row r="23">
      <c r="A23" s="43" t="inlineStr">
        <is>
          <t>Check Σ linii</t>
        </is>
      </c>
      <c r="B23" s="43">
        <f>Registru_DECONT!$D$15-(Registru_DECONT!$M$15+Registru_DECONT!$N$15)-Registru_DECONT!$B$19</f>
        <v>0</v>
      </c>
      <c r="C23" s="43" t="str">
        <f>IF(ABS(B23)&lt;0.01,"OK — brut = acceptat + neacceptat","EROARE")</f>
        <v>OK — brut = acceptat + neacceptat</v>
      </c>
    </row>
    <row r="24">
      <c r="A24" s="43" t="inlineStr">
        <is>
          <t>Check linii fără document</t>
        </is>
      </c>
      <c r="B24" s="43">
        <f>Registru_DECONT!$B$19</f>
        <v>0</v>
      </c>
      <c r="C24" s="43" t="str">
        <f>IF(B24&lt;0.01,"OK — toate liniile au document justificativ","ATENȚIE — sumă fără document: nu se trece pe cheltuială. Dacă se plătește, devine avantaj salarial — vezi MOD_SALARII")</f>
        <v>OK — toate liniile au document justificativ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14" customWidth="1" style="40" min="2" max="2"/>
    <col width="14" customWidth="1" style="40" min="3" max="3"/>
    <col width="46" customWidth="1" style="40" min="4" max="4"/>
    <col width="14" customWidth="1" style="40" min="5" max="5"/>
    <col width="14" customWidth="1" style="40" min="6" max="6"/>
    <col width="46" customWidth="1" style="40" min="7" max="7"/>
  </cols>
  <sheetData>
    <row r="1">
      <c r="A1" s="41" t="inlineStr">
        <is>
          <t>MOD_DECONT — Jurnale (generate automat)</t>
        </is>
      </c>
    </row>
    <row r="2">
      <c r="A2" s="44" t="inlineStr">
        <is>
          <t>Cheltuielile se înregistrează agregat, pe contul dominant din decont. Pentru deconturi cu naturi multiple, folosește NotaExport, unde fiecare linie își poartă contul propriu.</t>
        </is>
      </c>
    </row>
    <row r="4">
      <c r="A4" s="42" t="inlineStr">
        <is>
          <t>Bloc 1 — Acordarea avansului</t>
        </is>
      </c>
    </row>
    <row r="5">
      <c r="A5" s="43" t="inlineStr">
        <is>
          <t>Data jurnal:</t>
        </is>
      </c>
      <c r="B5" s="43" t="str">
        <f>Declarații_DECONT!B7</f>
        <v>2026-07-31</v>
      </c>
    </row>
    <row r="7">
      <c r="A7" s="65" t="inlineStr">
        <is>
          <t>Nr</t>
        </is>
      </c>
      <c r="B7" s="65" t="inlineStr">
        <is>
          <t>Cont Dr</t>
        </is>
      </c>
      <c r="C7" s="65" t="inlineStr">
        <is>
          <t>Sumă Dr</t>
        </is>
      </c>
      <c r="D7" s="65" t="inlineStr">
        <is>
          <t>Descriere Dr</t>
        </is>
      </c>
      <c r="E7" s="65" t="inlineStr">
        <is>
          <t>Cont Cr</t>
        </is>
      </c>
      <c r="F7" s="65" t="inlineStr">
        <is>
          <t>Sumă Cr</t>
        </is>
      </c>
      <c r="G7" s="65" t="inlineStr">
        <is>
          <t>Descriere Cr</t>
        </is>
      </c>
    </row>
    <row r="8">
      <c r="A8" s="43" t="n">
        <v>1</v>
      </c>
      <c r="B8" s="43" t="str">
        <f>Declarații_DECONT!B18</f>
        <v>542</v>
      </c>
      <c r="C8" s="43">
        <f>Declarații_DECONT!B25</f>
        <v>0</v>
      </c>
      <c r="D8" s="43" t="str">
        <f>"Avans de trezorerie acordat" &amp; Declarații_DECONT!B30</f>
        <v>Avans de trezorerie acordat - decont CHIRIACESCU DIANA 2026-07-31</v>
      </c>
      <c r="E8" s="43" t="str">
        <f>Declarații_DECONT!B22</f>
        <v>5121</v>
      </c>
      <c r="F8" s="43">
        <f>Declarații_DECONT!B25</f>
        <v>0</v>
      </c>
      <c r="G8" s="43" t="str">
        <f>"Plata avansului de trezorerie" &amp; Declarații_DECONT!B30</f>
        <v>Plata avansului de trezorerie - decont CHIRIACESCU DIANA 2026-07-31</v>
      </c>
    </row>
    <row r="10">
      <c r="A10" s="43" t="inlineStr">
        <is>
          <t>Check Σ (structural)</t>
        </is>
      </c>
      <c r="B10" s="43">
        <f>C8-F8</f>
        <v>0</v>
      </c>
      <c r="C10" s="43" t="str">
        <f>IF(ABS(B10)&lt;0.01,"OK — nota se închide","EROARE")</f>
        <v>OK — nota se închide</v>
      </c>
    </row>
    <row r="11">
      <c r="A11" s="43" t="inlineStr">
        <is>
          <t>Bloc activ?</t>
        </is>
      </c>
      <c r="B11" s="43">
        <f>Declarații_DECONT!B25</f>
        <v>0</v>
      </c>
      <c r="C11" s="43" t="str">
        <f>IF(B11&gt;0,"ACTIV — există avans","INACTIV — decont fără avans")</f>
        <v>INACTIV — decont fără avans</v>
      </c>
    </row>
    <row r="13">
      <c r="A13" s="42" t="inlineStr">
        <is>
          <t>Bloc 2 — Cheltuielile din decont</t>
        </is>
      </c>
    </row>
    <row r="14">
      <c r="A14" s="43" t="inlineStr">
        <is>
          <t>Data jurnal:</t>
        </is>
      </c>
      <c r="B14" s="43" t="str">
        <f>Declarații_DECONT!B7</f>
        <v>2026-07-31</v>
      </c>
    </row>
    <row r="16">
      <c r="A16" s="65" t="inlineStr">
        <is>
          <t>Nr</t>
        </is>
      </c>
      <c r="B16" s="65" t="inlineStr">
        <is>
          <t>Cont Dr</t>
        </is>
      </c>
      <c r="C16" s="65" t="inlineStr">
        <is>
          <t>Sumă Dr</t>
        </is>
      </c>
      <c r="D16" s="65" t="inlineStr">
        <is>
          <t>Descriere Dr</t>
        </is>
      </c>
      <c r="E16" s="65" t="inlineStr">
        <is>
          <t>Cont Cr</t>
        </is>
      </c>
      <c r="F16" s="65" t="inlineStr">
        <is>
          <t>Sumă Cr</t>
        </is>
      </c>
      <c r="G16" s="65" t="inlineStr">
        <is>
          <t>Descriere Cr</t>
        </is>
      </c>
    </row>
    <row r="17">
      <c r="A17" s="43" t="n">
        <v>1</v>
      </c>
      <c r="B17" s="43" t="str">
        <f>Declarații_DECONT!B19</f>
        <v>625</v>
      </c>
      <c r="C17" s="43">
        <f>Registru_DECONT!$M$15</f>
        <v>3938.76</v>
      </c>
      <c r="D17" s="43" t="str">
        <f>"Cheltuieli din decont, bază fără TVA dedus" &amp; Declarații_DECONT!B30</f>
        <v>Cheltuieli din decont, bază fără TVA dedus - decont CHIRIACESCU DIANA 2026-07-31</v>
      </c>
      <c r="E17" s="43" t="str">
        <f>Declarații_DECONT!B17</f>
        <v>542</v>
      </c>
      <c r="F17" s="43">
        <f>Registru_DECONT!$B$18</f>
        <v>3938.76</v>
      </c>
      <c r="G17" s="43" t="str">
        <f>"Datorie față de titularul de decont" &amp; Declarații_DECONT!B30</f>
        <v>Datorie față de titularul de decont - decont CHIRIACESCU DIANA 2026-07-31</v>
      </c>
    </row>
    <row r="18">
      <c r="A18" s="43" t="n">
        <v>2</v>
      </c>
      <c r="B18" s="43">
        <f>Declarații_DECONT!B21</f>
        <v>4426</v>
      </c>
      <c r="C18" s="43">
        <f>Registru_DECONT!$N$15</f>
        <v>0</v>
      </c>
      <c r="D18" s="43" t="str">
        <f>"TVA deductibilă din decont" &amp; Declarații_DECONT!B30</f>
        <v>TVA deductibilă din decont - decont CHIRIACESCU DIANA 2026-07-31</v>
      </c>
    </row>
    <row r="20">
      <c r="A20" s="43" t="inlineStr">
        <is>
          <t>Total Dr</t>
        </is>
      </c>
      <c r="B20" s="43">
        <f>SUM(C17:C18)</f>
        <v>3938.76</v>
      </c>
      <c r="C20" s="43" t="inlineStr"/>
    </row>
    <row r="21">
      <c r="A21" s="43" t="inlineStr">
        <is>
          <t>Total Cr</t>
        </is>
      </c>
      <c r="B21" s="43">
        <f>SUM(F17:F18)</f>
        <v>3938.76</v>
      </c>
      <c r="C21" s="43" t="inlineStr"/>
    </row>
    <row r="22">
      <c r="A22" s="43" t="inlineStr">
        <is>
          <t>Check Σ (structural)</t>
        </is>
      </c>
      <c r="B22" s="43">
        <f>SUM(C17:C18)-SUM(F17:F18)</f>
        <v>0</v>
      </c>
      <c r="C22" s="43" t="str">
        <f>IF(ABS(B22)&lt;0.01,"OK — nota se închide","EROARE")</f>
        <v>OK — nota se închide</v>
      </c>
    </row>
    <row r="23">
      <c r="A23" s="43" t="inlineStr">
        <is>
          <t>Check contul de cheltuială</t>
        </is>
      </c>
      <c r="B23" s="43" t="str">
        <f>Declarații_DECONT!B19</f>
        <v>625</v>
      </c>
      <c r="C23" s="43" t="str">
        <f>"Bloc agregat pe contul dominant. Dacă decontul are naturi multiple, importă din NotaExport, unde fiecare linie poartă contul ei."</f>
        <v>Bloc agregat pe contul dominant. Dacă decontul are naturi multiple, importă din NotaExport, unde fiecare linie poartă contul ei.</v>
      </c>
    </row>
    <row r="25">
      <c r="A25" s="42" t="inlineStr">
        <is>
          <t>Bloc 3 — Regularizarea avansului și plata</t>
        </is>
      </c>
    </row>
    <row r="26">
      <c r="A26" s="43" t="inlineStr">
        <is>
          <t>Data jurnal:</t>
        </is>
      </c>
      <c r="B26" s="43" t="str">
        <f>Declarații_DECONT!B8</f>
        <v>2026-08-05</v>
      </c>
    </row>
    <row r="28">
      <c r="A28" s="65" t="inlineStr">
        <is>
          <t>Nr</t>
        </is>
      </c>
      <c r="B28" s="65" t="inlineStr">
        <is>
          <t>Cont Dr</t>
        </is>
      </c>
      <c r="C28" s="65" t="inlineStr">
        <is>
          <t>Sumă Dr</t>
        </is>
      </c>
      <c r="D28" s="65" t="inlineStr">
        <is>
          <t>Descriere Dr</t>
        </is>
      </c>
      <c r="E28" s="65" t="inlineStr">
        <is>
          <t>Cont Cr</t>
        </is>
      </c>
      <c r="F28" s="65" t="inlineStr">
        <is>
          <t>Sumă Cr</t>
        </is>
      </c>
      <c r="G28" s="65" t="inlineStr">
        <is>
          <t>Descriere Cr</t>
        </is>
      </c>
    </row>
    <row r="29">
      <c r="A29" s="43" t="n">
        <v>1</v>
      </c>
      <c r="B29" s="43" t="str">
        <f>Declarații_DECONT!B17</f>
        <v>542</v>
      </c>
      <c r="C29" s="43">
        <f>Registru_DECONT!$B$21</f>
        <v>3938.76</v>
      </c>
      <c r="D29" s="43" t="str">
        <f>"Plata diferenței către titular" &amp; Declarații_DECONT!B30</f>
        <v>Plata diferenței către titular - decont CHIRIACESCU DIANA 2026-07-31</v>
      </c>
      <c r="E29" s="43" t="str">
        <f>Declarații_DECONT!B22</f>
        <v>5121</v>
      </c>
      <c r="F29" s="43">
        <f>Registru_DECONT!$B$21</f>
        <v>3938.76</v>
      </c>
      <c r="G29" s="43" t="str">
        <f>"Plata din trezorerie" &amp; Declarații_DECONT!B30</f>
        <v>Plata din trezorerie - decont CHIRIACESCU DIANA 2026-07-31</v>
      </c>
    </row>
    <row r="31">
      <c r="A31" s="43" t="inlineStr">
        <is>
          <t>Check Σ (structural)</t>
        </is>
      </c>
      <c r="B31" s="43">
        <f>SUM(C29:C29)-SUM(F29:F29)</f>
        <v>0</v>
      </c>
      <c r="C31" s="43" t="str">
        <f>IF(ABS(B31)&lt;0.01,"OK — nota se închide","EROARE")</f>
        <v>OK — nota se închide</v>
      </c>
    </row>
    <row r="32">
      <c r="A32" s="43" t="inlineStr">
        <is>
          <t>Sensul plății</t>
        </is>
      </c>
      <c r="B32" s="43">
        <f>Registru_DECONT!$B$21</f>
        <v>3938.76</v>
      </c>
      <c r="C32" s="43" t="str">
        <f>IF(B32&gt;=0,"Se plătește titularului","Titularul restituie diferența — inversează sensul notei")</f>
        <v>Se plătește titularului</v>
      </c>
    </row>
    <row r="34">
      <c r="A34" s="44" t="inlineStr">
        <is>
          <t>Stare terminală așteptată: contul de avans = 0, contul de datorie față de titular = 0 după plată.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" customWidth="1" style="40" min="1" max="1"/>
    <col width="24" customWidth="1" style="40" min="2" max="2"/>
    <col width="12" customWidth="1" style="40" min="3" max="3"/>
    <col width="12" customWidth="1" style="40" min="4" max="4"/>
    <col width="12" customWidth="1" style="40" min="5" max="5"/>
    <col width="14" customWidth="1" style="40" min="6" max="6"/>
    <col width="48" customWidth="1" style="40" min="7" max="7"/>
    <col width="22" customWidth="1" style="40" min="8" max="8"/>
    <col width="9" customWidth="1" style="40" min="9" max="9"/>
  </cols>
  <sheetData>
    <row r="1">
      <c r="A1" s="41" t="inlineStr">
        <is>
          <t>MOD_DECONT — Notă pentru import (1 rând = 1 înregistrare)</t>
        </is>
      </c>
    </row>
    <row r="2">
      <c r="A2" s="44" t="inlineStr">
        <is>
          <t>Aici fiecare linie de decont își păstrează contul propriu, spre deosebire de blocul agregat din Jurnale. Filtrează pe Include = DA.</t>
        </is>
      </c>
    </row>
    <row r="4">
      <c r="A4" s="65" t="inlineStr">
        <is>
          <t>Nr</t>
        </is>
      </c>
      <c r="B4" s="65" t="inlineStr">
        <is>
          <t>Bloc</t>
        </is>
      </c>
      <c r="C4" s="65" t="inlineStr">
        <is>
          <t>Data</t>
        </is>
      </c>
      <c r="D4" s="65" t="inlineStr">
        <is>
          <t>Cont Dr</t>
        </is>
      </c>
      <c r="E4" s="65" t="inlineStr">
        <is>
          <t>Cont Cr</t>
        </is>
      </c>
      <c r="F4" s="65" t="inlineStr">
        <is>
          <t>Sumă</t>
        </is>
      </c>
      <c r="G4" s="65" t="inlineStr">
        <is>
          <t>Descriere</t>
        </is>
      </c>
      <c r="H4" s="65" t="inlineStr">
        <is>
          <t>Document</t>
        </is>
      </c>
      <c r="I4" s="65" t="inlineStr">
        <is>
          <t>Include</t>
        </is>
      </c>
    </row>
    <row r="5">
      <c r="A5" s="43" t="n">
        <v>1</v>
      </c>
      <c r="B5" s="43" t="inlineStr">
        <is>
          <t>Bloc 2 — Cheltuieli pe linie</t>
        </is>
      </c>
      <c r="C5" s="43" t="str">
        <f>Declarații_DECONT!B7</f>
        <v>2026-07-31</v>
      </c>
      <c r="D5" s="43" t="str">
        <f>Registru_DECONT!$H$5</f>
        <v>625</v>
      </c>
      <c r="E5" s="43" t="str">
        <f>Declarații_DECONT!B17</f>
        <v>542</v>
      </c>
      <c r="F5" s="43">
        <f>Registru_DECONT!$M$5</f>
        <v>1780.38</v>
      </c>
      <c r="G5" s="43" t="str">
        <f>IF(Registru_DECONT!$B$5="","",Registru_DECONT!$B$5 &amp; " — " &amp; Registru_DECONT!$P$5)</f>
        <v>WIZZ AIR MALTA LIMITED — Factură completă conform art. 319 — TVA deductibil</v>
      </c>
      <c r="H5" s="43" t="inlineStr">
        <is>
          <t>Decont de cheltuieli</t>
        </is>
      </c>
      <c r="I5" s="43" t="str">
        <f>IF(N(F5)&gt;0,"DA","NU")</f>
        <v>DA</v>
      </c>
    </row>
    <row r="6">
      <c r="A6" s="43" t="n">
        <v>2</v>
      </c>
      <c r="B6" s="43" t="inlineStr">
        <is>
          <t>Bloc 2 — Cheltuieli pe linie</t>
        </is>
      </c>
      <c r="C6" s="43" t="str">
        <f>Declarații_DECONT!B7</f>
        <v>2026-07-31</v>
      </c>
      <c r="D6" s="43" t="str">
        <f>Registru_DECONT!$H$6</f>
        <v>625</v>
      </c>
      <c r="E6" s="43" t="str">
        <f>Declarații_DECONT!B17</f>
        <v>542</v>
      </c>
      <c r="F6" s="43">
        <f>Registru_DECONT!$M$6</f>
        <v>1720.38</v>
      </c>
      <c r="G6" s="43" t="str">
        <f>IF(Registru_DECONT!$B$6="","",Registru_DECONT!$B$6 &amp; " — " &amp; Registru_DECONT!$P$6)</f>
        <v>WIZZ AIR MALTA LIMITED — Factură completă conform art. 319 — TVA deductibil</v>
      </c>
      <c r="H6" s="43" t="inlineStr">
        <is>
          <t>Decont de cheltuieli</t>
        </is>
      </c>
      <c r="I6" s="43" t="str">
        <f>IF(N(F6)&gt;0,"DA","NU")</f>
        <v>DA</v>
      </c>
    </row>
    <row r="7">
      <c r="A7" s="43" t="n">
        <v>3</v>
      </c>
      <c r="B7" s="43" t="inlineStr">
        <is>
          <t>Bloc 2 — Cheltuieli pe linie</t>
        </is>
      </c>
      <c r="C7" s="43" t="str">
        <f>Declarații_DECONT!B7</f>
        <v>2026-07-31</v>
      </c>
      <c r="D7" s="43" t="str">
        <f>Registru_DECONT!$H$7</f>
        <v>625</v>
      </c>
      <c r="E7" s="43" t="str">
        <f>Declarații_DECONT!B17</f>
        <v>542</v>
      </c>
      <c r="F7" s="43">
        <f>Registru_DECONT!$M$7</f>
        <v>38</v>
      </c>
      <c r="G7" s="43" t="str">
        <f>IF(Registru_DECONT!$B$7="","",Registru_DECONT!$B$7 &amp; " — " &amp; Registru_DECONT!$P$7)</f>
        <v>CITY CAFÉ EXPRESS — Bon fără CUI — TVA nedeductibil; justificare cu ordin de deplasare</v>
      </c>
      <c r="H7" s="43" t="inlineStr">
        <is>
          <t>Decont de cheltuieli</t>
        </is>
      </c>
      <c r="I7" s="43" t="str">
        <f>IF(N(F7)&gt;0,"DA","NU")</f>
        <v>DA</v>
      </c>
    </row>
    <row r="8">
      <c r="A8" s="43" t="n">
        <v>4</v>
      </c>
      <c r="B8" s="43" t="inlineStr">
        <is>
          <t>Bloc 2 — Cheltuieli pe linie</t>
        </is>
      </c>
      <c r="C8" s="43" t="str">
        <f>Declarații_DECONT!B7</f>
        <v>2026-07-31</v>
      </c>
      <c r="D8" s="43" t="str">
        <f>Registru_DECONT!$H$8</f>
        <v>625</v>
      </c>
      <c r="E8" s="43" t="str">
        <f>Declarații_DECONT!B17</f>
        <v>542</v>
      </c>
      <c r="F8" s="43">
        <f>Registru_DECONT!$M$8</f>
        <v>200</v>
      </c>
      <c r="G8" s="43" t="str">
        <f>IF(Registru_DECONT!$B$8="","",Registru_DECONT!$B$8 &amp; " — " &amp; Registru_DECONT!$P$8)</f>
        <v>OLIMPIA PARKING — Bon fără CUI — TVA nedeductibil; justificare cu ordin de deplasare</v>
      </c>
      <c r="H8" s="43" t="inlineStr">
        <is>
          <t>Decont de cheltuieli</t>
        </is>
      </c>
      <c r="I8" s="43" t="str">
        <f>IF(N(F8)&gt;0,"DA","NU")</f>
        <v>DA</v>
      </c>
    </row>
    <row r="9">
      <c r="A9" s="43" t="n">
        <v>5</v>
      </c>
      <c r="B9" s="43" t="inlineStr">
        <is>
          <t>Bloc 2 — Cheltuieli pe linie</t>
        </is>
      </c>
      <c r="C9" s="43" t="str">
        <f>Declarații_DECONT!B7</f>
        <v>2026-07-31</v>
      </c>
      <c r="D9" s="43" t="str">
        <f>Registru_DECONT!$H$9</f>
        <v>625</v>
      </c>
      <c r="E9" s="43" t="str">
        <f>Declarații_DECONT!B17</f>
        <v>542</v>
      </c>
      <c r="F9" s="43">
        <f>Registru_DECONT!$M$9</f>
        <v>200</v>
      </c>
      <c r="G9" s="43" t="str">
        <f>IF(Registru_DECONT!$B$9="","",Registru_DECONT!$B$9 &amp; " — " &amp; Registru_DECONT!$P$9)</f>
        <v>OLIMPIA PARKING — Bon fără CUI — TVA nedeductibil; justificare cu ordin de deplasare</v>
      </c>
      <c r="H9" s="43" t="inlineStr">
        <is>
          <t>Decont de cheltuieli</t>
        </is>
      </c>
      <c r="I9" s="43" t="str">
        <f>IF(N(F9)&gt;0,"DA","NU")</f>
        <v>DA</v>
      </c>
    </row>
    <row r="10">
      <c r="A10" s="43" t="n">
        <v>6</v>
      </c>
      <c r="B10" s="43" t="inlineStr">
        <is>
          <t>Bloc 2 — Cheltuieli pe linie</t>
        </is>
      </c>
      <c r="C10" s="43" t="str">
        <f>Declarații_DECONT!B7</f>
        <v>2026-07-31</v>
      </c>
      <c r="D10" s="43">
        <f>Registru_DECONT!$H$10</f>
        <v/>
      </c>
      <c r="E10" s="43" t="str">
        <f>Declarații_DECONT!B17</f>
        <v>542</v>
      </c>
      <c r="F10" s="43">
        <f>Registru_DECONT!$M$10</f>
        <v/>
      </c>
      <c r="G10" s="43">
        <f>IF(Registru_DECONT!$B$10="","",Registru_DECONT!$B$10 &amp; " — " &amp; Registru_DECONT!$P$10)</f>
        <v/>
      </c>
      <c r="H10" s="43" t="inlineStr">
        <is>
          <t>Decont de cheltuieli</t>
        </is>
      </c>
      <c r="I10" s="43" t="str">
        <f>IF(N(F10)&gt;0,"DA","NU")</f>
        <v>NU</v>
      </c>
    </row>
    <row r="11">
      <c r="A11" s="43" t="n">
        <v>7</v>
      </c>
      <c r="B11" s="43" t="inlineStr">
        <is>
          <t>Bloc 2 — Cheltuieli pe linie</t>
        </is>
      </c>
      <c r="C11" s="43" t="str">
        <f>Declarații_DECONT!B7</f>
        <v>2026-07-31</v>
      </c>
      <c r="D11" s="43">
        <f>Registru_DECONT!$H$11</f>
        <v/>
      </c>
      <c r="E11" s="43" t="str">
        <f>Declarații_DECONT!B17</f>
        <v>542</v>
      </c>
      <c r="F11" s="43">
        <f>Registru_DECONT!$M$11</f>
        <v/>
      </c>
      <c r="G11" s="43">
        <f>IF(Registru_DECONT!$B$11="","",Registru_DECONT!$B$11 &amp; " — " &amp; Registru_DECONT!$P$11)</f>
        <v/>
      </c>
      <c r="H11" s="43" t="inlineStr">
        <is>
          <t>Decont de cheltuieli</t>
        </is>
      </c>
      <c r="I11" s="43" t="str">
        <f>IF(N(F11)&gt;0,"DA","NU")</f>
        <v>NU</v>
      </c>
    </row>
    <row r="12">
      <c r="A12" s="43" t="n">
        <v>8</v>
      </c>
      <c r="B12" s="43" t="inlineStr">
        <is>
          <t>Bloc 2 — Cheltuieli pe linie</t>
        </is>
      </c>
      <c r="C12" s="43" t="str">
        <f>Declarații_DECONT!B7</f>
        <v>2026-07-31</v>
      </c>
      <c r="D12" s="43">
        <f>Registru_DECONT!$H$12</f>
        <v/>
      </c>
      <c r="E12" s="43" t="str">
        <f>Declarații_DECONT!B17</f>
        <v>542</v>
      </c>
      <c r="F12" s="43">
        <f>Registru_DECONT!$M$12</f>
        <v/>
      </c>
      <c r="G12" s="43">
        <f>IF(Registru_DECONT!$B$12="","",Registru_DECONT!$B$12 &amp; " — " &amp; Registru_DECONT!$P$12)</f>
        <v/>
      </c>
      <c r="H12" s="43" t="inlineStr">
        <is>
          <t>Decont de cheltuieli</t>
        </is>
      </c>
      <c r="I12" s="43" t="str">
        <f>IF(N(F12)&gt;0,"DA","NU")</f>
        <v>NU</v>
      </c>
    </row>
    <row r="13">
      <c r="A13" s="43" t="n">
        <v>9</v>
      </c>
      <c r="B13" s="43" t="inlineStr">
        <is>
          <t>Bloc 2 — Cheltuieli pe linie</t>
        </is>
      </c>
      <c r="C13" s="43" t="str">
        <f>Declarații_DECONT!B7</f>
        <v>2026-07-31</v>
      </c>
      <c r="D13" s="43">
        <f>Registru_DECONT!$H$13</f>
        <v/>
      </c>
      <c r="E13" s="43" t="str">
        <f>Declarații_DECONT!B17</f>
        <v>542</v>
      </c>
      <c r="F13" s="43">
        <f>Registru_DECONT!$M$13</f>
        <v/>
      </c>
      <c r="G13" s="43">
        <f>IF(Registru_DECONT!$B$13="","",Registru_DECONT!$B$13 &amp; " — " &amp; Registru_DECONT!$P$13)</f>
        <v/>
      </c>
      <c r="H13" s="43" t="inlineStr">
        <is>
          <t>Decont de cheltuieli</t>
        </is>
      </c>
      <c r="I13" s="43" t="str">
        <f>IF(N(F13)&gt;0,"DA","NU")</f>
        <v>NU</v>
      </c>
    </row>
    <row r="14">
      <c r="A14" s="43" t="n">
        <v>10</v>
      </c>
      <c r="B14" s="43" t="inlineStr">
        <is>
          <t>Bloc 2 — Cheltuieli pe linie</t>
        </is>
      </c>
      <c r="C14" s="43" t="str">
        <f>Declarații_DECONT!B7</f>
        <v>2026-07-31</v>
      </c>
      <c r="D14" s="43">
        <f>Registru_DECONT!$H$14</f>
        <v/>
      </c>
      <c r="E14" s="43" t="str">
        <f>Declarații_DECONT!B17</f>
        <v>542</v>
      </c>
      <c r="F14" s="43">
        <f>Registru_DECONT!$M$14</f>
        <v/>
      </c>
      <c r="G14" s="43">
        <f>IF(Registru_DECONT!$B$14="","",Registru_DECONT!$B$14 &amp; " — " &amp; Registru_DECONT!$P$14)</f>
        <v/>
      </c>
      <c r="H14" s="43" t="inlineStr">
        <is>
          <t>Decont de cheltuieli</t>
        </is>
      </c>
      <c r="I14" s="43" t="str">
        <f>IF(N(F14)&gt;0,"DA","NU")</f>
        <v>NU</v>
      </c>
    </row>
    <row r="16">
      <c r="A16" s="43" t="inlineStr">
        <is>
          <t>Rânduri de importat (Include=DA)</t>
        </is>
      </c>
      <c r="B16" s="43">
        <f>COUNTIF(I5:I14,"DA")</f>
        <v>5</v>
      </c>
    </row>
    <row r="17">
      <c r="A17" s="43" t="inlineStr">
        <is>
          <t>Check total linii vs. registru</t>
        </is>
      </c>
      <c r="B17" s="43">
        <f>SUM(F5:F14)-Registru_DECONT!$M$15</f>
        <v>0</v>
      </c>
      <c r="C17" s="43" t="str">
        <f>IF(ABS(B17)&lt;0.01,"OK — suma liniilor = baza din registru","EROARE")</f>
        <v>OK — suma liniilor = baza din registru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style="40" min="1" max="1"/>
    <col width="44" customWidth="1" style="40" min="2" max="2"/>
    <col width="16" customWidth="1" style="40" min="3" max="3"/>
    <col width="16" customWidth="1" style="40" min="4" max="4"/>
    <col width="16" customWidth="1" style="40" min="5" max="5"/>
    <col width="46" customWidth="1" style="40" min="6" max="6"/>
  </cols>
  <sheetData>
    <row r="1">
      <c r="A1" s="41" t="inlineStr">
        <is>
          <t>MOD_INCHIDERE_LUNARA — Declarații (input din balanță)</t>
        </is>
      </c>
    </row>
    <row r="2">
      <c r="A2" s="44" t="inlineStr">
        <is>
          <t>Completează galben, din balanța de verificare a lunii: rulajul debitor, rulajul creditor și soldul final, pentru fiecare cont. Valorile implicite sunt luna-exemplu din F-422 (brut 50.000), care se reconciliază — înlocuiește-le cu ale clientului.</t>
        </is>
      </c>
    </row>
    <row r="4">
      <c r="A4" s="42" t="inlineStr">
        <is>
          <t>1. Antet</t>
        </is>
      </c>
    </row>
    <row r="5">
      <c r="A5" s="43" t="inlineStr">
        <is>
          <t>Luna verificată</t>
        </is>
      </c>
      <c r="B5" s="64" t="inlineStr">
        <is>
          <t>iulie 2026</t>
        </is>
      </c>
    </row>
    <row r="6">
      <c r="A6" s="43" t="inlineStr">
        <is>
          <t>Societate</t>
        </is>
      </c>
      <c r="B6" s="43" t="str">
        <f>Parametri!B5</f>
        <v>SC EXEMPLU SRL</v>
      </c>
    </row>
    <row r="8">
      <c r="A8" s="42" t="inlineStr">
        <is>
          <t>2. Obligații constituite lunar și achitate în luna următoare</t>
        </is>
      </c>
    </row>
    <row r="9">
      <c r="A9" s="44" t="inlineStr">
        <is>
          <t>Regula: la sfârșitul lunii, soldul creditor = rulajul creditor al lunii. Un sold mai mare înseamnă restanță, iar mărimea ei spune de cât timp.</t>
        </is>
      </c>
    </row>
    <row r="10">
      <c r="A10" s="65" t="inlineStr">
        <is>
          <t>Cont</t>
        </is>
      </c>
      <c r="B10" s="65" t="inlineStr">
        <is>
          <t>Denumire</t>
        </is>
      </c>
      <c r="C10" s="65" t="inlineStr">
        <is>
          <t>Rulaj debitor</t>
        </is>
      </c>
      <c r="D10" s="65" t="inlineStr">
        <is>
          <t>Rulaj creditor</t>
        </is>
      </c>
      <c r="E10" s="65" t="inlineStr">
        <is>
          <t>Sold creditor</t>
        </is>
      </c>
    </row>
    <row r="11">
      <c r="A11" s="43" t="inlineStr">
        <is>
          <t>444</t>
        </is>
      </c>
      <c r="B11" s="43" t="inlineStr">
        <is>
          <t>Impozit pe venituri din salarii</t>
        </is>
      </c>
      <c r="C11" s="43" t="n">
        <v>3250</v>
      </c>
      <c r="D11" s="43" t="n">
        <v>3250</v>
      </c>
      <c r="E11" s="43" t="n">
        <v>3250</v>
      </c>
    </row>
    <row r="12">
      <c r="A12" s="43" t="inlineStr">
        <is>
          <t>4315</t>
        </is>
      </c>
      <c r="B12" s="43" t="inlineStr">
        <is>
          <t>CAS — contribuția de asigurări sociale</t>
        </is>
      </c>
      <c r="C12" s="43" t="n">
        <v>12500</v>
      </c>
      <c r="D12" s="43" t="n">
        <v>12500</v>
      </c>
      <c r="E12" s="43" t="n">
        <v>12500</v>
      </c>
    </row>
    <row r="13">
      <c r="A13" s="43" t="inlineStr">
        <is>
          <t>4316</t>
        </is>
      </c>
      <c r="B13" s="43" t="inlineStr">
        <is>
          <t>CASS — asigurări sociale de sănătate</t>
        </is>
      </c>
      <c r="C13" s="43" t="n">
        <v>5000</v>
      </c>
      <c r="D13" s="43" t="n">
        <v>5000</v>
      </c>
      <c r="E13" s="43" t="n">
        <v>5000</v>
      </c>
    </row>
    <row r="14">
      <c r="A14" s="43" t="inlineStr">
        <is>
          <t>436</t>
        </is>
      </c>
      <c r="B14" s="43" t="inlineStr">
        <is>
          <t>CAM — contribuția asiguratorie pentru muncă</t>
        </is>
      </c>
      <c r="C14" s="43" t="n">
        <v>1125</v>
      </c>
      <c r="D14" s="43" t="n">
        <v>1125</v>
      </c>
      <c r="E14" s="43" t="n">
        <v>1125</v>
      </c>
    </row>
    <row r="15">
      <c r="A15" s="43" t="inlineStr">
        <is>
          <t>427</t>
        </is>
      </c>
      <c r="B15" s="43" t="inlineStr">
        <is>
          <t>Rețineri din salarii datorate terților</t>
        </is>
      </c>
      <c r="C15" s="43" t="n">
        <v>0</v>
      </c>
      <c r="D15" s="43" t="n">
        <v>0</v>
      </c>
      <c r="E15" s="43" t="n">
        <v>0</v>
      </c>
    </row>
    <row r="17">
      <c r="A17" s="42" t="inlineStr">
        <is>
          <t>3. Datoria față de salariați</t>
        </is>
      </c>
    </row>
    <row r="18">
      <c r="A18" s="43" t="inlineStr">
        <is>
          <t>Sold creditor 421 — salarii datorate</t>
        </is>
      </c>
      <c r="B18" s="64" t="n">
        <v>29250</v>
      </c>
    </row>
    <row r="19">
      <c r="A19" s="43" t="inlineStr">
        <is>
          <t>Sold creditor 423 — ajutoare materiale</t>
        </is>
      </c>
      <c r="B19" s="64" t="n">
        <v>0</v>
      </c>
    </row>
    <row r="20">
      <c r="A20" s="43" t="inlineStr">
        <is>
          <t>Rest de plată din statul de plată</t>
        </is>
      </c>
      <c r="B20" s="64" t="n">
        <v>29250</v>
      </c>
      <c r="C20" s="44" t="inlineStr">
        <is>
          <t>Se ia din stat, nu din balanță — asta e tot rostul corelației</t>
        </is>
      </c>
    </row>
    <row r="22">
      <c r="A22" s="42" t="inlineStr">
        <is>
          <t>4. Baza CAM</t>
        </is>
      </c>
    </row>
    <row r="23">
      <c r="A23" s="43" t="inlineStr">
        <is>
          <t>Rulaj creditor 421 — brutul realizat al lunii</t>
        </is>
      </c>
      <c r="B23" s="64" t="n">
        <v>50000</v>
      </c>
    </row>
    <row r="24">
      <c r="A24" s="43" t="inlineStr">
        <is>
          <t>Cota CAM</t>
        </is>
      </c>
      <c r="B24" s="43">
        <f>param_cota_cam</f>
        <v>0.0225</v>
      </c>
      <c r="C24" s="44" t="inlineStr">
        <is>
          <t>Din Parametri; 2,25% aplicat la fondul de salarii</t>
        </is>
      </c>
    </row>
    <row r="26">
      <c r="A26" s="42" t="inlineStr">
        <is>
          <t>5. Conturi de tranzit — trebuie golite</t>
        </is>
      </c>
    </row>
    <row r="27">
      <c r="A27" s="65" t="inlineStr">
        <is>
          <t>Cont</t>
        </is>
      </c>
      <c r="B27" s="65" t="inlineStr">
        <is>
          <t>Denumire</t>
        </is>
      </c>
      <c r="C27" s="65" t="inlineStr">
        <is>
          <t>Sold la sfârșitul lunii</t>
        </is>
      </c>
    </row>
    <row r="28">
      <c r="A28" s="43" t="inlineStr">
        <is>
          <t>473</t>
        </is>
      </c>
      <c r="B28" s="43" t="inlineStr">
        <is>
          <t>Decontări din operațiuni în curs de clarificare</t>
        </is>
      </c>
      <c r="C28" s="43" t="n">
        <v>0</v>
      </c>
    </row>
    <row r="29">
      <c r="A29" s="43" t="inlineStr">
        <is>
          <t>581</t>
        </is>
      </c>
      <c r="B29" s="43" t="inlineStr">
        <is>
          <t>Viramente interne</t>
        </is>
      </c>
      <c r="C29" s="43" t="n">
        <v>0</v>
      </c>
    </row>
    <row r="30">
      <c r="A30" s="43" t="inlineStr">
        <is>
          <t>542</t>
        </is>
      </c>
      <c r="B30" s="43" t="inlineStr">
        <is>
          <t>Avansuri de trezorerie</t>
        </is>
      </c>
      <c r="C30" s="43" t="n">
        <v>0</v>
      </c>
    </row>
    <row r="31">
      <c r="A31" s="43" t="inlineStr">
        <is>
          <t>4382</t>
        </is>
      </c>
      <c r="B31" s="43" t="inlineStr">
        <is>
          <t>Alte creanțe sociale (de recuperat de la FNUASS)</t>
        </is>
      </c>
      <c r="C31" s="43" t="n">
        <v>0</v>
      </c>
    </row>
    <row r="33">
      <c r="A33" s="42" t="inlineStr">
        <is>
          <t>6. TVA</t>
        </is>
      </c>
    </row>
    <row r="34">
      <c r="A34" s="43" t="inlineStr">
        <is>
          <t>Sold 4423 din balanță</t>
        </is>
      </c>
      <c r="B34" s="64" t="n">
        <v>5250</v>
      </c>
    </row>
    <row r="35">
      <c r="A35" s="43" t="inlineStr">
        <is>
          <t>Sold de plată din decontul de TVA</t>
        </is>
      </c>
      <c r="B35" s="64" t="n">
        <v>5250</v>
      </c>
      <c r="C35" s="44" t="inlineStr">
        <is>
          <t>Soldul, nu rulajul lunii. La rambursare, atenția merge pe soldul cu care pleci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0" customWidth="1" style="40" min="1" max="1"/>
    <col width="52" customWidth="1" style="40" min="2" max="2"/>
    <col width="52" customWidth="1" style="40" min="3" max="3"/>
    <col width="52" customWidth="1" style="40" min="4" max="4"/>
  </cols>
  <sheetData>
    <row r="1">
      <c r="A1" s="41" t="inlineStr">
        <is>
          <t>MOD_INCHIDERE_LUNARA — Reguli</t>
        </is>
      </c>
    </row>
    <row r="2">
      <c r="A2" s="44" t="inlineStr">
        <is>
          <t>Tabele fixe. Se editează doar când se schimbă legea sau când o corelație nouă intră în workbook-ul de plan.</t>
        </is>
      </c>
    </row>
    <row r="4">
      <c r="A4" s="42" t="inlineStr">
        <is>
          <t>Tabelul A — corelațiile verificate și ce le rupe</t>
        </is>
      </c>
    </row>
    <row r="5">
      <c r="A5" s="65" t="inlineStr">
        <is>
          <t>Cod</t>
        </is>
      </c>
      <c r="B5" s="65" t="inlineStr">
        <is>
          <t>Corelația</t>
        </is>
      </c>
      <c r="C5" s="65" t="inlineStr">
        <is>
          <t>Ce o rupe LEGITIM</t>
        </is>
      </c>
      <c r="D5" s="65" t="inlineStr">
        <is>
          <t>Ce o rupe SUSPECT</t>
        </is>
      </c>
    </row>
    <row r="6">
      <c r="A6" s="43" t="inlineStr">
        <is>
          <t>C-24</t>
        </is>
      </c>
      <c r="B6" s="43" t="inlineStr">
        <is>
          <t>sold C 421 + sold C 423 = rest de plată din stat</t>
        </is>
      </c>
      <c r="C6" s="43" t="inlineStr">
        <is>
          <t>Avans pe 425, nescăzut încă · drepturi neridicate mutate pe 426</t>
        </is>
      </c>
      <c r="D6" s="43" t="inlineStr">
        <is>
          <t>Plată înregistrată pe alt cont decât 421 · salarii restante nereclasificate</t>
        </is>
      </c>
    </row>
    <row r="7">
      <c r="A7" s="43" t="inlineStr">
        <is>
          <t>C-25</t>
        </is>
      </c>
      <c r="B7" s="43" t="inlineStr">
        <is>
          <t>rulaj C 444 = sold C 444</t>
        </is>
      </c>
      <c r="C7" s="43" t="inlineStr">
        <is>
          <t>Rectificativă pe o lună anterioară · plată în avans</t>
        </is>
      </c>
      <c r="D7" s="43" t="inlineStr">
        <is>
          <t>Sold &gt; rulaj constant = stopaj la sursă nevirat. Peste 30 de zile, penal</t>
        </is>
      </c>
    </row>
    <row r="8">
      <c r="A8" s="43" t="inlineStr">
        <is>
          <t>C-26</t>
        </is>
      </c>
      <c r="B8" s="43" t="inlineStr">
        <is>
          <t>rulaj C 4315/4316/436 = soldurile lor</t>
        </is>
      </c>
      <c r="C8" s="43" t="inlineStr">
        <is>
          <t>Rectificativă · eșalonare la plată aprobată de ANAF</t>
        </is>
      </c>
      <c r="D8" s="43" t="inlineStr">
        <is>
          <t>Contribuții restante · bază de calcul care nu corespunde brutului</t>
        </is>
      </c>
    </row>
    <row r="9">
      <c r="A9" s="43" t="inlineStr">
        <is>
          <t>C-27</t>
        </is>
      </c>
      <c r="B9" s="43" t="inlineStr">
        <is>
          <t>cota CAM × rulaj C 421 = rulaj C 436</t>
        </is>
      </c>
      <c r="C9" s="43" t="inlineStr">
        <is>
          <t>Luni cu concedii medicale: CAM nu se datorează pe partea din FNUASS (art. 220^5) · categorii cu cotă redusă</t>
        </is>
      </c>
      <c r="D9" s="43" t="inlineStr">
        <is>
          <t>Sporuri sau prime omise din fondul de salarii · CAM înregistrat invers</t>
        </is>
      </c>
    </row>
    <row r="10">
      <c r="A10" s="43" t="inlineStr">
        <is>
          <t>C-28</t>
        </is>
      </c>
      <c r="B10" s="43" t="inlineStr">
        <is>
          <t>rulaj C 427 = sold C 427</t>
        </is>
      </c>
      <c r="C10" s="43" t="inlineStr">
        <is>
          <t>Poprire înființată la final de lună, cu virare în luna următoare</t>
        </is>
      </c>
      <c r="D10" s="43" t="inlineStr">
        <is>
          <t>Sold care persistă = bani opriți din salariul altcuiva și nevirați</t>
        </is>
      </c>
    </row>
    <row r="11">
      <c r="A11" s="43" t="inlineStr">
        <is>
          <t>C-29</t>
        </is>
      </c>
      <c r="B11" s="43" t="inlineStr">
        <is>
          <t>sold 4423 din balanță = sold din decontul de TVA</t>
        </is>
      </c>
      <c r="C11" s="43" t="inlineStr">
        <is>
          <t>Sume din decizii de impunere, pe analitic distinct (F-421)</t>
        </is>
      </c>
      <c r="D11" s="43" t="inlineStr">
        <is>
          <t>TVA neachitat din perioade precedente, omis din decont</t>
        </is>
      </c>
    </row>
    <row r="12">
      <c r="A12" s="43" t="inlineStr">
        <is>
          <t>—</t>
        </is>
      </c>
      <c r="B12" s="43" t="inlineStr">
        <is>
          <t>sold 473, 581, 542, 4382 = 0</t>
        </is>
      </c>
      <c r="C12" s="43" t="inlineStr">
        <is>
          <t>Operațiune de final de lună, închisă în primele zile ale lunii următoare</t>
        </is>
      </c>
      <c r="D12" s="43" t="inlineStr">
        <is>
          <t>Sold care se reportează = operațiune neterminată, ascunsă în balanță</t>
        </is>
      </c>
    </row>
    <row r="14">
      <c r="A14" s="42" t="inlineStr">
        <is>
          <t>Tabelul B — cadențele, din foaia „Închideri periodice”</t>
        </is>
      </c>
    </row>
    <row r="15">
      <c r="A15" s="44" t="inlineStr">
        <is>
          <t>Lista nu se rescrie aici: e aceeași cu cea din workbook-ul de plan, care o derivă din stările terminale ale fluxurilor (poarta 17).</t>
        </is>
      </c>
    </row>
    <row r="17">
      <c r="A17" s="42" t="inlineStr">
        <is>
          <t>Tabelul C — LIMITĂRI DECLARATE</t>
        </is>
      </c>
    </row>
    <row r="18">
      <c r="A18" s="65" t="inlineStr">
        <is>
          <t>Ce NU face modulul</t>
        </is>
      </c>
      <c r="B18" s="65" t="inlineStr">
        <is>
          <t>De ce contează</t>
        </is>
      </c>
    </row>
    <row r="19">
      <c r="A19" s="43" t="inlineStr">
        <is>
          <t>Verifică solduri, nu documente</t>
        </is>
      </c>
      <c r="B19" s="43" t="inlineStr">
        <is>
          <t>Nu poate spune dacă statul de plată e corect întocmit — doar dacă balanța se potrivește cu el. Un stat greșit, reflectat fidel în balanță, trece.</t>
        </is>
      </c>
    </row>
    <row r="20">
      <c r="A20" s="43" t="inlineStr">
        <is>
          <t>Restul de plată se introduce manual</t>
        </is>
      </c>
      <c r="B20" s="43" t="inlineStr">
        <is>
          <t>Vine din stat, nu din balanță. Dacă îl copiezi din balanță, corelația devine tautologie și nu mai verifică nimic.</t>
        </is>
      </c>
    </row>
    <row r="21">
      <c r="A21" s="43" t="inlineStr">
        <is>
          <t>Conturile fără corelație declarată nu apar</t>
        </is>
      </c>
      <c r="B21" s="43" t="inlineStr">
        <is>
          <t>455, 461, 462, 5187 au cadență, dar niciun flux nu le declară starea terminală. Golul e declarat în `date/inchideri.py`, nu ascuns aici.</t>
        </is>
      </c>
    </row>
    <row r="22">
      <c r="A22" s="43" t="inlineStr">
        <is>
          <t>O singură lună odată</t>
        </is>
      </c>
      <c r="B22" s="43" t="inlineStr">
        <is>
          <t>Restanța se vede ca diferență sold − rulaj, dar vechimea ei se află doar comparând mai multe luni. Aici se vede CĂ există, nu de când.</t>
        </is>
      </c>
    </row>
    <row r="24">
      <c r="A24" s="42" t="inlineStr">
        <is>
          <t>Temei legal</t>
        </is>
      </c>
    </row>
    <row r="25">
      <c r="A25" s="65" t="inlineStr">
        <is>
          <t>Ce se sprijină pe el</t>
        </is>
      </c>
      <c r="B25" s="65" t="inlineStr">
        <is>
          <t>Temei</t>
        </is>
      </c>
    </row>
    <row r="26">
      <c r="A26" s="43" t="inlineStr">
        <is>
          <t>Perioada fiscală pentru TVA e luna calendaristică, cu excepțiile prevăzute</t>
        </is>
      </c>
      <c r="B26" s="43" t="inlineStr">
        <is>
          <t>art. 322 Cod fiscal</t>
        </is>
      </c>
    </row>
    <row r="27">
      <c r="A27" s="43" t="inlineStr">
        <is>
          <t>Contribuțiile reținute și cele datorate de angajator se declară lunar</t>
        </is>
      </c>
      <c r="B27" s="43" t="inlineStr">
        <is>
          <t>art. 147 Cod fiscal — termenul de 25 al lunii următoare</t>
        </is>
      </c>
    </row>
    <row r="28">
      <c r="A28" s="43" t="inlineStr">
        <is>
          <t>Corelațiile verificate aici sunt cele din foaia „Corelații de control”</t>
        </is>
      </c>
      <c r="B28" s="43" t="inlineStr">
        <is>
          <t>sursă internă: C-24…C-29, derivate din monografii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0" customWidth="1" style="40" min="1" max="1"/>
    <col width="46" customWidth="1" style="40" min="2" max="2"/>
    <col width="16" customWidth="1" style="40" min="3" max="3"/>
    <col width="16" customWidth="1" style="40" min="4" max="4"/>
    <col width="16" customWidth="1" style="40" min="5" max="5"/>
    <col width="40" customWidth="1" style="40" min="6" max="6"/>
  </cols>
  <sheetData>
    <row r="1">
      <c r="A1" s="41" t="inlineStr">
        <is>
          <t>MOD_INCHIDERE_LUNARA — Verificări</t>
        </is>
      </c>
    </row>
    <row r="2">
      <c r="A2" s="44" t="inlineStr">
        <is>
          <t>O linie pe corelație, calculată din Declarații. Coloana „Diferență” e ce contează: zero înseamnă că se potrivește.</t>
        </is>
      </c>
    </row>
    <row r="4">
      <c r="A4" s="42" t="inlineStr">
        <is>
          <t>V1 — obligații lunare: rulaj creditor = sold creditor</t>
        </is>
      </c>
    </row>
    <row r="5">
      <c r="A5" s="65" t="inlineStr">
        <is>
          <t>Cod</t>
        </is>
      </c>
      <c r="B5" s="65" t="inlineStr">
        <is>
          <t>Ce verifică</t>
        </is>
      </c>
      <c r="C5" s="65" t="inlineStr">
        <is>
          <t>Rulaj C</t>
        </is>
      </c>
      <c r="D5" s="65" t="inlineStr">
        <is>
          <t>Sold C</t>
        </is>
      </c>
      <c r="E5" s="65" t="inlineStr">
        <is>
          <t>Diferență</t>
        </is>
      </c>
      <c r="F5" s="65" t="inlineStr">
        <is>
          <t>Verdict</t>
        </is>
      </c>
    </row>
    <row r="6">
      <c r="A6" s="43" t="inlineStr">
        <is>
          <t>C-25</t>
        </is>
      </c>
      <c r="B6" s="43" t="inlineStr">
        <is>
          <t>444 — Impozit pe venituri din salarii</t>
        </is>
      </c>
      <c r="C6" s="43">
        <f>Declarații_INCHIDERE_LUNARA!D11</f>
        <v>3250</v>
      </c>
      <c r="D6" s="43">
        <f>Declarații_INCHIDERE_LUNARA!E11</f>
        <v>3250</v>
      </c>
      <c r="E6" s="43">
        <f>Declarații_INCHIDERE_LUNARA!E11-Declarații_INCHIDERE_LUNARA!D11</f>
        <v>0</v>
      </c>
      <c r="F6" s="43" t="str">
        <f>IF(ABS(E6)&lt;0.01,"OK","ATENȚIE — sold peste rulaj: restanță de "&amp;TEXT(E6,"#,##0")&amp;" lei")</f>
        <v>OK</v>
      </c>
    </row>
    <row r="7">
      <c r="A7" s="43" t="inlineStr">
        <is>
          <t>C-26</t>
        </is>
      </c>
      <c r="B7" s="43" t="inlineStr">
        <is>
          <t>4315 — CAS — contribuția de asigurări sociale</t>
        </is>
      </c>
      <c r="C7" s="43">
        <f>Declarații_INCHIDERE_LUNARA!D12</f>
        <v>12500</v>
      </c>
      <c r="D7" s="43">
        <f>Declarații_INCHIDERE_LUNARA!E12</f>
        <v>12500</v>
      </c>
      <c r="E7" s="43">
        <f>Declarații_INCHIDERE_LUNARA!E12-Declarații_INCHIDERE_LUNARA!D12</f>
        <v>0</v>
      </c>
      <c r="F7" s="43" t="str">
        <f>IF(ABS(E7)&lt;0.01,"OK","ATENȚIE — sold peste rulaj: restanță de "&amp;TEXT(E7,"#,##0")&amp;" lei")</f>
        <v>OK</v>
      </c>
    </row>
    <row r="8">
      <c r="A8" s="43" t="inlineStr">
        <is>
          <t>C-26</t>
        </is>
      </c>
      <c r="B8" s="43" t="inlineStr">
        <is>
          <t>4316 — CASS — asigurări sociale de sănătate</t>
        </is>
      </c>
      <c r="C8" s="43">
        <f>Declarații_INCHIDERE_LUNARA!D13</f>
        <v>5000</v>
      </c>
      <c r="D8" s="43">
        <f>Declarații_INCHIDERE_LUNARA!E13</f>
        <v>5000</v>
      </c>
      <c r="E8" s="43">
        <f>Declarații_INCHIDERE_LUNARA!E13-Declarații_INCHIDERE_LUNARA!D13</f>
        <v>0</v>
      </c>
      <c r="F8" s="43" t="str">
        <f>IF(ABS(E8)&lt;0.01,"OK","ATENȚIE — sold peste rulaj: restanță de "&amp;TEXT(E8,"#,##0")&amp;" lei")</f>
        <v>OK</v>
      </c>
    </row>
    <row r="9">
      <c r="A9" s="43" t="inlineStr">
        <is>
          <t>C-26</t>
        </is>
      </c>
      <c r="B9" s="43" t="inlineStr">
        <is>
          <t>436 — CAM — contribuția asiguratorie pentru muncă</t>
        </is>
      </c>
      <c r="C9" s="43">
        <f>Declarații_INCHIDERE_LUNARA!D14</f>
        <v>1125</v>
      </c>
      <c r="D9" s="43">
        <f>Declarații_INCHIDERE_LUNARA!E14</f>
        <v>1125</v>
      </c>
      <c r="E9" s="43">
        <f>Declarații_INCHIDERE_LUNARA!E14-Declarații_INCHIDERE_LUNARA!D14</f>
        <v>0</v>
      </c>
      <c r="F9" s="43" t="str">
        <f>IF(ABS(E9)&lt;0.01,"OK","ATENȚIE — sold peste rulaj: restanță de "&amp;TEXT(E9,"#,##0")&amp;" lei")</f>
        <v>OK</v>
      </c>
    </row>
    <row r="10">
      <c r="A10" s="43" t="inlineStr">
        <is>
          <t>C-28</t>
        </is>
      </c>
      <c r="B10" s="43" t="inlineStr">
        <is>
          <t>427 — Rețineri din salarii datorate terților</t>
        </is>
      </c>
      <c r="C10" s="43">
        <f>Declarații_INCHIDERE_LUNARA!D15</f>
        <v>0</v>
      </c>
      <c r="D10" s="43">
        <f>Declarații_INCHIDERE_LUNARA!E15</f>
        <v>0</v>
      </c>
      <c r="E10" s="43">
        <f>Declarații_INCHIDERE_LUNARA!E15-Declarații_INCHIDERE_LUNARA!D15</f>
        <v>0</v>
      </c>
      <c r="F10" s="43" t="str">
        <f>IF(ABS(E10)&lt;0.01,"OK","ATENȚIE — sold peste rulaj: restanță de "&amp;TEXT(E10,"#,##0")&amp;" lei")</f>
        <v>OK</v>
      </c>
    </row>
    <row r="12">
      <c r="A12" s="42" t="inlineStr">
        <is>
          <t>V2 — datoria față de salariați</t>
        </is>
      </c>
    </row>
    <row r="13">
      <c r="A13" s="65" t="inlineStr">
        <is>
          <t>Cod</t>
        </is>
      </c>
      <c r="B13" s="65" t="inlineStr">
        <is>
          <t>Ce verifică</t>
        </is>
      </c>
      <c r="C13" s="65" t="inlineStr">
        <is>
          <t>Din balanță</t>
        </is>
      </c>
      <c r="D13" s="65" t="inlineStr">
        <is>
          <t>Din stat</t>
        </is>
      </c>
      <c r="E13" s="65" t="inlineStr">
        <is>
          <t>Diferență</t>
        </is>
      </c>
      <c r="F13" s="65" t="inlineStr">
        <is>
          <t>Verdict</t>
        </is>
      </c>
    </row>
    <row r="14">
      <c r="A14" s="43" t="inlineStr">
        <is>
          <t>C-24</t>
        </is>
      </c>
      <c r="B14" s="43" t="inlineStr">
        <is>
          <t>421 + 423 = rest de plată de pe stat</t>
        </is>
      </c>
      <c r="C14" s="43">
        <f>Declarații_INCHIDERE_LUNARA!B18+Declarații_INCHIDERE_LUNARA!B19</f>
        <v>29250</v>
      </c>
      <c r="D14" s="43">
        <f>Declarații_INCHIDERE_LUNARA!B20</f>
        <v>29250</v>
      </c>
      <c r="E14" s="43">
        <f>Declarații_INCHIDERE_LUNARA!B18+Declarații_INCHIDERE_LUNARA!B19-Declarații_INCHIDERE_LUNARA!B20</f>
        <v>0</v>
      </c>
      <c r="F14" s="43" t="str">
        <f>IF(ABS(E14)&lt;0.01,"OK","ATENȚIE — balanța nu corespunde statului")</f>
        <v>OK</v>
      </c>
    </row>
    <row r="16">
      <c r="A16" s="42" t="inlineStr">
        <is>
          <t>V3 — conturi de tranzit, care trebuie golite</t>
        </is>
      </c>
    </row>
    <row r="17">
      <c r="A17" s="65" t="inlineStr">
        <is>
          <t>Cod</t>
        </is>
      </c>
      <c r="B17" s="65" t="inlineStr">
        <is>
          <t>Ce verifică</t>
        </is>
      </c>
      <c r="C17" s="65" t="inlineStr">
        <is>
          <t>Sold</t>
        </is>
      </c>
      <c r="D17" s="65" t="inlineStr">
        <is>
          <t>Așteptat</t>
        </is>
      </c>
      <c r="E17" s="65" t="inlineStr">
        <is>
          <t>Diferență</t>
        </is>
      </c>
      <c r="F17" s="65" t="inlineStr">
        <is>
          <t>Verdict</t>
        </is>
      </c>
    </row>
    <row r="18">
      <c r="A18" s="43" t="inlineStr">
        <is>
          <t>—</t>
        </is>
      </c>
      <c r="B18" s="43" t="inlineStr">
        <is>
          <t>473 — Decontări din operațiuni în curs de clarificare</t>
        </is>
      </c>
      <c r="C18" s="43">
        <f>Declarații_INCHIDERE_LUNARA!C28</f>
        <v>0</v>
      </c>
      <c r="D18" s="43" t="n">
        <v>0</v>
      </c>
      <c r="E18" s="43">
        <f>Declarații_INCHIDERE_LUNARA!C28</f>
        <v>0</v>
      </c>
      <c r="F18" s="43" t="str">
        <f>IF(ABS(E18)&lt;0.01,"OK","ATENȚIE — operațiune neterminată, ascunsă în balanță")</f>
        <v>OK</v>
      </c>
    </row>
    <row r="19">
      <c r="A19" s="43" t="inlineStr">
        <is>
          <t>—</t>
        </is>
      </c>
      <c r="B19" s="43" t="inlineStr">
        <is>
          <t>581 — Viramente interne</t>
        </is>
      </c>
      <c r="C19" s="43">
        <f>Declarații_INCHIDERE_LUNARA!C29</f>
        <v>0</v>
      </c>
      <c r="D19" s="43" t="n">
        <v>0</v>
      </c>
      <c r="E19" s="43">
        <f>Declarații_INCHIDERE_LUNARA!C29</f>
        <v>0</v>
      </c>
      <c r="F19" s="43" t="str">
        <f>IF(ABS(E19)&lt;0.01,"OK","ATENȚIE — operațiune neterminată, ascunsă în balanță")</f>
        <v>OK</v>
      </c>
    </row>
    <row r="20">
      <c r="A20" s="43" t="inlineStr">
        <is>
          <t>—</t>
        </is>
      </c>
      <c r="B20" s="43" t="inlineStr">
        <is>
          <t>542 — Avansuri de trezorerie</t>
        </is>
      </c>
      <c r="C20" s="43">
        <f>Declarații_INCHIDERE_LUNARA!C30</f>
        <v>0</v>
      </c>
      <c r="D20" s="43" t="n">
        <v>0</v>
      </c>
      <c r="E20" s="43">
        <f>Declarații_INCHIDERE_LUNARA!C30</f>
        <v>0</v>
      </c>
      <c r="F20" s="43" t="str">
        <f>IF(ABS(E20)&lt;0.01,"OK","ATENȚIE — operațiune neterminată, ascunsă în balanță")</f>
        <v>OK</v>
      </c>
    </row>
    <row r="21">
      <c r="A21" s="43" t="inlineStr">
        <is>
          <t>—</t>
        </is>
      </c>
      <c r="B21" s="43" t="inlineStr">
        <is>
          <t>4382 — Alte creanțe sociale (de recuperat de la FNUASS)</t>
        </is>
      </c>
      <c r="C21" s="43">
        <f>Declarații_INCHIDERE_LUNARA!C31</f>
        <v>0</v>
      </c>
      <c r="D21" s="43" t="n">
        <v>0</v>
      </c>
      <c r="E21" s="43">
        <f>Declarații_INCHIDERE_LUNARA!C31</f>
        <v>0</v>
      </c>
      <c r="F21" s="43" t="str">
        <f>IF(ABS(E21)&lt;0.01,"OK","ATENȚIE — operațiune neterminată, ascunsă în balanță")</f>
        <v>OK</v>
      </c>
    </row>
    <row r="23">
      <c r="A23" s="42" t="inlineStr">
        <is>
          <t>V4 — CAM pe cifre și TVA</t>
        </is>
      </c>
    </row>
    <row r="24">
      <c r="A24" s="65" t="inlineStr">
        <is>
          <t>Cod</t>
        </is>
      </c>
      <c r="B24" s="65" t="inlineStr">
        <is>
          <t>Ce verifică</t>
        </is>
      </c>
      <c r="C24" s="65" t="inlineStr">
        <is>
          <t>Calculat</t>
        </is>
      </c>
      <c r="D24" s="65" t="inlineStr">
        <is>
          <t>Din balanță</t>
        </is>
      </c>
      <c r="E24" s="65" t="inlineStr">
        <is>
          <t>Diferență</t>
        </is>
      </c>
      <c r="F24" s="65" t="inlineStr">
        <is>
          <t>Verdict</t>
        </is>
      </c>
    </row>
    <row r="25">
      <c r="A25" s="43" t="inlineStr">
        <is>
          <t>C-27</t>
        </is>
      </c>
      <c r="B25" s="43" t="inlineStr">
        <is>
          <t>cota CAM × brut = rulaj C 436</t>
        </is>
      </c>
      <c r="C25" s="43">
        <f>ROUND(Declarații_INCHIDERE_LUNARA!B23*param_cota_cam,2)</f>
        <v>1125</v>
      </c>
      <c r="D25" s="43">
        <f>Declarații_INCHIDERE_LUNARA!D14</f>
        <v>1125</v>
      </c>
      <c r="E25" s="43">
        <f>Declarații_INCHIDERE_LUNARA!D14-ROUND(Declarații_INCHIDERE_LUNARA!B23*param_cota_cam,2)</f>
        <v>0</v>
      </c>
      <c r="F25" s="43" t="str">
        <f>IF(ABS(E25)&lt;0.01,"OK","ATENȚIE — bază de calcul greșită sau concedii medicale (vezi Reguli A)")</f>
        <v>OK</v>
      </c>
    </row>
    <row r="26">
      <c r="A26" s="43" t="inlineStr">
        <is>
          <t>C-29</t>
        </is>
      </c>
      <c r="B26" s="43" t="inlineStr">
        <is>
          <t>sold 4423 din balanță = sold din decont</t>
        </is>
      </c>
      <c r="C26" s="43">
        <f>Declarații_INCHIDERE_LUNARA!B34</f>
        <v>5250</v>
      </c>
      <c r="D26" s="43">
        <f>Declarații_INCHIDERE_LUNARA!B35</f>
        <v>5250</v>
      </c>
      <c r="E26" s="43">
        <f>Declarații_INCHIDERE_LUNARA!B34-Declarații_INCHIDERE_LUNARA!B35</f>
        <v>0</v>
      </c>
      <c r="F26" s="43" t="str">
        <f>IF(ABS(E26)&lt;0.01,"OK","ATENȚIE — decontul și balanța nu spun același lucru")</f>
        <v>OK</v>
      </c>
    </row>
    <row r="28">
      <c r="A28" s="42" t="inlineStr">
        <is>
          <t>Control final</t>
        </is>
      </c>
    </row>
    <row r="29">
      <c r="A29" s="43" t="inlineStr">
        <is>
          <t>Check — toate corelațiile lunii</t>
        </is>
      </c>
      <c r="B29" s="43">
        <f>ABS(E6)+ABS(E7)+ABS(E8)+ABS(E9)+ABS(E10)+ABS(E14)+ABS(E18)+ABS(E19)+ABS(E20)+ABS(E21)+ABS(E25)+ABS(E26)</f>
        <v>0</v>
      </c>
      <c r="C29" s="43" t="str">
        <f>IF(ABS(B29)&lt;0.01,"OK — luna se reconciliază pe toate corelațiile","EROARE — vezi foaia Abateri")</f>
        <v>OK — luna se reconciliază pe toate corelațiile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0" customWidth="1" style="40" min="1" max="1"/>
    <col width="12" customWidth="1" style="40" min="2" max="2"/>
    <col width="46" customWidth="1" style="40" min="3" max="3"/>
    <col width="16" customWidth="1" style="40" min="4" max="4"/>
    <col width="56" customWidth="1" style="40" min="5" max="5"/>
  </cols>
  <sheetData>
    <row r="1">
      <c r="A1" s="41" t="inlineStr">
        <is>
          <t>MOD_INCHIDERE_LUNARA — Abateri</t>
        </is>
      </c>
    </row>
    <row r="2">
      <c r="A2" s="44" t="inlineStr">
        <is>
          <t>Coloana „Include” spune DA doar unde corelația nu s-a potrivit. Lista e completă: dacă toate sunt NU, luna e curată.</t>
        </is>
      </c>
    </row>
    <row r="4">
      <c r="A4" s="65" t="inlineStr">
        <is>
          <t>Include</t>
        </is>
      </c>
      <c r="B4" s="65" t="inlineStr">
        <is>
          <t>Cod</t>
        </is>
      </c>
      <c r="C4" s="65" t="inlineStr">
        <is>
          <t>Ce nu s-a potrivit</t>
        </is>
      </c>
      <c r="D4" s="65" t="inlineStr">
        <is>
          <t>Diferență</t>
        </is>
      </c>
      <c r="E4" s="65" t="inlineStr">
        <is>
          <t>Ce se face</t>
        </is>
      </c>
    </row>
    <row r="5">
      <c r="A5" s="43" t="str">
        <f>IF(ABS(Verificări_INCHIDERE_LUNARA!E6)&lt;0.01,"NU","DA")</f>
        <v>NU</v>
      </c>
      <c r="B5" s="43" t="inlineStr">
        <is>
          <t>C-25</t>
        </is>
      </c>
      <c r="C5" s="43" t="inlineStr">
        <is>
          <t>444 Impozit pe venituri din salarii</t>
        </is>
      </c>
      <c r="D5" s="43">
        <f>Verificări_INCHIDERE_LUNARA!E6</f>
        <v>0</v>
      </c>
      <c r="E5" s="43" t="inlineStr">
        <is>
          <t>Se verifică fișa de plătitor din SPV. Stopaj nevirat peste 30 de zile = răspundere penală, nu întârziere.</t>
        </is>
      </c>
    </row>
    <row r="6">
      <c r="A6" s="43" t="str">
        <f>IF(ABS(Verificări_INCHIDERE_LUNARA!E7)&lt;0.01,"NU","DA")</f>
        <v>NU</v>
      </c>
      <c r="B6" s="43" t="inlineStr">
        <is>
          <t>C-26</t>
        </is>
      </c>
      <c r="C6" s="43" t="inlineStr">
        <is>
          <t>4315 CAS — contribuția de asigurări sociale</t>
        </is>
      </c>
      <c r="D6" s="43">
        <f>Verificări_INCHIDERE_LUNARA!E7</f>
        <v>0</v>
      </c>
      <c r="E6" s="43" t="inlineStr">
        <is>
          <t>Se confruntă cu D112. Dacă e eșalonare, se notează; altfel e restanță.</t>
        </is>
      </c>
    </row>
    <row r="7">
      <c r="A7" s="43" t="str">
        <f>IF(ABS(Verificări_INCHIDERE_LUNARA!E8)&lt;0.01,"NU","DA")</f>
        <v>NU</v>
      </c>
      <c r="B7" s="43" t="inlineStr">
        <is>
          <t>C-26</t>
        </is>
      </c>
      <c r="C7" s="43" t="inlineStr">
        <is>
          <t>4316 CASS — asigurări sociale de sănătate</t>
        </is>
      </c>
      <c r="D7" s="43">
        <f>Verificări_INCHIDERE_LUNARA!E8</f>
        <v>0</v>
      </c>
      <c r="E7" s="43" t="inlineStr">
        <is>
          <t>Se confruntă cu D112. Dacă e eșalonare, se notează; altfel e restanță.</t>
        </is>
      </c>
    </row>
    <row r="8">
      <c r="A8" s="43" t="str">
        <f>IF(ABS(Verificări_INCHIDERE_LUNARA!E9)&lt;0.01,"NU","DA")</f>
        <v>NU</v>
      </c>
      <c r="B8" s="43" t="inlineStr">
        <is>
          <t>C-26</t>
        </is>
      </c>
      <c r="C8" s="43" t="inlineStr">
        <is>
          <t>436 CAM — contribuția asiguratorie pentru muncă</t>
        </is>
      </c>
      <c r="D8" s="43">
        <f>Verificări_INCHIDERE_LUNARA!E9</f>
        <v>0</v>
      </c>
      <c r="E8" s="43" t="inlineStr">
        <is>
          <t>Se confruntă cu D112. Dacă e eșalonare, se notează; altfel e restanță.</t>
        </is>
      </c>
    </row>
    <row r="9">
      <c r="A9" s="43" t="str">
        <f>IF(ABS(Verificări_INCHIDERE_LUNARA!E10)&lt;0.01,"NU","DA")</f>
        <v>NU</v>
      </c>
      <c r="B9" s="43" t="inlineStr">
        <is>
          <t>C-28</t>
        </is>
      </c>
      <c r="C9" s="43" t="inlineStr">
        <is>
          <t>427 Rețineri din salarii datorate terților</t>
        </is>
      </c>
      <c r="D9" s="43">
        <f>Verificări_INCHIDERE_LUNARA!E10</f>
        <v>0</v>
      </c>
      <c r="E9" s="43" t="inlineStr">
        <is>
          <t>Se virează imediat. Banii sunt ai salariatului, opriți pentru altcineva.</t>
        </is>
      </c>
    </row>
    <row r="10">
      <c r="A10" s="43" t="str">
        <f>IF(ABS(Verificări_INCHIDERE_LUNARA!E14)&lt;0.01,"NU","DA")</f>
        <v>NU</v>
      </c>
      <c r="B10" s="43" t="inlineStr">
        <is>
          <t>C-24</t>
        </is>
      </c>
      <c r="C10" s="43" t="inlineStr">
        <is>
          <t>421 + 423 vs. stat</t>
        </is>
      </c>
      <c r="D10" s="43">
        <f>Verificări_INCHIDERE_LUNARA!E14</f>
        <v>0</v>
      </c>
      <c r="E10" s="43" t="inlineStr">
        <is>
          <t>Se scot statele lună de lună și se caută luna în care s-a rupt. Cauza tipică: plată pe alt cont decât 421.</t>
        </is>
      </c>
    </row>
    <row r="11">
      <c r="A11" s="43" t="str">
        <f>IF(ABS(Verificări_INCHIDERE_LUNARA!E18)&lt;0.01,"NU","DA")</f>
        <v>NU</v>
      </c>
      <c r="B11" s="43" t="inlineStr">
        <is>
          <t>—</t>
        </is>
      </c>
      <c r="C11" s="43" t="inlineStr">
        <is>
          <t>473 sold zero</t>
        </is>
      </c>
      <c r="D11" s="43">
        <f>Verificări_INCHIDERE_LUNARA!E18</f>
        <v>0</v>
      </c>
      <c r="E11" s="43" t="inlineStr">
        <is>
          <t>Se identifică operațiunea neterminată și se închide. Un sold reportat pe un cont de tranzit ascunde ceva.</t>
        </is>
      </c>
    </row>
    <row r="12">
      <c r="A12" s="43" t="str">
        <f>IF(ABS(Verificări_INCHIDERE_LUNARA!E19)&lt;0.01,"NU","DA")</f>
        <v>NU</v>
      </c>
      <c r="B12" s="43" t="inlineStr">
        <is>
          <t>—</t>
        </is>
      </c>
      <c r="C12" s="43" t="inlineStr">
        <is>
          <t>581 sold zero</t>
        </is>
      </c>
      <c r="D12" s="43">
        <f>Verificări_INCHIDERE_LUNARA!E19</f>
        <v>0</v>
      </c>
      <c r="E12" s="43" t="inlineStr">
        <is>
          <t>Se identifică operațiunea neterminată și se închide. Un sold reportat pe un cont de tranzit ascunde ceva.</t>
        </is>
      </c>
    </row>
    <row r="13">
      <c r="A13" s="43" t="str">
        <f>IF(ABS(Verificări_INCHIDERE_LUNARA!E20)&lt;0.01,"NU","DA")</f>
        <v>NU</v>
      </c>
      <c r="B13" s="43" t="inlineStr">
        <is>
          <t>—</t>
        </is>
      </c>
      <c r="C13" s="43" t="inlineStr">
        <is>
          <t>542 sold zero</t>
        </is>
      </c>
      <c r="D13" s="43">
        <f>Verificări_INCHIDERE_LUNARA!E20</f>
        <v>0</v>
      </c>
      <c r="E13" s="43" t="inlineStr">
        <is>
          <t>Se identifică operațiunea neterminată și se închide. Un sold reportat pe un cont de tranzit ascunde ceva.</t>
        </is>
      </c>
    </row>
    <row r="14">
      <c r="A14" s="43" t="str">
        <f>IF(ABS(Verificări_INCHIDERE_LUNARA!E21)&lt;0.01,"NU","DA")</f>
        <v>NU</v>
      </c>
      <c r="B14" s="43" t="inlineStr">
        <is>
          <t>—</t>
        </is>
      </c>
      <c r="C14" s="43" t="inlineStr">
        <is>
          <t>4382 sold zero</t>
        </is>
      </c>
      <c r="D14" s="43">
        <f>Verificări_INCHIDERE_LUNARA!E21</f>
        <v>0</v>
      </c>
      <c r="E14" s="43" t="inlineStr">
        <is>
          <t>Se identifică operațiunea neterminată și se închide. Un sold reportat pe un cont de tranzit ascunde ceva.</t>
        </is>
      </c>
    </row>
    <row r="15">
      <c r="A15" s="43" t="str">
        <f>IF(ABS(Verificări_INCHIDERE_LUNARA!E25)&lt;0.01,"NU","DA")</f>
        <v>NU</v>
      </c>
      <c r="B15" s="43" t="inlineStr">
        <is>
          <t>C-27</t>
        </is>
      </c>
      <c r="C15" s="43" t="inlineStr">
        <is>
          <t>CAM pe cifre</t>
        </is>
      </c>
      <c r="D15" s="43">
        <f>Verificări_INCHIDERE_LUNARA!E25</f>
        <v>0</v>
      </c>
      <c r="E15" s="43" t="inlineStr">
        <is>
          <t>Se verifică dacă luna are concedii medicale — CAM nu se datorează pe partea din FNUASS. Altfel, bază de calcul incompletă.</t>
        </is>
      </c>
    </row>
    <row r="16">
      <c r="A16" s="43" t="str">
        <f>IF(ABS(Verificări_INCHIDERE_LUNARA!E26)&lt;0.01,"NU","DA")</f>
        <v>NU</v>
      </c>
      <c r="B16" s="43" t="inlineStr">
        <is>
          <t>C-29</t>
        </is>
      </c>
      <c r="C16" s="43" t="inlineStr">
        <is>
          <t>4423 vs. decont</t>
        </is>
      </c>
      <c r="D16" s="43">
        <f>Verificări_INCHIDERE_LUNARA!E26</f>
        <v>0</v>
      </c>
      <c r="E16" s="43" t="inlineStr">
        <is>
          <t>Se verifică dacă e sumă din decizie de impunere (analitic distinct) sau TVA neachitat din perioade precedente, omis din decont.</t>
        </is>
      </c>
    </row>
    <row r="18">
      <c r="A18" s="43" t="inlineStr">
        <is>
          <t>Check — număr de abateri</t>
        </is>
      </c>
      <c r="B18" s="43">
        <f>COUNTIF(A5:A16,"DA")</f>
        <v>0</v>
      </c>
      <c r="C18" s="43" t="str">
        <f>IF(B18=0,"OK — nicio abatere","ATENȚIE — "&amp;B18&amp;" corelații nu se potrivesc")</f>
        <v>OK — nicio abatere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2026-08-14T13:51:44Z</dcterms:created>
  <dcterms:modified xmlns:dcterms="http://purl.org/dc/terms/" xmlns:xsi="http://www.w3.org/2001/XMLSchema-instance" xsi:type="dcterms:W3CDTF">2026-08-28T10:51:34Z</dcterms:modified>
  <cp:revision>0</cp:revision>
</cp:coreProperties>
</file>