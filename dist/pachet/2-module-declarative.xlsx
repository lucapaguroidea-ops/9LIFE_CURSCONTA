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NEUTRALIZARE" sheetId="4" state="visible" r:id="rId4"/>
    <sheet xmlns:r="http://schemas.openxmlformats.org/officeDocument/2006/relationships" name="Reguli_NEUTRALIZARE" sheetId="5" state="visible" r:id="rId5"/>
    <sheet xmlns:r="http://schemas.openxmlformats.org/officeDocument/2006/relationships" name="Jurnale_NEUTRALIZARE" sheetId="6" state="visible" r:id="rId6"/>
    <sheet xmlns:r="http://schemas.openxmlformats.org/officeDocument/2006/relationships" name="NotaExport_NEUTRALIZARE" sheetId="7" state="visible" r:id="rId7"/>
    <sheet xmlns:r="http://schemas.openxmlformats.org/officeDocument/2006/relationships" name="Declarații_AMANUNT" sheetId="8" state="visible" r:id="rId8"/>
    <sheet xmlns:r="http://schemas.openxmlformats.org/officeDocument/2006/relationships" name="Reguli_AMANUNT" sheetId="9" state="visible" r:id="rId9"/>
    <sheet xmlns:r="http://schemas.openxmlformats.org/officeDocument/2006/relationships" name="Jurnale_AMANUNT" sheetId="10" state="visible" r:id="rId10"/>
    <sheet xmlns:r="http://schemas.openxmlformats.org/officeDocument/2006/relationships" name="NotaExport_AMANUNT" sheetId="11" state="visible" r:id="rId11"/>
    <sheet xmlns:r="http://schemas.openxmlformats.org/officeDocument/2006/relationships" name="Declarații_TVA_INC" sheetId="12" state="visible" r:id="rId12"/>
    <sheet xmlns:r="http://schemas.openxmlformats.org/officeDocument/2006/relationships" name="Reguli_TVA_INC" sheetId="13" state="visible" r:id="rId13"/>
    <sheet xmlns:r="http://schemas.openxmlformats.org/officeDocument/2006/relationships" name="Jurnale_TVA_INC" sheetId="14" state="visible" r:id="rId14"/>
    <sheet xmlns:r="http://schemas.openxmlformats.org/officeDocument/2006/relationships" name="NotaExport_TVA_INC" sheetId="15" state="visible" r:id="rId15"/>
    <sheet xmlns:r="http://schemas.openxmlformats.org/officeDocument/2006/relationships" name="Declarații_CAPITALURI" sheetId="16" state="visible" r:id="rId16"/>
    <sheet xmlns:r="http://schemas.openxmlformats.org/officeDocument/2006/relationships" name="Reguli_CAPITALURI" sheetId="17" state="visible" r:id="rId17"/>
    <sheet xmlns:r="http://schemas.openxmlformats.org/officeDocument/2006/relationships" name="Jurnale_CAPITALURI" sheetId="18" state="visible" r:id="rId18"/>
    <sheet xmlns:r="http://schemas.openxmlformats.org/officeDocument/2006/relationships" name="NotaExport_CAPITALURI" sheetId="19" state="visible" r:id="rId19"/>
    <sheet xmlns:r="http://schemas.openxmlformats.org/officeDocument/2006/relationships" name="Declarații_CREDIT_VALUTA" sheetId="20" state="visible" r:id="rId20"/>
    <sheet xmlns:r="http://schemas.openxmlformats.org/officeDocument/2006/relationships" name="Reguli_CREDIT_VALUTA" sheetId="21" state="visible" r:id="rId21"/>
    <sheet xmlns:r="http://schemas.openxmlformats.org/officeDocument/2006/relationships" name="Jurnale_CREDIT_VALUTA" sheetId="22" state="visible" r:id="rId22"/>
    <sheet xmlns:r="http://schemas.openxmlformats.org/officeDocument/2006/relationships" name="NotaExport_CREDIT_VALUTA" sheetId="23" state="visible" r:id="rId23"/>
    <sheet xmlns:r="http://schemas.openxmlformats.org/officeDocument/2006/relationships" name="Declarații_PROVIZION" sheetId="24" state="visible" r:id="rId24"/>
    <sheet xmlns:r="http://schemas.openxmlformats.org/officeDocument/2006/relationships" name="Reguli_PROVIZION" sheetId="25" state="visible" r:id="rId25"/>
    <sheet xmlns:r="http://schemas.openxmlformats.org/officeDocument/2006/relationships" name="Jurnale_PROVIZION" sheetId="26" state="visible" r:id="rId26"/>
    <sheet xmlns:r="http://schemas.openxmlformats.org/officeDocument/2006/relationships" name="NotaExport_PROVIZION" sheetId="27" state="visible" r:id="rId27"/>
    <sheet xmlns:r="http://schemas.openxmlformats.org/officeDocument/2006/relationships" name="Declarații_LEASING_FIN" sheetId="28" state="visible" r:id="rId28"/>
    <sheet xmlns:r="http://schemas.openxmlformats.org/officeDocument/2006/relationships" name="Reguli_LEASING_FIN" sheetId="29" state="visible" r:id="rId29"/>
    <sheet xmlns:r="http://schemas.openxmlformats.org/officeDocument/2006/relationships" name="Jurnale_LEASING_FIN" sheetId="30" state="visible" r:id="rId30"/>
    <sheet xmlns:r="http://schemas.openxmlformats.org/officeDocument/2006/relationships" name="NotaExport_LEASING_FIN" sheetId="31" state="visible" r:id="rId31"/>
    <sheet xmlns:r="http://schemas.openxmlformats.org/officeDocument/2006/relationships" name="Declarații_IMOBILIZARI" sheetId="32" state="visible" r:id="rId32"/>
    <sheet xmlns:r="http://schemas.openxmlformats.org/officeDocument/2006/relationships" name="Reguli_IMOBILIZARI" sheetId="33" state="visible" r:id="rId33"/>
    <sheet xmlns:r="http://schemas.openxmlformats.org/officeDocument/2006/relationships" name="Jurnale_IMOBILIZARI" sheetId="34" state="visible" r:id="rId34"/>
    <sheet xmlns:r="http://schemas.openxmlformats.org/officeDocument/2006/relationships" name="NotaExport_IMOBILIZARI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SALARII" sheetId="44" state="visible" r:id="rId44"/>
    <sheet xmlns:r="http://schemas.openxmlformats.org/officeDocument/2006/relationships" name="Reguli_SALARII" sheetId="45" state="visible" r:id="rId45"/>
    <sheet xmlns:r="http://schemas.openxmlformats.org/officeDocument/2006/relationships" name="Jurnale_SALARII" sheetId="46" state="visible" r:id="rId46"/>
    <sheet xmlns:r="http://schemas.openxmlformats.org/officeDocument/2006/relationships" name="NotaExport_SALARII" sheetId="47" state="visible" r:id="rId47"/>
    <sheet xmlns:r="http://schemas.openxmlformats.org/officeDocument/2006/relationships" name="Declarații_DECONT" sheetId="48" state="visible" r:id="rId48"/>
    <sheet xmlns:r="http://schemas.openxmlformats.org/officeDocument/2006/relationships" name="Reguli_DECONT" sheetId="49" state="visible" r:id="rId49"/>
    <sheet xmlns:r="http://schemas.openxmlformats.org/officeDocument/2006/relationships" name="Registru_DECONT" sheetId="50" state="visible" r:id="rId50"/>
    <sheet xmlns:r="http://schemas.openxmlformats.org/officeDocument/2006/relationships" name="Jurnale_DECONT" sheetId="51" state="visible" r:id="rId51"/>
    <sheet xmlns:r="http://schemas.openxmlformats.org/officeDocument/2006/relationships" name="NotaExport_DECONT" sheetId="52" state="visible" r:id="rId52"/>
    <sheet xmlns:r="http://schemas.openxmlformats.org/officeDocument/2006/relationships" name="Declarații_INTERMEDIAR" sheetId="53" state="visible" r:id="rId53"/>
    <sheet xmlns:r="http://schemas.openxmlformats.org/officeDocument/2006/relationships" name="Reguli_INTERMEDIAR" sheetId="54" state="visible" r:id="rId54"/>
    <sheet xmlns:r="http://schemas.openxmlformats.org/officeDocument/2006/relationships" name="Jurnale_INTERMEDIAR" sheetId="55" state="visible" r:id="rId55"/>
    <sheet xmlns:r="http://schemas.openxmlformats.org/officeDocument/2006/relationships" name="NotaExport_INTERMEDIAR" sheetId="56" state="visible" r:id="rId56"/>
    <sheet xmlns:r="http://schemas.openxmlformats.org/officeDocument/2006/relationships" name="Declarații_INCHIDERE_TVA" sheetId="57" state="visible" r:id="rId57"/>
    <sheet xmlns:r="http://schemas.openxmlformats.org/officeDocument/2006/relationships" name="Reguli_INCHIDERE_TVA" sheetId="58" state="visible" r:id="rId58"/>
    <sheet xmlns:r="http://schemas.openxmlformats.org/officeDocument/2006/relationships" name="Jurnale_INCHIDERE_TVA" sheetId="59" state="visible" r:id="rId59"/>
    <sheet xmlns:r="http://schemas.openxmlformats.org/officeDocument/2006/relationships" name="NotaExport_INCHIDERE_TVA" sheetId="60" state="visible" r:id="rId60"/>
    <sheet xmlns:r="http://schemas.openxmlformats.org/officeDocument/2006/relationships" name="Declarații_APROV_TRANZIT" sheetId="61" state="visible" r:id="rId61"/>
    <sheet xmlns:r="http://schemas.openxmlformats.org/officeDocument/2006/relationships" name="Reguli_APROV_TRANZIT" sheetId="62" state="visible" r:id="rId62"/>
    <sheet xmlns:r="http://schemas.openxmlformats.org/officeDocument/2006/relationships" name="Jurnale_APROV_TRANZIT" sheetId="63" state="visible" r:id="rId63"/>
    <sheet xmlns:r="http://schemas.openxmlformats.org/officeDocument/2006/relationships" name="NotaExport_APROV_TRANZIT" sheetId="64" state="visible" r:id="rId64"/>
    <sheet xmlns:r="http://schemas.openxmlformats.org/officeDocument/2006/relationships" name="Declarații_INCHIDERE_EX" sheetId="65" state="visible" r:id="rId65"/>
    <sheet xmlns:r="http://schemas.openxmlformats.org/officeDocument/2006/relationships" name="Reguli_INCHIDERE_EX" sheetId="66" state="visible" r:id="rId66"/>
    <sheet xmlns:r="http://schemas.openxmlformats.org/officeDocument/2006/relationships" name="Jurnale_INCHIDERE_EX" sheetId="67" state="visible" r:id="rId67"/>
    <sheet xmlns:r="http://schemas.openxmlformats.org/officeDocument/2006/relationships" name="NotaExport_INCHIDERE_EX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general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5" t="inlineStr">
        <is>
          <t>MOD_SALARII</t>
        </is>
      </c>
      <c r="C8" s="55" t="inlineStr">
        <is>
          <t>F-413</t>
        </is>
      </c>
      <c r="D8" s="55" t="inlineStr">
        <is>
          <t>Lunar, pe registru de angajați</t>
        </is>
      </c>
      <c r="E8" s="55" t="inlineStr">
        <is>
          <t>Brut, tichete, avans, pe angajat; cotele CAS/CASS/impozit/CAM</t>
        </is>
      </c>
      <c r="F8" s="55" t="inlineStr">
        <is>
          <t>Fără deducere personală și fără facilități sectoriale — vezi Reguli, tabelul C</t>
        </is>
      </c>
      <c r="G8" s="55" t="inlineStr">
        <is>
          <t>B1 Plata avansului; B2 Costurile lunii; B3 Plăți (net, taxe, CAM)</t>
        </is>
      </c>
      <c r="H8" s="55" t="inlineStr">
        <is>
          <t>IMPLEMENTAT</t>
        </is>
      </c>
    </row>
    <row r="9" ht="34.5" customHeight="1" s="40">
      <c r="A9" s="56" t="inlineStr">
        <is>
          <t>NU</t>
        </is>
      </c>
      <c r="B9" s="55" t="inlineStr">
        <is>
          <t>MOD_DECONT</t>
        </is>
      </c>
      <c r="C9" s="55" t="inlineStr">
        <is>
          <t>F-502</t>
        </is>
      </c>
      <c r="D9" s="55" t="inlineStr">
        <is>
          <t>Pe decont</t>
        </is>
      </c>
      <c r="E9" s="55" t="inlineStr">
        <is>
          <t>Linii de decont (furnizor, sumă, natură, tip document, CUI), avans, cote</t>
        </is>
      </c>
      <c r="F9" s="55" t="inlineStr">
        <is>
          <t>Plătitor de TVA; % deducere vehicule; matricea document × CUI</t>
        </is>
      </c>
      <c r="G9" s="55" t="inlineStr">
        <is>
          <t>B1 Avans; B2 Cheltuieli + TVA; B3 Regularizare avans; B4 Plată / restituire</t>
        </is>
      </c>
      <c r="H9" s="55" t="inlineStr">
        <is>
          <t>IMPLEMENTAT</t>
        </is>
      </c>
    </row>
    <row r="10" ht="34.5" customHeight="1" s="40">
      <c r="A10" s="56" t="inlineStr">
        <is>
          <t>NU</t>
        </is>
      </c>
      <c r="B10" s="55" t="inlineStr">
        <is>
          <t>MOD_LEASING_FIN</t>
        </is>
      </c>
      <c r="C10" s="55" t="inlineStr">
        <is>
          <t>F-108</t>
        </is>
      </c>
      <c r="D10" s="55" t="inlineStr">
        <is>
          <t>Pe contract + lunar</t>
        </is>
      </c>
      <c r="E10" s="55" t="inlineStr">
        <is>
          <t>Valoare contract, avans, rată, dobândă, comision, CASCO, regim vehicul, durată</t>
        </is>
      </c>
      <c r="F10" s="55" t="inlineStr">
        <is>
          <t>MIXT 50% / EXCLUSIV 100% / EXCEPTAT; capitalizare vs. cheltuială pentru TVA nededusă</t>
        </is>
      </c>
      <c r="G10" s="55" t="inlineStr">
        <is>
          <t>B1 Avans; B2 TVA avans; B3 Intrare + 167; B4 Stingere avans; B5 Factura lunară; B6 Corecție TVA 50%; B7 Limitare 50% cheltuieli; B8 Amortizare</t>
        </is>
      </c>
      <c r="H10" s="55" t="inlineStr">
        <is>
          <t>IMPLEMENTAT</t>
        </is>
      </c>
    </row>
    <row r="11" ht="34.5" customHeight="1" s="40">
      <c r="A11" s="56" t="inlineStr">
        <is>
          <t>DA</t>
        </is>
      </c>
      <c r="B11" s="57" t="inlineStr">
        <is>
          <t>MOD_VANZ_AMANUNT</t>
        </is>
      </c>
      <c r="C11" s="57" t="inlineStr">
        <is>
          <t>F-316</t>
        </is>
      </c>
      <c r="D11" s="57" t="inlineStr">
        <is>
          <t>Pe gestiune + cotă</t>
        </is>
      </c>
      <c r="E11" s="57" t="inlineStr">
        <is>
          <t>Cost, Adaos %, Cotă TVA, Gestiune</t>
        </is>
      </c>
      <c r="F11" s="57" t="inlineStr">
        <is>
          <t>En-gros vs Amănunt</t>
        </is>
      </c>
      <c r="G11" s="57" t="inlineStr">
        <is>
          <t>B1 Aprovizionare PVA; B2 TVA ded.; B3 Descărcare; B4 Venit; B5 Corelații; B6 Închidere TVA</t>
        </is>
      </c>
      <c r="H11" s="57" t="inlineStr">
        <is>
          <t>IMPLEMENTAT</t>
        </is>
      </c>
    </row>
    <row r="12" ht="34.5" customHeight="1" s="40">
      <c r="A12" s="56" t="inlineStr">
        <is>
          <t>DA</t>
        </is>
      </c>
      <c r="B12" s="57" t="inlineStr">
        <is>
          <t>MOD_TVA_INCASARE</t>
        </is>
      </c>
      <c r="C12" s="57" t="inlineStr">
        <is>
          <t>F-401</t>
        </is>
      </c>
      <c r="D12" s="57" t="inlineStr">
        <is>
          <t>Pe factură</t>
        </is>
      </c>
      <c r="E12" s="57" t="inlineStr">
        <is>
          <t>Sumă netă, TVA, Tip (achiziție/vânzare), Data plată/încasare</t>
        </is>
      </c>
      <c r="F12" s="57" t="inlineStr">
        <is>
          <t>4428.INC activ</t>
        </is>
      </c>
      <c r="G12" s="57" t="inlineStr">
        <is>
          <t>B1 Factură→4428.INC; B2 Plată/Încasare→4426/4427</t>
        </is>
      </c>
      <c r="H12" s="57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Un set de Declarații = un tip + o operațiune; modulul nu amestecă tipurile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7" t="inlineStr">
        <is>
          <t>MOD_NEUTRALIZARE</t>
        </is>
      </c>
      <c r="C15" s="57" t="inlineStr">
        <is>
          <t>F-311, F-312, F-209</t>
        </is>
      </c>
      <c r="D15" s="57" t="inlineStr">
        <is>
          <t>Pe stadiu producție</t>
        </is>
      </c>
      <c r="E15" s="57" t="inlineStr">
        <is>
          <t>Cost acumulat, Cont stoc (331/332/231), Cont venit (711/712/722)</t>
        </is>
      </c>
      <c r="F15" s="57" t="inlineStr">
        <is>
          <t>—</t>
        </is>
      </c>
      <c r="G15" s="57" t="inlineStr">
        <is>
          <t>B1 Costuri→stoc; B2 Neutralizare; B3 Finalizare/livrare</t>
        </is>
      </c>
      <c r="H15" s="57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3">
      <c r="A23" s="58" t="inlineStr">
        <is>
          <t>NU</t>
        </is>
      </c>
      <c r="B23" s="59" t="inlineStr">
        <is>
          <t>MOD_INCHIDERE_LUNARA</t>
        </is>
      </c>
      <c r="C23" s="59" t="inlineStr">
        <is>
          <t>F-422, F-413</t>
        </is>
      </c>
      <c r="D23" s="59" t="inlineStr">
        <is>
          <t>Lunar, pe balanța de verificare</t>
        </is>
      </c>
      <c r="E23" s="59" t="inlineStr">
        <is>
          <t>Rulaj debitor, rulaj creditor și sold pentru conturile cu cadență; restul de plată de pe stat; soldul din decontul de TVA</t>
        </is>
      </c>
      <c r="F23" s="59" t="inlineStr">
        <is>
          <t>Verifică solduri, nu documente — vezi Reguli, tabelul C</t>
        </is>
      </c>
      <c r="G23" s="59" t="inlineStr">
        <is>
          <t>V1 Obligații lunare (rulaj = sold); V2 Datoria față de salariați; V3 Conturi care trebuie golite; V4 Verificarea CAM pe cifre</t>
        </is>
      </c>
      <c r="H23" s="59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1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1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1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1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2" t="n">
        <v>4500</v>
      </c>
    </row>
    <row r="21" ht="15" customHeight="1" s="40">
      <c r="A21" s="39" t="inlineStr">
        <is>
          <t>Cost manoperă (→ 641)</t>
        </is>
      </c>
      <c r="B21" s="62" t="n">
        <v>0</v>
      </c>
    </row>
    <row r="22" ht="15" customHeight="1" s="40">
      <c r="A22" s="39" t="inlineStr">
        <is>
          <t>Alte costuri (→ 6xx)</t>
        </is>
      </c>
      <c r="B22" s="62" t="n">
        <v>0</v>
      </c>
    </row>
    <row r="23" ht="15" customHeight="1" s="40">
      <c r="A23" s="39" t="inlineStr">
        <is>
          <t>Cost total</t>
        </is>
      </c>
      <c r="B23" s="63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2" t="n">
        <v>7000</v>
      </c>
    </row>
    <row r="27" ht="15" customHeight="1" s="40">
      <c r="A27" s="39" t="inlineStr">
        <is>
          <t>Cota TVA</t>
        </is>
      </c>
      <c r="B27" s="64" t="n">
        <v>0.21</v>
      </c>
    </row>
    <row r="28" ht="15" customHeight="1" s="40">
      <c r="A28" s="39" t="inlineStr">
        <is>
          <t>TVA</t>
        </is>
      </c>
      <c r="B28" s="63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3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1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3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5" t="inlineStr">
        <is>
          <t>BUNURI</t>
        </is>
      </c>
      <c r="B6" s="65" t="inlineStr">
        <is>
          <t>601=301</t>
        </is>
      </c>
      <c r="C6" s="65" t="inlineStr">
        <is>
          <t>331=711</t>
        </is>
      </c>
      <c r="D6" s="65" t="inlineStr">
        <is>
          <t>711=331 apoi 345=711</t>
        </is>
      </c>
      <c r="E6" s="65" t="inlineStr">
        <is>
          <t>345</t>
        </is>
      </c>
      <c r="F6" s="65" t="inlineStr">
        <is>
          <t>711=345 (NU 607)</t>
        </is>
      </c>
    </row>
    <row r="7" ht="15" customHeight="1" s="40">
      <c r="A7" s="65" t="inlineStr">
        <is>
          <t>SERVICII</t>
        </is>
      </c>
      <c r="B7" s="65" t="inlineStr">
        <is>
          <t>641/601=…</t>
        </is>
      </c>
      <c r="C7" s="65" t="inlineStr">
        <is>
          <t>332=712</t>
        </is>
      </c>
      <c r="D7" s="65" t="inlineStr">
        <is>
          <t>712=332</t>
        </is>
      </c>
      <c r="E7" s="65" t="inlineStr">
        <is>
          <t>(nu e stoc final)</t>
        </is>
      </c>
      <c r="F7" s="65" t="inlineStr">
        <is>
          <t>712 stins la livrare</t>
        </is>
      </c>
    </row>
    <row r="8" ht="15" customHeight="1" s="40">
      <c r="A8" s="65" t="inlineStr">
        <is>
          <t>MF</t>
        </is>
      </c>
      <c r="B8" s="65" t="inlineStr">
        <is>
          <t>601=301, 641=421</t>
        </is>
      </c>
      <c r="C8" s="65" t="inlineStr">
        <is>
          <t>231=722</t>
        </is>
      </c>
      <c r="D8" s="65" t="inlineStr">
        <is>
          <t>—</t>
        </is>
      </c>
      <c r="E8" s="65" t="inlineStr">
        <is>
          <t>213=231</t>
        </is>
      </c>
      <c r="F8" s="65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68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68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68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68" t="str">
        <f>IF(ABS(B30)&lt;0.01,"OK","EROARE")</f>
        <v>OK</v>
      </c>
    </row>
    <row r="32" ht="15" customHeight="1" s="40">
      <c r="A32" s="69" t="inlineStr">
        <is>
          <t>Check global</t>
        </is>
      </c>
      <c r="B32" s="39">
        <f>ABS(B9)+ABS(B15)+ABS(B22)+ABS(B30)</f>
        <v>0</v>
      </c>
      <c r="C32" s="68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2" t="n">
        <v>10000</v>
      </c>
    </row>
    <row r="13" ht="15" customHeight="1" s="40">
      <c r="A13" s="39" t="inlineStr">
        <is>
          <t>Adaos %</t>
        </is>
      </c>
      <c r="B13" s="64" t="n">
        <v>0.3</v>
      </c>
    </row>
    <row r="14" ht="15" customHeight="1" s="40">
      <c r="A14" s="39" t="inlineStr">
        <is>
          <t>Cotă TVA</t>
        </is>
      </c>
      <c r="B14" s="64" t="n">
        <v>0.21</v>
      </c>
    </row>
    <row r="15" ht="15" customHeight="1" s="40">
      <c r="A15" s="39" t="inlineStr">
        <is>
          <t>Adaos (lei)</t>
        </is>
      </c>
      <c r="B15" s="63">
        <f>B12*B13</f>
        <v>3000</v>
      </c>
    </row>
    <row r="16" ht="15" customHeight="1" s="40">
      <c r="A16" s="39" t="inlineStr">
        <is>
          <t>Bază PVA (cost+adaos)</t>
        </is>
      </c>
      <c r="B16" s="63">
        <f>B12+B15</f>
        <v>13000</v>
      </c>
    </row>
    <row r="17" ht="15" customHeight="1" s="40">
      <c r="A17" s="39" t="inlineStr">
        <is>
          <t>TVA în PVA</t>
        </is>
      </c>
      <c r="B17" s="63">
        <f>B16*B14</f>
        <v>2730</v>
      </c>
    </row>
    <row r="18" ht="15" customHeight="1" s="40">
      <c r="A18" s="39" t="inlineStr">
        <is>
          <t>PVA total (371)</t>
        </is>
      </c>
      <c r="B18" s="63">
        <f>B16+B17</f>
        <v>15730</v>
      </c>
    </row>
    <row r="19" ht="15" customHeight="1" s="40">
      <c r="A19" s="39" t="inlineStr">
        <is>
          <t>TVA deductibilă (pe cost)</t>
        </is>
      </c>
      <c r="B19" s="63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3">
        <f>B18*B14/(1+B14)</f>
        <v>2730</v>
      </c>
    </row>
    <row r="35" ht="15" customHeight="1" s="40">
      <c r="A35" s="39" t="inlineStr">
        <is>
          <t>Trebuie = 4428</t>
        </is>
      </c>
      <c r="B35" s="61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3">
        <f>B16-B12</f>
        <v>3000</v>
      </c>
    </row>
    <row r="37" ht="15" customHeight="1" s="40">
      <c r="A37" s="39" t="inlineStr">
        <is>
          <t>Trebuie = adaos (rulaj D 378)</t>
        </is>
      </c>
      <c r="B37" s="61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1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0" t="inlineStr">
        <is>
          <t>Pas</t>
        </is>
      </c>
      <c r="B5" s="70" t="inlineStr">
        <is>
          <t>Cont Dr</t>
        </is>
      </c>
      <c r="C5" s="70" t="inlineStr">
        <is>
          <t>Cont Cr</t>
        </is>
      </c>
      <c r="D5" s="70" t="inlineStr">
        <is>
          <t>Sumă (sursă)</t>
        </is>
      </c>
      <c r="E5" s="70" t="inlineStr">
        <is>
          <t>Condiție</t>
        </is>
      </c>
      <c r="F5" s="70" t="inlineStr">
        <is>
          <t>Temei / observație</t>
        </is>
      </c>
    </row>
    <row r="6" ht="31.5" customHeight="1" s="40">
      <c r="A6" s="65" t="n">
        <v>1</v>
      </c>
      <c r="B6" s="65" t="inlineStr">
        <is>
          <t>371.gest.cotă</t>
        </is>
      </c>
      <c r="C6" s="65" t="inlineStr">
        <is>
          <t>401 + 378 + 4428</t>
        </is>
      </c>
      <c r="D6" s="65" t="inlineStr">
        <is>
          <t>PVA = cost+adaos+TVA_PVA</t>
        </is>
      </c>
      <c r="E6" s="65" t="inlineStr">
        <is>
          <t>La aprovizionare amănunt</t>
        </is>
      </c>
      <c r="F6" s="65" t="inlineStr">
        <is>
          <t>Stoc la preț de vânzare cu amănuntul</t>
        </is>
      </c>
    </row>
    <row r="7" ht="31.5" customHeight="1" s="40">
      <c r="A7" s="65" t="n">
        <v>2</v>
      </c>
      <c r="B7" s="65" t="inlineStr">
        <is>
          <t>4426</t>
        </is>
      </c>
      <c r="C7" s="65" t="inlineStr">
        <is>
          <t>401</t>
        </is>
      </c>
      <c r="D7" s="65" t="inlineStr">
        <is>
          <t>cost × cotă</t>
        </is>
      </c>
      <c r="E7" s="65" t="inlineStr">
        <is>
          <t>Din factură furnizor</t>
        </is>
      </c>
      <c r="F7" s="65" t="inlineStr">
        <is>
          <t>TVA deductibilă ≠ TVA din PVA</t>
        </is>
      </c>
    </row>
    <row r="8" ht="31.5" customHeight="1" s="40">
      <c r="A8" s="65" t="n">
        <v>3</v>
      </c>
      <c r="B8" s="65" t="inlineStr">
        <is>
          <t>607 + 378 + 4428</t>
        </is>
      </c>
      <c r="C8" s="65" t="inlineStr">
        <is>
          <t>371.gest.cotă</t>
        </is>
      </c>
      <c r="D8" s="65" t="inlineStr">
        <is>
          <t>proporțional pe PVA vândut</t>
        </is>
      </c>
      <c r="E8" s="65" t="inlineStr">
        <is>
          <t>La vânzare / Z-report</t>
        </is>
      </c>
      <c r="F8" s="65" t="inlineStr">
        <is>
          <t>Descărcare proporțională (nu doar cost)</t>
        </is>
      </c>
    </row>
    <row r="9" ht="31.5" customHeight="1" s="40">
      <c r="A9" s="65" t="n">
        <v>4</v>
      </c>
      <c r="B9" s="65" t="inlineStr">
        <is>
          <t>531/512</t>
        </is>
      </c>
      <c r="C9" s="65" t="inlineStr">
        <is>
          <t>707 + 4427</t>
        </is>
      </c>
      <c r="D9" s="65" t="inlineStr">
        <is>
          <t>bază + TVA = PVA vândut</t>
        </is>
      </c>
      <c r="E9" s="65" t="inlineStr">
        <is>
          <t>La vânzare</t>
        </is>
      </c>
      <c r="F9" s="65" t="inlineStr">
        <is>
          <t>Venit pe bază (cost+adaos), TVA colectată</t>
        </is>
      </c>
    </row>
    <row r="10" ht="31.5" customHeight="1" s="40">
      <c r="A10" s="65" t="n">
        <v>5</v>
      </c>
      <c r="B10" s="65" t="inlineStr">
        <is>
          <t>4427</t>
        </is>
      </c>
      <c r="C10" s="65" t="inlineStr">
        <is>
          <t>4426 + 4423</t>
        </is>
      </c>
      <c r="D10" s="65" t="inlineStr">
        <is>
          <t>rulaje lunare</t>
        </is>
      </c>
      <c r="E10" s="65" t="inlineStr">
        <is>
          <t>La închidere TVA</t>
        </is>
      </c>
      <c r="F10" s="65" t="inlineStr">
        <is>
          <t>Vezi MOD_INCHIDERE_TVA</t>
        </is>
      </c>
    </row>
    <row r="11" ht="31.5" customHeight="1" s="40">
      <c r="A11" s="65" t="n">
        <v>6</v>
      </c>
      <c r="B11" s="65" t="inlineStr">
        <is>
          <t>707 + 4427</t>
        </is>
      </c>
      <c r="C11" s="65" t="inlineStr">
        <is>
          <t>411/531</t>
        </is>
      </c>
      <c r="D11" s="65" t="inlineStr">
        <is>
          <t>proporțional retur</t>
        </is>
      </c>
      <c r="E11" s="65" t="inlineStr">
        <is>
          <t>La retur client</t>
        </is>
      </c>
      <c r="F11" s="65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0" t="inlineStr">
        <is>
          <t>ID</t>
        </is>
      </c>
      <c r="B14" s="70" t="inlineStr">
        <is>
          <t>Formulă</t>
        </is>
      </c>
      <c r="C14" s="70" t="inlineStr">
        <is>
          <t>Când</t>
        </is>
      </c>
      <c r="D14" s="70" t="inlineStr">
        <is>
          <t>Ce o rupe legitim</t>
        </is>
      </c>
      <c r="E14" s="70" t="inlineStr">
        <is>
          <t>Ce o rupe suspect</t>
        </is>
      </c>
      <c r="F14" s="70" t="inlineStr">
        <is>
          <t>Flux</t>
        </is>
      </c>
    </row>
    <row r="15" ht="36" customHeight="1" s="40">
      <c r="A15" s="65" t="inlineStr">
        <is>
          <t>C-01</t>
        </is>
      </c>
      <c r="B15" s="65" t="inlineStr">
        <is>
          <t>sold 371 × c/(100+c) = sold 4428</t>
        </is>
      </c>
      <c r="C15" s="65" t="inlineStr">
        <is>
          <t>Pe gestiune+cotă, oricând</t>
        </is>
      </c>
      <c r="D15" s="65" t="inlineStr">
        <is>
          <t>Vânzare parțială, retur, transfer gestiuni</t>
        </is>
      </c>
      <c r="E15" s="65" t="inlineStr">
        <is>
          <t>4428 omis; descărcare fără 378/4428</t>
        </is>
      </c>
      <c r="F15" s="65" t="inlineStr">
        <is>
          <t>F-316, F-318, F-317</t>
        </is>
      </c>
    </row>
    <row r="16" ht="36" customHeight="1" s="40">
      <c r="A16" s="65" t="inlineStr">
        <is>
          <t>C-02</t>
        </is>
      </c>
      <c r="B16" s="65" t="inlineStr">
        <is>
          <t>707 − 607 = rulaj D 378</t>
        </is>
      </c>
      <c r="C16" s="65" t="inlineStr">
        <is>
          <t>Pe perioadă</t>
        </is>
      </c>
      <c r="D16" s="65" t="inlineStr">
        <is>
          <t>Retur, 709, discount furnizor pe stoc vândut</t>
        </is>
      </c>
      <c r="E16" s="65" t="inlineStr">
        <is>
          <t>607 greșit; 378 nestins</t>
        </is>
      </c>
      <c r="F16" s="65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68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68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68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68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68" t="str">
        <f>IF(ABS(B34)&lt;0.01,"OK","EROARE")</f>
        <v>OK</v>
      </c>
    </row>
    <row r="36" ht="15" customHeight="1" s="40">
      <c r="A36" s="69" t="inlineStr">
        <is>
          <t>Check global</t>
        </is>
      </c>
      <c r="B36" s="39">
        <f>ABS(B9)+ABS(B14)+ABS(B22)+ABS(B28)+ABS(B34)</f>
        <v>0</v>
      </c>
      <c r="C36" s="68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1" t="n">
        <v>1</v>
      </c>
      <c r="B5" s="71" t="inlineStr">
        <is>
          <t>B1</t>
        </is>
      </c>
      <c r="C5" s="71" t="str">
        <f>Declarații_AMANUNT!B8</f>
        <v>2026-07-05</v>
      </c>
      <c r="D5" s="71" t="str">
        <f>Jurnale_AMANUNT!B6</f>
        <v>371.AM.21</v>
      </c>
      <c r="E5" s="71" t="str">
        <f>Jurnale_AMANUNT!E6</f>
        <v>401.RO</v>
      </c>
      <c r="F5" s="72">
        <f>Jurnale_AMANUNT!F6</f>
        <v>10000</v>
      </c>
      <c r="G5" s="71" t="inlineStr">
        <is>
          <t>Cost</t>
        </is>
      </c>
      <c r="H5" s="71" t="inlineStr">
        <is>
          <t>Amănunt</t>
        </is>
      </c>
      <c r="I5" s="71" t="str">
        <f>IF(AND(ISNUMBER(F5),F5&gt;0),"DA","NU")</f>
        <v>DA</v>
      </c>
    </row>
    <row r="6" ht="15" customHeight="1" s="40">
      <c r="A6" s="71" t="n">
        <v>2</v>
      </c>
      <c r="B6" s="71" t="inlineStr">
        <is>
          <t>B1</t>
        </is>
      </c>
      <c r="C6" s="71" t="str">
        <f>Declarații_AMANUNT!B8</f>
        <v>2026-07-05</v>
      </c>
      <c r="D6" s="71" t="str">
        <f>Jurnale_AMANUNT!B6</f>
        <v>371.AM.21</v>
      </c>
      <c r="E6" s="71" t="str">
        <f>Jurnale_AMANUNT!E7</f>
        <v>378.AM.21</v>
      </c>
      <c r="F6" s="72">
        <f>Jurnale_AMANUNT!F7</f>
        <v>3000</v>
      </c>
      <c r="G6" s="71" t="inlineStr">
        <is>
          <t>Adaos</t>
        </is>
      </c>
      <c r="H6" s="71" t="inlineStr">
        <is>
          <t>Amănunt</t>
        </is>
      </c>
      <c r="I6" s="71" t="str">
        <f>IF(AND(ISNUMBER(F6),F6&gt;0),"DA","NU")</f>
        <v>DA</v>
      </c>
    </row>
    <row r="7" ht="15" customHeight="1" s="40">
      <c r="A7" s="71" t="n">
        <v>3</v>
      </c>
      <c r="B7" s="71" t="inlineStr">
        <is>
          <t>B1</t>
        </is>
      </c>
      <c r="C7" s="71" t="str">
        <f>Declarații_AMANUNT!B8</f>
        <v>2026-07-05</v>
      </c>
      <c r="D7" s="71" t="str">
        <f>Jurnale_AMANUNT!B6</f>
        <v>371.AM.21</v>
      </c>
      <c r="E7" s="71" t="str">
        <f>Jurnale_AMANUNT!E8</f>
        <v>4428.AM</v>
      </c>
      <c r="F7" s="72">
        <f>Jurnale_AMANUNT!F8</f>
        <v>2730</v>
      </c>
      <c r="G7" s="71" t="inlineStr">
        <is>
          <t>TVA PVA</t>
        </is>
      </c>
      <c r="H7" s="71" t="inlineStr">
        <is>
          <t>Amănunt</t>
        </is>
      </c>
      <c r="I7" s="71" t="str">
        <f>IF(AND(ISNUMBER(F7),F7&gt;0),"DA","NU")</f>
        <v>DA</v>
      </c>
    </row>
    <row r="8" ht="15" customHeight="1" s="40">
      <c r="A8" s="71" t="n">
        <v>4</v>
      </c>
      <c r="B8" s="71" t="inlineStr">
        <is>
          <t>B2</t>
        </is>
      </c>
      <c r="C8" s="71" t="str">
        <f>Declarații_AMANUNT!B8</f>
        <v>2026-07-05</v>
      </c>
      <c r="D8" s="71" t="str">
        <f>Jurnale_AMANUNT!B13</f>
        <v>4426</v>
      </c>
      <c r="E8" s="71" t="str">
        <f>Jurnale_AMANUNT!E13</f>
        <v>401.RO</v>
      </c>
      <c r="F8" s="72">
        <f>Jurnale_AMANUNT!C13</f>
        <v>2100</v>
      </c>
      <c r="G8" s="71" t="inlineStr">
        <is>
          <t>TVA ded</t>
        </is>
      </c>
      <c r="H8" s="71" t="inlineStr">
        <is>
          <t>Amănunt</t>
        </is>
      </c>
      <c r="I8" s="71" t="str">
        <f>IF(AND(ISNUMBER(F8),F8&gt;0),"DA","NU")</f>
        <v>DA</v>
      </c>
    </row>
    <row r="9" ht="15" customHeight="1" s="40">
      <c r="A9" s="71" t="n">
        <v>5</v>
      </c>
      <c r="B9" s="71" t="inlineStr">
        <is>
          <t>B3</t>
        </is>
      </c>
      <c r="C9" s="71" t="str">
        <f>Declarații_AMANUNT!B9</f>
        <v>2026-07-31</v>
      </c>
      <c r="D9" s="71" t="str">
        <f>Jurnale_AMANUNT!B19</f>
        <v>607</v>
      </c>
      <c r="E9" s="71" t="str">
        <f>Jurnale_AMANUNT!E19</f>
        <v>371.AM.21</v>
      </c>
      <c r="F9" s="72">
        <f>Jurnale_AMANUNT!C19</f>
        <v>10000</v>
      </c>
      <c r="G9" s="71" t="inlineStr">
        <is>
          <t>Desc cost</t>
        </is>
      </c>
      <c r="H9" s="71" t="inlineStr">
        <is>
          <t>Amănunt</t>
        </is>
      </c>
      <c r="I9" s="71" t="str">
        <f>IF(AND(ISNUMBER(F9),F9&gt;0),"DA","NU")</f>
        <v>DA</v>
      </c>
    </row>
    <row r="10" ht="15" customHeight="1" s="40">
      <c r="A10" s="71" t="n">
        <v>6</v>
      </c>
      <c r="B10" s="71" t="inlineStr">
        <is>
          <t>B3</t>
        </is>
      </c>
      <c r="C10" s="71" t="str">
        <f>Declarații_AMANUNT!B9</f>
        <v>2026-07-31</v>
      </c>
      <c r="D10" s="71" t="str">
        <f>Jurnale_AMANUNT!B20</f>
        <v>378.AM.21</v>
      </c>
      <c r="E10" s="71" t="str">
        <f>Jurnale_AMANUNT!E19</f>
        <v>371.AM.21</v>
      </c>
      <c r="F10" s="72">
        <f>Jurnale_AMANUNT!C20</f>
        <v>3000</v>
      </c>
      <c r="G10" s="71" t="inlineStr">
        <is>
          <t>Desc adaos</t>
        </is>
      </c>
      <c r="H10" s="71" t="inlineStr">
        <is>
          <t>Amănunt</t>
        </is>
      </c>
      <c r="I10" s="71" t="str">
        <f>IF(AND(ISNUMBER(F10),F10&gt;0),"DA","NU")</f>
        <v>DA</v>
      </c>
    </row>
    <row r="11" ht="15" customHeight="1" s="40">
      <c r="A11" s="71" t="n">
        <v>7</v>
      </c>
      <c r="B11" s="71" t="inlineStr">
        <is>
          <t>B3</t>
        </is>
      </c>
      <c r="C11" s="71" t="str">
        <f>Declarații_AMANUNT!B9</f>
        <v>2026-07-31</v>
      </c>
      <c r="D11" s="71" t="str">
        <f>Jurnale_AMANUNT!B21</f>
        <v>4428.AM</v>
      </c>
      <c r="E11" s="71" t="str">
        <f>Jurnale_AMANUNT!E19</f>
        <v>371.AM.21</v>
      </c>
      <c r="F11" s="72">
        <f>Jurnale_AMANUNT!C21</f>
        <v>2730</v>
      </c>
      <c r="G11" s="71" t="inlineStr">
        <is>
          <t>Desc 4428</t>
        </is>
      </c>
      <c r="H11" s="71" t="inlineStr">
        <is>
          <t>Amănunt</t>
        </is>
      </c>
      <c r="I11" s="71" t="str">
        <f>IF(AND(ISNUMBER(F11),F11&gt;0),"DA","NU")</f>
        <v>DA</v>
      </c>
    </row>
    <row r="12" ht="15" customHeight="1" s="40">
      <c r="A12" s="71" t="n">
        <v>8</v>
      </c>
      <c r="B12" s="71" t="inlineStr">
        <is>
          <t>B4</t>
        </is>
      </c>
      <c r="C12" s="71" t="str">
        <f>Declarații_AMANUNT!B9</f>
        <v>2026-07-31</v>
      </c>
      <c r="D12" s="71" t="str">
        <f>Jurnale_AMANUNT!B26</f>
        <v>531.1</v>
      </c>
      <c r="E12" s="71" t="str">
        <f>Jurnale_AMANUNT!E26</f>
        <v>707</v>
      </c>
      <c r="F12" s="72">
        <f>Jurnale_AMANUNT!F26</f>
        <v>13000</v>
      </c>
      <c r="G12" s="71" t="inlineStr">
        <is>
          <t>Venit</t>
        </is>
      </c>
      <c r="H12" s="71" t="inlineStr">
        <is>
          <t>Amănunt</t>
        </is>
      </c>
      <c r="I12" s="71" t="str">
        <f>IF(AND(ISNUMBER(F12),F12&gt;0),"DA","NU")</f>
        <v>DA</v>
      </c>
    </row>
    <row r="13" ht="15" customHeight="1" s="40">
      <c r="A13" s="71" t="n">
        <v>9</v>
      </c>
      <c r="B13" s="71" t="inlineStr">
        <is>
          <t>B4</t>
        </is>
      </c>
      <c r="C13" s="71" t="str">
        <f>Declarații_AMANUNT!B9</f>
        <v>2026-07-31</v>
      </c>
      <c r="D13" s="71" t="str">
        <f>Jurnale_AMANUNT!B26</f>
        <v>531.1</v>
      </c>
      <c r="E13" s="71" t="str">
        <f>Jurnale_AMANUNT!E27</f>
        <v>4427</v>
      </c>
      <c r="F13" s="72">
        <f>Jurnale_AMANUNT!F27</f>
        <v>2730</v>
      </c>
      <c r="G13" s="71" t="inlineStr">
        <is>
          <t>TVA col</t>
        </is>
      </c>
      <c r="H13" s="71" t="inlineStr">
        <is>
          <t>Amănunt</t>
        </is>
      </c>
      <c r="I13" s="71" t="str">
        <f>IF(AND(ISNUMBER(F13),F13&gt;0),"DA","NU")</f>
        <v>DA</v>
      </c>
    </row>
    <row r="14" ht="15" customHeight="1" s="40">
      <c r="A14" s="71" t="n">
        <v>10</v>
      </c>
      <c r="B14" s="71" t="inlineStr">
        <is>
          <t>B5</t>
        </is>
      </c>
      <c r="C14" s="71" t="str">
        <f>Declarații_AMANUNT!B9</f>
        <v>2026-07-31</v>
      </c>
      <c r="D14" s="71" t="str">
        <f>Jurnale_AMANUNT!B32</f>
        <v>4427</v>
      </c>
      <c r="E14" s="71" t="str">
        <f>Jurnale_AMANUNT!E32</f>
        <v>4426</v>
      </c>
      <c r="F14" s="72">
        <f>Jurnale_AMANUNT!F32</f>
        <v>2100</v>
      </c>
      <c r="G14" s="71" t="inlineStr">
        <is>
          <t>Înch 4426</t>
        </is>
      </c>
      <c r="H14" s="71" t="inlineStr">
        <is>
          <t>Amănunt</t>
        </is>
      </c>
      <c r="I14" s="71" t="str">
        <f>IF(AND(ISNUMBER(F14),F14&gt;0),"DA","NU")</f>
        <v>DA</v>
      </c>
    </row>
    <row r="15" ht="15" customHeight="1" s="40">
      <c r="A15" s="71" t="n">
        <v>11</v>
      </c>
      <c r="B15" s="71" t="inlineStr">
        <is>
          <t>B5</t>
        </is>
      </c>
      <c r="C15" s="71" t="str">
        <f>Declarații_AMANUNT!B9</f>
        <v>2026-07-31</v>
      </c>
      <c r="D15" s="71" t="str">
        <f>Jurnale_AMANUNT!B32</f>
        <v>4427</v>
      </c>
      <c r="E15" s="71" t="str">
        <f>Jurnale_AMANUNT!E33</f>
        <v>4423</v>
      </c>
      <c r="F15" s="72">
        <f>Jurnale_AMANUNT!F33</f>
        <v>630</v>
      </c>
      <c r="G15" s="71" t="inlineStr">
        <is>
          <t>TVA plată</t>
        </is>
      </c>
      <c r="H15" s="71" t="inlineStr">
        <is>
          <t>Amănunt</t>
        </is>
      </c>
      <c r="I15" s="71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2" t="n">
        <v>5000</v>
      </c>
    </row>
    <row r="12" ht="15" customHeight="1" s="40">
      <c r="A12" s="39" t="inlineStr">
        <is>
          <t>Cotă TVA</t>
        </is>
      </c>
      <c r="B12" s="64" t="n">
        <v>0.21</v>
      </c>
    </row>
    <row r="13" ht="15" customHeight="1" s="40">
      <c r="A13" s="39" t="inlineStr">
        <is>
          <t>TVA achiziție</t>
        </is>
      </c>
      <c r="B13" s="63">
        <f>B11*B12</f>
        <v>1050</v>
      </c>
    </row>
    <row r="14" ht="15" customHeight="1" s="40">
      <c r="A14" s="39" t="inlineStr">
        <is>
          <t>Total factură achiziție</t>
        </is>
      </c>
      <c r="B14" s="63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2" t="n">
        <v>8000</v>
      </c>
    </row>
    <row r="20" ht="15" customHeight="1" s="40">
      <c r="A20" s="39" t="inlineStr">
        <is>
          <t>TVA vânzare</t>
        </is>
      </c>
      <c r="B20" s="63">
        <f>B19*B12</f>
        <v>1680</v>
      </c>
    </row>
    <row r="21" ht="15" customHeight="1" s="40">
      <c r="A21" s="39" t="inlineStr">
        <is>
          <t>Total factură vânzare</t>
        </is>
      </c>
      <c r="B21" s="63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1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0" t="inlineStr">
        <is>
          <t>Pas</t>
        </is>
      </c>
      <c r="B5" s="70" t="inlineStr">
        <is>
          <t>Cont Dr</t>
        </is>
      </c>
      <c r="C5" s="70" t="inlineStr">
        <is>
          <t>Cont Cr</t>
        </is>
      </c>
      <c r="D5" s="70" t="inlineStr">
        <is>
          <t>Sumă (sursă)</t>
        </is>
      </c>
      <c r="E5" s="70" t="inlineStr">
        <is>
          <t>Condiție</t>
        </is>
      </c>
      <c r="F5" s="70" t="inlineStr">
        <is>
          <t>Temei / observație</t>
        </is>
      </c>
    </row>
    <row r="6" ht="31.5" customHeight="1" s="40">
      <c r="A6" s="65" t="n">
        <v>1</v>
      </c>
      <c r="B6" s="65" t="inlineStr">
        <is>
          <t>3xx/6xx + 4428.INC</t>
        </is>
      </c>
      <c r="C6" s="65" t="inlineStr">
        <is>
          <t>401</t>
        </is>
      </c>
      <c r="D6" s="65" t="inlineStr">
        <is>
          <t>net + TVA</t>
        </is>
      </c>
      <c r="E6" s="65" t="inlineStr">
        <is>
          <t>La factură achiziție (regim TVA la încasare)</t>
        </is>
      </c>
      <c r="F6" s="65" t="inlineStr">
        <is>
          <t>TVA NU intră pe 4426 la factură</t>
        </is>
      </c>
    </row>
    <row r="7" ht="31.5" customHeight="1" s="40">
      <c r="A7" s="65" t="n">
        <v>2</v>
      </c>
      <c r="B7" s="65" t="inlineStr">
        <is>
          <t>401</t>
        </is>
      </c>
      <c r="C7" s="65" t="inlineStr">
        <is>
          <t>512</t>
        </is>
      </c>
      <c r="D7" s="65" t="inlineStr">
        <is>
          <t>total factură</t>
        </is>
      </c>
      <c r="E7" s="65" t="inlineStr">
        <is>
          <t>La plată furnizor</t>
        </is>
      </c>
      <c r="F7" s="65" t="inlineStr">
        <is>
          <t>Stingere datorie</t>
        </is>
      </c>
    </row>
    <row r="8" ht="31.5" customHeight="1" s="40">
      <c r="A8" s="65" t="n">
        <v>3</v>
      </c>
      <c r="B8" s="65" t="inlineStr">
        <is>
          <t>4426</t>
        </is>
      </c>
      <c r="C8" s="65" t="inlineStr">
        <is>
          <t>4428.INC</t>
        </is>
      </c>
      <c r="D8" s="65" t="inlineStr">
        <is>
          <t>TVA</t>
        </is>
      </c>
      <c r="E8" s="65" t="inlineStr">
        <is>
          <t>La plată (același moment sau ulterior)</t>
        </is>
      </c>
      <c r="F8" s="65" t="inlineStr">
        <is>
          <t>TVA devine exigibilă / deductibilă</t>
        </is>
      </c>
    </row>
    <row r="9" ht="31.5" customHeight="1" s="40">
      <c r="A9" s="65" t="n">
        <v>4</v>
      </c>
      <c r="B9" s="65" t="inlineStr">
        <is>
          <t>411</t>
        </is>
      </c>
      <c r="C9" s="65" t="inlineStr">
        <is>
          <t>7xx + 4428.INC</t>
        </is>
      </c>
      <c r="D9" s="65" t="inlineStr">
        <is>
          <t>net + TVA</t>
        </is>
      </c>
      <c r="E9" s="65" t="inlineStr">
        <is>
          <t>La factură vânzare (regim TVA la încasare)</t>
        </is>
      </c>
      <c r="F9" s="65" t="inlineStr">
        <is>
          <t>TVA NU intră pe 4427 la factură</t>
        </is>
      </c>
    </row>
    <row r="10" ht="31.5" customHeight="1" s="40">
      <c r="A10" s="65" t="n">
        <v>5</v>
      </c>
      <c r="B10" s="65" t="inlineStr">
        <is>
          <t>512</t>
        </is>
      </c>
      <c r="C10" s="65" t="inlineStr">
        <is>
          <t>411</t>
        </is>
      </c>
      <c r="D10" s="65" t="inlineStr">
        <is>
          <t>total factură</t>
        </is>
      </c>
      <c r="E10" s="65" t="inlineStr">
        <is>
          <t>La încasare client</t>
        </is>
      </c>
      <c r="F10" s="65" t="inlineStr">
        <is>
          <t>Stingere creanță</t>
        </is>
      </c>
    </row>
    <row r="11" ht="31.5" customHeight="1" s="40">
      <c r="A11" s="65" t="n">
        <v>6</v>
      </c>
      <c r="B11" s="65" t="inlineStr">
        <is>
          <t>4428.INC</t>
        </is>
      </c>
      <c r="C11" s="65" t="inlineStr">
        <is>
          <t>4427</t>
        </is>
      </c>
      <c r="D11" s="65" t="inlineStr">
        <is>
          <t>TVA</t>
        </is>
      </c>
      <c r="E11" s="65" t="inlineStr">
        <is>
          <t>La încasare</t>
        </is>
      </c>
      <c r="F11" s="65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68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68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68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68" t="str">
        <f>IF(ABS(B29)&lt;0.01,"OK","EROARE")</f>
        <v>OK</v>
      </c>
    </row>
    <row r="31" ht="15" customHeight="1" s="40">
      <c r="A31" s="69" t="inlineStr">
        <is>
          <t>Check global</t>
        </is>
      </c>
      <c r="B31" s="39">
        <f>ABS(B8)+ABS(B15)+ABS(B22)+ABS(B29)</f>
        <v>0</v>
      </c>
      <c r="C31" s="68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1" t="n">
        <v>1</v>
      </c>
      <c r="B5" s="71" t="inlineStr">
        <is>
          <t>B1 Ach.</t>
        </is>
      </c>
      <c r="C5" s="71" t="str">
        <f>Declarații_TVA_INC!B9</f>
        <v>2026-07-08</v>
      </c>
      <c r="D5" s="71" t="str">
        <f>Jurnale_TVA_INC!B6</f>
        <v>301</v>
      </c>
      <c r="E5" s="71" t="str">
        <f>Jurnale_TVA_INC!E6</f>
        <v>401.RO</v>
      </c>
      <c r="F5" s="72">
        <f>Jurnale_TVA_INC!C6</f>
        <v>5000</v>
      </c>
      <c r="G5" s="71" t="inlineStr">
        <is>
          <t>TVA la încasare</t>
        </is>
      </c>
      <c r="H5" s="71" t="inlineStr">
        <is>
          <t>F-401</t>
        </is>
      </c>
      <c r="I5" s="71" t="str">
        <f>IF(AND(ISNUMBER(F5),F5&gt;0),"DA","NU")</f>
        <v>DA</v>
      </c>
    </row>
    <row r="6" ht="15" customHeight="1" s="40">
      <c r="A6" s="71" t="n">
        <v>2</v>
      </c>
      <c r="B6" s="71" t="inlineStr">
        <is>
          <t>B1 Ach.</t>
        </is>
      </c>
      <c r="C6" s="71" t="str">
        <f>Declarații_TVA_INC!B9</f>
        <v>2026-07-08</v>
      </c>
      <c r="D6" s="71" t="str">
        <f>Jurnale_TVA_INC!B7</f>
        <v>4428.INC</v>
      </c>
      <c r="E6" s="71" t="str">
        <f>Jurnale_TVA_INC!E6</f>
        <v>401.RO</v>
      </c>
      <c r="F6" s="72">
        <f>Jurnale_TVA_INC!C7</f>
        <v>1050</v>
      </c>
      <c r="G6" s="71" t="inlineStr">
        <is>
          <t>TVA la încasare</t>
        </is>
      </c>
      <c r="H6" s="71" t="inlineStr">
        <is>
          <t>F-401</t>
        </is>
      </c>
      <c r="I6" s="71" t="str">
        <f>IF(AND(ISNUMBER(F6),F6&gt;0),"DA","NU")</f>
        <v>DA</v>
      </c>
    </row>
    <row r="7" ht="15" customHeight="1" s="40">
      <c r="A7" s="71" t="n">
        <v>3</v>
      </c>
      <c r="B7" s="71" t="inlineStr">
        <is>
          <t>B2 Plată</t>
        </is>
      </c>
      <c r="C7" s="71" t="str">
        <f>Declarații_TVA_INC!B10</f>
        <v>2026-07-20</v>
      </c>
      <c r="D7" s="71" t="str">
        <f>Jurnale_TVA_INC!B13</f>
        <v>401.RO</v>
      </c>
      <c r="E7" s="71" t="str">
        <f>Jurnale_TVA_INC!E13</f>
        <v>512.1</v>
      </c>
      <c r="F7" s="72">
        <f>Jurnale_TVA_INC!C13</f>
        <v>6050</v>
      </c>
      <c r="G7" s="71" t="inlineStr">
        <is>
          <t>TVA la încasare</t>
        </is>
      </c>
      <c r="H7" s="71" t="inlineStr">
        <is>
          <t>F-401</t>
        </is>
      </c>
      <c r="I7" s="71" t="str">
        <f>IF(AND(ISNUMBER(F7),F7&gt;0),"DA","NU")</f>
        <v>DA</v>
      </c>
    </row>
    <row r="8" ht="15" customHeight="1" s="40">
      <c r="A8" s="71" t="n">
        <v>4</v>
      </c>
      <c r="B8" s="71" t="inlineStr">
        <is>
          <t>B2 Plată</t>
        </is>
      </c>
      <c r="C8" s="71" t="str">
        <f>Declarații_TVA_INC!B10</f>
        <v>2026-07-20</v>
      </c>
      <c r="D8" s="71" t="str">
        <f>Jurnale_TVA_INC!B14</f>
        <v>4426</v>
      </c>
      <c r="E8" s="71" t="str">
        <f>Jurnale_TVA_INC!E14</f>
        <v>4428.INC</v>
      </c>
      <c r="F8" s="72">
        <f>Jurnale_TVA_INC!C14</f>
        <v>1050</v>
      </c>
      <c r="G8" s="71" t="inlineStr">
        <is>
          <t>TVA la încasare</t>
        </is>
      </c>
      <c r="H8" s="71" t="inlineStr">
        <is>
          <t>F-401</t>
        </is>
      </c>
      <c r="I8" s="71" t="str">
        <f>IF(AND(ISNUMBER(F8),F8&gt;0),"DA","NU")</f>
        <v>DA</v>
      </c>
    </row>
    <row r="9" ht="15" customHeight="1" s="40">
      <c r="A9" s="71" t="n">
        <v>5</v>
      </c>
      <c r="B9" s="71" t="inlineStr">
        <is>
          <t>B3 Vânz.</t>
        </is>
      </c>
      <c r="C9" s="71" t="str">
        <f>Declarații_TVA_INC!B17</f>
        <v>2026-07-12</v>
      </c>
      <c r="D9" s="71" t="str">
        <f>Jurnale_TVA_INC!B20</f>
        <v>411.RO</v>
      </c>
      <c r="E9" s="71" t="str">
        <f>Jurnale_TVA_INC!E20</f>
        <v>707</v>
      </c>
      <c r="F9" s="72">
        <f>Jurnale_TVA_INC!F20</f>
        <v>8000</v>
      </c>
      <c r="G9" s="71" t="inlineStr">
        <is>
          <t>TVA la încasare</t>
        </is>
      </c>
      <c r="H9" s="71" t="inlineStr">
        <is>
          <t>F-401</t>
        </is>
      </c>
      <c r="I9" s="71" t="str">
        <f>IF(AND(ISNUMBER(F9),F9&gt;0),"DA","NU")</f>
        <v>DA</v>
      </c>
    </row>
    <row r="10" ht="15" customHeight="1" s="40">
      <c r="A10" s="71" t="n">
        <v>6</v>
      </c>
      <c r="B10" s="71" t="inlineStr">
        <is>
          <t>B3 Vânz.</t>
        </is>
      </c>
      <c r="C10" s="71" t="str">
        <f>Declarații_TVA_INC!B17</f>
        <v>2026-07-12</v>
      </c>
      <c r="D10" s="71" t="str">
        <f>Jurnale_TVA_INC!B20</f>
        <v>411.RO</v>
      </c>
      <c r="E10" s="71" t="str">
        <f>Jurnale_TVA_INC!E21</f>
        <v>4428.INC</v>
      </c>
      <c r="F10" s="72">
        <f>Jurnale_TVA_INC!F21</f>
        <v>1680</v>
      </c>
      <c r="G10" s="71" t="inlineStr">
        <is>
          <t>TVA la încasare</t>
        </is>
      </c>
      <c r="H10" s="71" t="inlineStr">
        <is>
          <t>F-401</t>
        </is>
      </c>
      <c r="I10" s="71" t="str">
        <f>IF(AND(ISNUMBER(F10),F10&gt;0),"DA","NU")</f>
        <v>DA</v>
      </c>
    </row>
    <row r="11" ht="15" customHeight="1" s="40">
      <c r="A11" s="71" t="n">
        <v>7</v>
      </c>
      <c r="B11" s="71" t="inlineStr">
        <is>
          <t>B4 Înc.</t>
        </is>
      </c>
      <c r="C11" s="71" t="str">
        <f>Declarații_TVA_INC!B18</f>
        <v>2026-07-28</v>
      </c>
      <c r="D11" s="71" t="str">
        <f>Jurnale_TVA_INC!B27</f>
        <v>512.1</v>
      </c>
      <c r="E11" s="71" t="str">
        <f>Jurnale_TVA_INC!E27</f>
        <v>411.RO</v>
      </c>
      <c r="F11" s="72">
        <f>Jurnale_TVA_INC!C27</f>
        <v>9680</v>
      </c>
      <c r="G11" s="71" t="inlineStr">
        <is>
          <t>TVA la încasare</t>
        </is>
      </c>
      <c r="H11" s="71" t="inlineStr">
        <is>
          <t>F-401</t>
        </is>
      </c>
      <c r="I11" s="71" t="str">
        <f>IF(AND(ISNUMBER(F11),F11&gt;0),"DA","NU")</f>
        <v>DA</v>
      </c>
    </row>
    <row r="12" ht="15" customHeight="1" s="40">
      <c r="A12" s="71" t="n">
        <v>8</v>
      </c>
      <c r="B12" s="71" t="inlineStr">
        <is>
          <t>B4 Înc.</t>
        </is>
      </c>
      <c r="C12" s="71" t="str">
        <f>Declarații_TVA_INC!B18</f>
        <v>2026-07-28</v>
      </c>
      <c r="D12" s="71" t="str">
        <f>Jurnale_TVA_INC!B28</f>
        <v>4428.INC</v>
      </c>
      <c r="E12" s="71" t="str">
        <f>Jurnale_TVA_INC!E28</f>
        <v>4427</v>
      </c>
      <c r="F12" s="72">
        <f>Jurnale_TVA_INC!C28</f>
        <v>1680</v>
      </c>
      <c r="G12" s="71" t="inlineStr">
        <is>
          <t>TVA la încasare</t>
        </is>
      </c>
      <c r="H12" s="71" t="inlineStr">
        <is>
          <t>F-401</t>
        </is>
      </c>
      <c r="I12" s="71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3" t="inlineStr">
        <is>
          <t>MOD_CAPITALURI — Declarații (input)</t>
        </is>
      </c>
    </row>
    <row r="2">
      <c r="A2" s="74" t="inlineStr">
        <is>
          <t>Completează doar celulele galbene cu scris albastru. Restul sunt formule sau text fix.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Exercițiu financiar (anul N)</t>
        </is>
      </c>
      <c r="B6" s="77" t="n">
        <v>2026</v>
      </c>
    </row>
    <row r="7">
      <c r="A7" s="76" t="inlineStr">
        <is>
          <t>Data notei de repartizare (31.12.N)</t>
        </is>
      </c>
      <c r="B7" s="77" t="inlineStr">
        <is>
          <t>2026-12-31</t>
        </is>
      </c>
    </row>
    <row r="8">
      <c r="A8" s="76" t="inlineStr">
        <is>
          <t>Data notei de închidere (ianuarie N+1)</t>
        </is>
      </c>
      <c r="B8" s="77" t="inlineStr">
        <is>
          <t>2027-01-05</t>
        </is>
      </c>
    </row>
    <row r="10">
      <c r="A10" s="75" t="inlineStr">
        <is>
          <t>2. Date din balanță</t>
        </is>
      </c>
    </row>
    <row r="11">
      <c r="A11" s="76" t="inlineStr">
        <is>
          <t>Sold creditor 121 (după închiderea cls. 6 și 7)</t>
        </is>
      </c>
      <c r="B11" s="77" t="n">
        <v>2500</v>
      </c>
    </row>
    <row r="12">
      <c r="A12" s="76" t="inlineStr">
        <is>
          <t>Rulaj 691 (cheltuiala cu impozitul pe profit)</t>
        </is>
      </c>
      <c r="B12" s="77" t="n">
        <v>0</v>
      </c>
    </row>
    <row r="13">
      <c r="A13" s="76" t="inlineStr">
        <is>
          <t>Capital social subscris ȘI VĂRSAT (1012)</t>
        </is>
      </c>
      <c r="B13" s="77" t="n">
        <v>5000</v>
      </c>
      <c r="C13" s="74" t="inlineStr">
        <is>
          <t>Partea nevărsată din 1011 NU intră în plafon</t>
        </is>
      </c>
    </row>
    <row r="14">
      <c r="A14" s="76" t="inlineStr">
        <is>
          <t>Sold 1061 deja constituit</t>
        </is>
      </c>
      <c r="B14" s="77" t="n">
        <v>0</v>
      </c>
    </row>
    <row r="15">
      <c r="A15" s="76" t="inlineStr">
        <is>
          <t>Pierdere contabilă reportată de acoperit (1171 sold D)</t>
        </is>
      </c>
      <c r="B15" s="77" t="n">
        <v>0</v>
      </c>
    </row>
    <row r="16">
      <c r="A16" s="76" t="inlineStr">
        <is>
          <t>Capitaluri proprii (activ net) din bilanț</t>
        </is>
      </c>
      <c r="B16" s="77" t="n">
        <v>5000</v>
      </c>
      <c r="C16" s="74" t="inlineStr">
        <is>
          <t>Se ia din bilanț, nu din balanță — vezi C-20</t>
        </is>
      </c>
    </row>
    <row r="18">
      <c r="A18" s="75" t="inlineStr">
        <is>
          <t>3. Rezerva legală — dublul plafon (nu edita)</t>
        </is>
      </c>
    </row>
    <row r="19">
      <c r="A19" s="76" t="inlineStr">
        <is>
          <t>Profit contabil brut (121 + 691)</t>
        </is>
      </c>
      <c r="B19" s="76">
        <f>B11+B12</f>
        <v>2500</v>
      </c>
    </row>
    <row r="20">
      <c r="A20" s="76" t="inlineStr">
        <is>
          <t>Limita fiscală: 5% din profitul brut</t>
        </is>
      </c>
      <c r="B20" s="76">
        <f>B19*param_proc_rezerva</f>
        <v>125</v>
      </c>
      <c r="C20" s="74" t="inlineStr">
        <is>
          <t>art. 26 alin. (1) lit. a) Cod fiscal</t>
        </is>
      </c>
    </row>
    <row r="21">
      <c r="A21" s="76" t="inlineStr">
        <is>
          <t>Limita juridică: 20% din capitalul vărsat</t>
        </is>
      </c>
      <c r="B21" s="76">
        <f>B13*param_plafon_rezerva</f>
        <v>1000</v>
      </c>
      <c r="C21" s="74" t="inlineStr">
        <is>
          <t>art. 183 Legea 31/1990</t>
        </is>
      </c>
    </row>
    <row r="22">
      <c r="A22" s="76" t="inlineStr">
        <is>
          <t>Spațiu rămas până la plafon</t>
        </is>
      </c>
      <c r="B22" s="76">
        <f>MAX(0,B21-B14)</f>
        <v>1000</v>
      </c>
    </row>
    <row r="23">
      <c r="A23" s="76" t="inlineStr">
        <is>
          <t>Rezervă legală de constituit</t>
        </is>
      </c>
      <c r="B23" s="76">
        <f>MIN(B20,B22)</f>
        <v>125</v>
      </c>
    </row>
    <row r="24">
      <c r="A24" s="76" t="inlineStr">
        <is>
          <t>Check plafon rezervă</t>
        </is>
      </c>
      <c r="B24" s="76">
        <f>B14+B23</f>
        <v>125</v>
      </c>
      <c r="C24" s="76" t="str">
        <f>IF(B14+B23&lt;=B21+0.001,"OK — sub plafonul de 20%","EROARE — depășire plafon")</f>
        <v>OK — sub plafonul de 20%</v>
      </c>
    </row>
    <row r="26">
      <c r="A26" s="75" t="inlineStr">
        <is>
          <t>4. Repartizare</t>
        </is>
      </c>
    </row>
    <row r="27">
      <c r="A27" s="76" t="inlineStr">
        <is>
          <t>Profit rămas după rezerva legală</t>
        </is>
      </c>
      <c r="B27" s="76">
        <f>B11-B23</f>
        <v>2375</v>
      </c>
    </row>
    <row r="28">
      <c r="A28" s="76" t="inlineStr">
        <is>
          <t>Disponibil de distribuit ca dividende</t>
        </is>
      </c>
      <c r="B28" s="76">
        <f>MAX(0,B27-B15)</f>
        <v>2375</v>
      </c>
    </row>
    <row r="29">
      <c r="A29" s="76" t="inlineStr">
        <is>
          <t>Check pierdere reportată</t>
        </is>
      </c>
      <c r="B29" s="76">
        <f>B15</f>
        <v>0</v>
      </c>
      <c r="C29" s="76" t="str">
        <f>IF(B15&gt;0,"ATENȚIE — acoperă întâi pierderea reportată (L. 239/2025)","OK — fără pierdere reportată")</f>
        <v>OK — fără pierdere reportată</v>
      </c>
    </row>
    <row r="30">
      <c r="A30" s="76" t="inlineStr">
        <is>
          <t>Check activ net ≥ ½ capital social (C-20)</t>
        </is>
      </c>
      <c r="B30" s="76">
        <f>B16</f>
        <v>5000</v>
      </c>
      <c r="C30" s="76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75" t="inlineStr">
        <is>
          <t>5. Corecție erori exerciții anterioare (1174)</t>
        </is>
      </c>
    </row>
    <row r="33">
      <c r="A33" s="76" t="inlineStr">
        <is>
          <t>Bază corecție, fără TVA (0 dacă nu e cazul)</t>
        </is>
      </c>
      <c r="B33" s="77" t="n">
        <v>0</v>
      </c>
    </row>
    <row r="34">
      <c r="A34" s="76" t="inlineStr">
        <is>
          <t>TVA aferentă corecției</t>
        </is>
      </c>
      <c r="B34" s="77" t="n">
        <v>0</v>
      </c>
    </row>
    <row r="35">
      <c r="A35" s="76" t="inlineStr">
        <is>
          <t>Check 1174</t>
        </is>
      </c>
      <c r="B35" s="76">
        <f>B33</f>
        <v>0</v>
      </c>
      <c r="C35" s="76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75" t="inlineStr">
        <is>
          <t>6. Conturi (din planul pe rol)</t>
        </is>
      </c>
    </row>
    <row r="38">
      <c r="A38" s="76" t="inlineStr">
        <is>
          <t>Cont rezultat</t>
        </is>
      </c>
      <c r="B38" s="77" t="n">
        <v>121</v>
      </c>
    </row>
    <row r="39">
      <c r="A39" s="76" t="inlineStr">
        <is>
          <t>Cont repartizarea profitului</t>
        </is>
      </c>
      <c r="B39" s="77" t="n">
        <v>129</v>
      </c>
    </row>
    <row r="40">
      <c r="A40" s="76" t="inlineStr">
        <is>
          <t>Cont rezervă legală</t>
        </is>
      </c>
      <c r="B40" s="77" t="n">
        <v>1061</v>
      </c>
    </row>
    <row r="41">
      <c r="A41" s="76" t="inlineStr">
        <is>
          <t>Cont rezultat reportat (analitic pe an)</t>
        </is>
      </c>
      <c r="B41" s="77" t="inlineStr">
        <is>
          <t>1171.2026</t>
        </is>
      </c>
    </row>
    <row r="42">
      <c r="A42" s="76" t="inlineStr">
        <is>
          <t>Cont dividende de plată</t>
        </is>
      </c>
      <c r="B42" s="77" t="n">
        <v>457</v>
      </c>
    </row>
    <row r="43">
      <c r="A43" s="76" t="inlineStr">
        <is>
          <t>Cont corecții exerciții anterioare</t>
        </is>
      </c>
      <c r="B43" s="77" t="n">
        <v>1174</v>
      </c>
    </row>
    <row r="44">
      <c r="A44" s="76" t="inlineStr">
        <is>
          <t>Cont furnizor</t>
        </is>
      </c>
      <c r="B44" s="77" t="inlineStr">
        <is>
          <t>401.RO</t>
        </is>
      </c>
    </row>
    <row r="45">
      <c r="A45" s="76" t="inlineStr">
        <is>
          <t>Cont TVA deductibilă</t>
        </is>
      </c>
      <c r="B45" s="77" t="n">
        <v>4426</v>
      </c>
    </row>
    <row r="47">
      <c r="A47" s="75" t="inlineStr">
        <is>
          <t>7. Sufix generat</t>
        </is>
      </c>
    </row>
    <row r="48">
      <c r="A48" s="76" t="inlineStr">
        <is>
          <t>Sufix</t>
        </is>
      </c>
      <c r="B48" s="76" t="str">
        <f>"— repartizare rezultat " &amp; B6</f>
        <v>— repartizare rezultat 2026</v>
      </c>
    </row>
    <row r="50">
      <c r="A50" s="76" t="inlineStr">
        <is>
          <t>Modul activ în CatalogModule?</t>
        </is>
      </c>
      <c r="B50" s="76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3" t="inlineStr">
        <is>
          <t>MOD_CAPITALURI — Reguli (tabele fixe)</t>
        </is>
      </c>
    </row>
    <row r="2">
      <c r="A2" s="74" t="inlineStr">
        <is>
          <t>Regula juridică/fiscală e dată, nu formulă. Se editează doar când se schimbă legea.</t>
        </is>
      </c>
    </row>
    <row r="4">
      <c r="A4" s="75" t="inlineStr">
        <is>
          <t>Tabel A — Secvența de repartizare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inlineStr">
        <is>
          <t>1</t>
        </is>
      </c>
      <c r="B6" s="76" t="inlineStr">
        <is>
          <t>129</t>
        </is>
      </c>
      <c r="C6" s="76" t="inlineStr">
        <is>
          <t>1061</t>
        </is>
      </c>
      <c r="D6" s="76" t="inlineStr">
        <is>
          <t>MIN(5% × profit brut; 20% × capital vărsat − rezerva existentă)</t>
        </is>
      </c>
      <c r="E6" s="76" t="inlineStr">
        <is>
          <t>La 31.12.N</t>
        </is>
      </c>
      <c r="F6" s="76" t="inlineStr">
        <is>
          <t>art. 183 L. 31/1990 + art. 26 alin. (1) lit. a) CF</t>
        </is>
      </c>
    </row>
    <row r="7">
      <c r="A7" s="76" t="inlineStr">
        <is>
          <t>2</t>
        </is>
      </c>
      <c r="B7" s="76" t="inlineStr">
        <is>
          <t>121</t>
        </is>
      </c>
      <c r="C7" s="76" t="inlineStr">
        <is>
          <t>129</t>
        </is>
      </c>
      <c r="D7" s="76" t="inlineStr">
        <is>
          <t>cât rezerva constituită</t>
        </is>
      </c>
      <c r="E7" s="76" t="inlineStr">
        <is>
          <t>În ianuarie N+1</t>
        </is>
      </c>
      <c r="F7" s="76" t="inlineStr">
        <is>
          <t>129 are sold DEBITOR → se închide prin creditare. NU `129 = 1171`</t>
        </is>
      </c>
    </row>
    <row r="8">
      <c r="A8" s="76" t="inlineStr">
        <is>
          <t>3</t>
        </is>
      </c>
      <c r="B8" s="76" t="inlineStr">
        <is>
          <t>121</t>
        </is>
      </c>
      <c r="C8" s="76" t="inlineStr">
        <is>
          <t>1171</t>
        </is>
      </c>
      <c r="D8" s="76" t="inlineStr">
        <is>
          <t>profit rămas nerepartizat</t>
        </is>
      </c>
      <c r="E8" s="76" t="inlineStr">
        <is>
          <t>În ianuarie N+1</t>
        </is>
      </c>
      <c r="F8" s="76" t="inlineStr">
        <is>
          <t>1171 cu analitic PE AN (C-21)</t>
        </is>
      </c>
    </row>
    <row r="9">
      <c r="A9" s="76" t="inlineStr">
        <is>
          <t>4</t>
        </is>
      </c>
      <c r="B9" s="76" t="inlineStr">
        <is>
          <t>1171</t>
        </is>
      </c>
      <c r="C9" s="76" t="inlineStr">
        <is>
          <t>457</t>
        </is>
      </c>
      <c r="D9" s="76" t="inlineStr">
        <is>
          <t>dividende aprobate</t>
        </is>
      </c>
      <c r="E9" s="76" t="inlineStr">
        <is>
          <t>După hotărârea AGA</t>
        </is>
      </c>
      <c r="F9" s="76" t="inlineStr">
        <is>
          <t>Impozit 16% pentru distribuiri de la 01.01.2026 (L. 141/2025); cota urmează data DISTRIBUIRII, nu a plății</t>
        </is>
      </c>
    </row>
    <row r="10">
      <c r="A10" s="76" t="inlineStr">
        <is>
          <t>5</t>
        </is>
      </c>
      <c r="B10" s="76" t="inlineStr">
        <is>
          <t>1174</t>
        </is>
      </c>
      <c r="C10" s="76" t="inlineStr">
        <is>
          <t>401</t>
        </is>
      </c>
      <c r="D10" s="76" t="inlineStr">
        <is>
          <t>corecție eroare semnificativă an anterior</t>
        </is>
      </c>
      <c r="E10" s="76" t="inlineStr">
        <is>
          <t>Dacă e cazul</t>
        </is>
      </c>
      <c r="F10" s="76" t="inlineStr">
        <is>
          <t>Nu prin 628. Obligatoriu D101 rectificativ</t>
        </is>
      </c>
    </row>
    <row r="11">
      <c r="A11" s="76" t="inlineStr">
        <is>
          <t>6</t>
        </is>
      </c>
      <c r="B11" s="76" t="inlineStr">
        <is>
          <t>1171</t>
        </is>
      </c>
      <c r="C11" s="76" t="inlineStr">
        <is>
          <t>1174</t>
        </is>
      </c>
      <c r="D11" s="76" t="inlineStr">
        <is>
          <t>cât baza corecției</t>
        </is>
      </c>
      <c r="E11" s="76" t="inlineStr">
        <is>
          <t>După AGA</t>
        </is>
      </c>
      <c r="F11" s="76" t="inlineStr">
        <is>
          <t>1174 e tranzitoriu — nu poate rămâne cu sold (C-18)</t>
        </is>
      </c>
    </row>
    <row r="13">
      <c r="A13" s="75" t="inlineStr">
        <is>
          <t>Tabel B — Ordinea condițiilor înainte de dividende</t>
        </is>
      </c>
    </row>
    <row r="14">
      <c r="A14" s="78" t="inlineStr">
        <is>
          <t>#</t>
        </is>
      </c>
      <c r="B14" s="78" t="inlineStr">
        <is>
          <t>Condiție</t>
        </is>
      </c>
      <c r="C14" s="78" t="inlineStr">
        <is>
          <t>Efect dacă nu e îndeplinită</t>
        </is>
      </c>
      <c r="D14" s="78" t="inlineStr"/>
      <c r="E14" s="78" t="inlineStr"/>
      <c r="F14" s="78" t="inlineStr">
        <is>
          <t>Temei</t>
        </is>
      </c>
    </row>
    <row r="15">
      <c r="A15" s="76" t="inlineStr">
        <is>
          <t>1</t>
        </is>
      </c>
      <c r="B15" s="76" t="inlineStr">
        <is>
          <t>Rezerva legală constituită</t>
        </is>
      </c>
      <c r="C15" s="76" t="inlineStr">
        <is>
          <t>Nu se pot distribui dividende</t>
        </is>
      </c>
      <c r="D15" s="76" t="inlineStr"/>
      <c r="E15" s="76" t="inlineStr"/>
      <c r="F15" s="76" t="inlineStr">
        <is>
          <t>art. 183 L. 31/1990</t>
        </is>
      </c>
    </row>
    <row r="16">
      <c r="A16" s="76" t="inlineStr">
        <is>
          <t>2</t>
        </is>
      </c>
      <c r="B16" s="76" t="inlineStr">
        <is>
          <t>Pierderea contabilă reportată acoperită integral</t>
        </is>
      </c>
      <c r="C16" s="76" t="inlineStr">
        <is>
          <t>Nu se pot distribui dividende</t>
        </is>
      </c>
      <c r="D16" s="76" t="inlineStr"/>
      <c r="E16" s="76" t="inlineStr"/>
      <c r="F16" s="76" t="inlineStr">
        <is>
          <t>art. 67 L. 31/1990</t>
        </is>
      </c>
    </row>
    <row r="17">
      <c r="A17" s="76" t="inlineStr">
        <is>
          <t>3</t>
        </is>
      </c>
      <c r="B17" s="76" t="inlineStr">
        <is>
          <t>Activ net ≥ ½ din capitalul social subscris</t>
        </is>
      </c>
      <c r="C17" s="76" t="inlineStr">
        <is>
          <t>Blocaj dividende ȘI blocaj restituire împrumuturi de la asociați; amenzi 10.000–300.000 lei; răspundere solidară pentru obligațiile fiscale</t>
        </is>
      </c>
      <c r="D17" s="76" t="inlineStr"/>
      <c r="E17" s="76" t="inlineStr"/>
      <c r="F17" s="76" t="inlineStr">
        <is>
          <t>L. 239/2025 (modifică L. 31/1990)</t>
        </is>
      </c>
    </row>
    <row r="19">
      <c r="A19" s="75" t="inlineStr">
        <is>
          <t>Tabel C — Porți de calitate</t>
        </is>
      </c>
    </row>
    <row r="20">
      <c r="A20" s="76" t="inlineStr">
        <is>
          <t>• ΣDr = ΣCr pe fiecare bloc</t>
        </is>
      </c>
    </row>
    <row r="21">
      <c r="A21" s="76" t="inlineStr">
        <is>
          <t>• După înregistrare: sold 121 = 0 și sold 129 = 0 (C-16)</t>
        </is>
      </c>
    </row>
    <row r="22">
      <c r="A22" s="76" t="inlineStr">
        <is>
          <t>• Sold 1061 ≤ 20% × capital vărsat (C-17)</t>
        </is>
      </c>
    </row>
    <row r="23">
      <c r="A23" s="76" t="inlineStr">
        <is>
          <t>• Sold 1174 = 0 la 31.12 (C-18)</t>
        </is>
      </c>
    </row>
    <row r="24">
      <c r="A24" s="76" t="inlineStr">
        <is>
          <t>• 1171 are analitic pe an, cu sens D/C explicit (C-21)</t>
        </is>
      </c>
    </row>
    <row r="25">
      <c r="A25" s="76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MOD_CAPITALURI — Jurnale (generate automat)</t>
        </is>
      </c>
    </row>
    <row r="2">
      <c r="A2" s="74" t="inlineStr">
        <is>
          <t>Nu se scrie nimic manual. Toate sumele și descrierile derivă din Declarații_CAPITALURI.</t>
        </is>
      </c>
    </row>
    <row r="4">
      <c r="A4" s="75" t="inlineStr">
        <is>
          <t>Bloc 1 — Constituirea rezervei legale (31.12.N)</t>
        </is>
      </c>
    </row>
    <row r="5">
      <c r="A5" s="76" t="inlineStr">
        <is>
          <t>Data jurnal:</t>
        </is>
      </c>
      <c r="B5" s="76" t="str">
        <f>Declarații_CAPITALURI!B7</f>
        <v>2026-12-31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Declarații_CAPITALURI!B39</f>
        <v>129</v>
      </c>
      <c r="C8" s="76">
        <f>Declarații_CAPITALURI!B23</f>
        <v>125</v>
      </c>
      <c r="D8" s="76" t="str">
        <f>"Repartizare profit la rezerva legală " &amp; Declarații_CAPITALURI!B48</f>
        <v>Repartizare profit la rezerva legală — repartizare rezultat 2026</v>
      </c>
      <c r="E8" s="76">
        <f>Declarații_CAPITALURI!B40</f>
        <v>1061</v>
      </c>
      <c r="F8" s="76">
        <f>Declarații_CAPITALURI!B23</f>
        <v>125</v>
      </c>
      <c r="G8" s="76" t="str">
        <f>"Rezervă legală constituită " &amp; Declarații_CAPITALURI!B48</f>
        <v>Rezervă legală constituită — repartizare rezultat 2026</v>
      </c>
    </row>
    <row r="10">
      <c r="A10" s="75" t="inlineStr">
        <is>
          <t>Bloc 2 — Închiderea contului 121 (ianuarie N+1)</t>
        </is>
      </c>
    </row>
    <row r="11">
      <c r="A11" s="76" t="inlineStr">
        <is>
          <t>Data jurnal:</t>
        </is>
      </c>
      <c r="B11" s="76" t="str">
        <f>Declarații_CAPITALURI!B8</f>
        <v>2027-01-05</v>
      </c>
    </row>
    <row r="13">
      <c r="A13" s="78" t="inlineStr">
        <is>
          <t>Nr</t>
        </is>
      </c>
      <c r="B13" s="78" t="inlineStr">
        <is>
          <t>Cont Dr</t>
        </is>
      </c>
      <c r="C13" s="78" t="inlineStr">
        <is>
          <t>Sumă Dr</t>
        </is>
      </c>
      <c r="D13" s="78" t="inlineStr">
        <is>
          <t>Descriere Dr</t>
        </is>
      </c>
      <c r="E13" s="78" t="inlineStr">
        <is>
          <t>Cont Cr</t>
        </is>
      </c>
      <c r="F13" s="78" t="inlineStr">
        <is>
          <t>Sumă Cr</t>
        </is>
      </c>
      <c r="G13" s="78" t="inlineStr">
        <is>
          <t>Descriere Cr</t>
        </is>
      </c>
    </row>
    <row r="14">
      <c r="A14" s="76" t="n">
        <v>1</v>
      </c>
      <c r="B14" s="76">
        <f>Declarații_CAPITALURI!B38</f>
        <v>121</v>
      </c>
      <c r="C14" s="76">
        <f>Declarații_CAPITALURI!B23</f>
        <v>125</v>
      </c>
      <c r="D14" s="76" t="str">
        <f>"Închidere 121 — partea repartizată " &amp; Declarații_CAPITALURI!B48</f>
        <v>Închidere 121 — partea repartizată — repartizare rezultat 2026</v>
      </c>
      <c r="E14" s="76">
        <f>Declarații_CAPITALURI!B39</f>
        <v>129</v>
      </c>
      <c r="F14" s="76">
        <f>Declarații_CAPITALURI!B23</f>
        <v>125</v>
      </c>
      <c r="G14" s="76" t="str">
        <f>"Stingere repartizare " &amp; Declarații_CAPITALURI!B48</f>
        <v>Stingere repartizare — repartizare rezultat 2026</v>
      </c>
    </row>
    <row r="15">
      <c r="A15" s="76" t="n">
        <v>2</v>
      </c>
      <c r="B15" s="76">
        <f>Declarații_CAPITALURI!B38</f>
        <v>121</v>
      </c>
      <c r="C15" s="76">
        <f>Declarații_CAPITALURI!B27</f>
        <v>2375</v>
      </c>
      <c r="D15" s="76" t="str">
        <f>"Închidere 121 — profit reportat " &amp; Declarații_CAPITALURI!B48</f>
        <v>Închidere 121 — profit reportat — repartizare rezultat 2026</v>
      </c>
      <c r="E15" s="76" t="str">
        <f>Declarații_CAPITALURI!B41</f>
        <v>1171.2026</v>
      </c>
      <c r="F15" s="76">
        <f>Declarații_CAPITALURI!B27</f>
        <v>2375</v>
      </c>
      <c r="G15" s="76" t="str">
        <f>"Report rezultat pe an " &amp; Declarații_CAPITALURI!B48</f>
        <v>Report rezultat pe an — repartizare rezultat 2026</v>
      </c>
    </row>
    <row r="17">
      <c r="A17" s="75" t="inlineStr">
        <is>
          <t>Bloc 3 — Dividende (după hotărârea AGA)</t>
        </is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 t="str">
        <f>Declarații_CAPITALURI!B41</f>
        <v>1171.2026</v>
      </c>
      <c r="C19" s="76">
        <f>Declarații_CAPITALURI!B28</f>
        <v>2375</v>
      </c>
      <c r="D19" s="76" t="str">
        <f>"Dividende aprobate AGA " &amp; Declarații_CAPITALURI!B48</f>
        <v>Dividende aprobate AGA — repartizare rezultat 2026</v>
      </c>
      <c r="E19" s="76">
        <f>Declarații_CAPITALURI!B42</f>
        <v>457</v>
      </c>
      <c r="F19" s="76">
        <f>Declarații_CAPITALURI!B28</f>
        <v>2375</v>
      </c>
      <c r="G19" s="76" t="str">
        <f>"Dividende de plată " &amp; Declarații_CAPITALURI!B48</f>
        <v>Dividende de plată — repartizare rezultat 2026</v>
      </c>
    </row>
    <row r="21">
      <c r="A21" s="75" t="inlineStr">
        <is>
          <t>Bloc 4 — Corecție eroare exercițiu anterior (1174)</t>
        </is>
      </c>
    </row>
    <row r="22">
      <c r="A22" s="78" t="inlineStr">
        <is>
          <t>Nr</t>
        </is>
      </c>
      <c r="B22" s="78" t="inlineStr">
        <is>
          <t>Cont Dr</t>
        </is>
      </c>
      <c r="C22" s="78" t="inlineStr">
        <is>
          <t>Sumă Dr</t>
        </is>
      </c>
      <c r="D22" s="78" t="inlineStr">
        <is>
          <t>Descriere Dr</t>
        </is>
      </c>
      <c r="E22" s="78" t="inlineStr">
        <is>
          <t>Cont Cr</t>
        </is>
      </c>
      <c r="F22" s="78" t="inlineStr">
        <is>
          <t>Sumă Cr</t>
        </is>
      </c>
      <c r="G22" s="78" t="inlineStr">
        <is>
          <t>Descriere Cr</t>
        </is>
      </c>
    </row>
    <row r="23">
      <c r="A23" s="76" t="n">
        <v>1</v>
      </c>
      <c r="B23" s="76">
        <f>Declarații_CAPITALURI!B43</f>
        <v>1174</v>
      </c>
      <c r="C23" s="76">
        <f>Declarații_CAPITALURI!B33</f>
        <v>0</v>
      </c>
      <c r="D23" s="76" t="str">
        <f>"Corecție eroare exercițiu anterior " &amp; Declarații_CAPITALURI!B48</f>
        <v>Corecție eroare exercițiu anterior — repartizare rezultat 2026</v>
      </c>
      <c r="E23" s="76" t="str">
        <f>Declarații_CAPITALURI!B44</f>
        <v>401.RO</v>
      </c>
      <c r="F23" s="76">
        <f>Declarații_CAPITALURI!B33</f>
        <v>0</v>
      </c>
      <c r="G23" s="76" t="str">
        <f>"Datorie furnizor din corecție " &amp; Declarații_CAPITALURI!B48</f>
        <v>Datorie furnizor din corecție — repartizare rezultat 2026</v>
      </c>
    </row>
    <row r="24">
      <c r="A24" s="76" t="n">
        <v>2</v>
      </c>
      <c r="B24" s="76">
        <f>Declarații_CAPITALURI!B45</f>
        <v>4426</v>
      </c>
      <c r="C24" s="76">
        <f>Declarații_CAPITALURI!B34</f>
        <v>0</v>
      </c>
      <c r="D24" s="76" t="str">
        <f>"TVA din corecție — se deduce în decontul curent " &amp; Declarații_CAPITALURI!B48</f>
        <v>TVA din corecție — se deduce în decontul curent — repartizare rezultat 2026</v>
      </c>
      <c r="E24" s="76" t="str">
        <f>Declarații_CAPITALURI!B44</f>
        <v>401.RO</v>
      </c>
      <c r="F24" s="76">
        <f>Declarații_CAPITALURI!B34</f>
        <v>0</v>
      </c>
      <c r="G24" s="76" t="str">
        <f>"Datorie furnizor — TVA " &amp; Declarații_CAPITALURI!B48</f>
        <v>Datorie furnizor — TVA — repartizare rezultat 2026</v>
      </c>
    </row>
    <row r="25">
      <c r="A25" s="76" t="n">
        <v>3</v>
      </c>
      <c r="B25" s="76" t="str">
        <f>Declarații_CAPITALURI!B41</f>
        <v>1171.2026</v>
      </c>
      <c r="C25" s="76">
        <f>Declarații_CAPITALURI!B33</f>
        <v>0</v>
      </c>
      <c r="D25" s="76" t="str">
        <f>"Închiderea contului tranzitoriu 1174 " &amp; Declarații_CAPITALURI!B48</f>
        <v>Închiderea contului tranzitoriu 1174 — repartizare rezultat 2026</v>
      </c>
      <c r="E25" s="76">
        <f>Declarații_CAPITALURI!B43</f>
        <v>1174</v>
      </c>
      <c r="F25" s="76">
        <f>Declarații_CAPITALURI!B33</f>
        <v>0</v>
      </c>
      <c r="G25" s="76" t="str">
        <f>"Stingere 1174 " &amp; Declarații_CAPITALURI!B48</f>
        <v>Stingere 1174 — repartizare rezultat 2026</v>
      </c>
    </row>
    <row r="27">
      <c r="A27" s="75" t="inlineStr">
        <is>
          <t>Sumar și controale</t>
        </is>
      </c>
    </row>
    <row r="28">
      <c r="A28" s="76" t="inlineStr">
        <is>
          <t>Total Dr</t>
        </is>
      </c>
      <c r="B28" s="76">
        <f>C8+C14+C15+C19+C23+C24+C25</f>
        <v>5000</v>
      </c>
    </row>
    <row r="29">
      <c r="A29" s="76" t="inlineStr">
        <is>
          <t>Total Cr</t>
        </is>
      </c>
      <c r="B29" s="76">
        <f>F8+F14+F15+F19+F23+F24+F25</f>
        <v>5000</v>
      </c>
    </row>
    <row r="30">
      <c r="A30" s="76" t="inlineStr">
        <is>
          <t>Check Σ (structural)</t>
        </is>
      </c>
      <c r="B30" s="76">
        <f>B28-B29</f>
        <v>0</v>
      </c>
      <c r="C30" s="76" t="str">
        <f>IF(ABS(B28-B29)&lt;0.01,"OK — notele se închid","EROARE")</f>
        <v>OK — notele se închid</v>
      </c>
    </row>
    <row r="31">
      <c r="A31" s="76" t="inlineStr">
        <is>
          <t>Check închidere 121 (C-16)</t>
        </is>
      </c>
      <c r="B31" s="76">
        <f>Declarații_CAPITALURI!B11-(C14+C15)</f>
        <v>0</v>
      </c>
      <c r="C31" s="76" t="str">
        <f>IF(ABS(Declarații_CAPITALURI!B11-(C14+C15))&lt;0.01,"OK — 121 se închide integral","EROARE — 121 rămâne cu sold")</f>
        <v>OK — 121 se închide integral</v>
      </c>
    </row>
    <row r="32">
      <c r="A32" s="76" t="inlineStr">
        <is>
          <t>Check plafon rezervă (C-17)</t>
        </is>
      </c>
      <c r="B32" s="76">
        <f>Declarații_CAPITALURI!B14+C8</f>
        <v>125</v>
      </c>
      <c r="C32" s="76" t="str">
        <f>IF(Declarații_CAPITALURI!B14+C8&lt;=Declarații_CAPITALURI!B21+0.001,"OK — sub 20% din capitalul vărsat","EROARE — depășire plafon")</f>
        <v>OK — sub 20% din capitalul vărsat</v>
      </c>
    </row>
    <row r="33">
      <c r="A33" s="76" t="inlineStr">
        <is>
          <t>Check 1174 (C-18)</t>
        </is>
      </c>
      <c r="B33" s="76">
        <f>C23-C25</f>
        <v>0</v>
      </c>
      <c r="C33" s="76" t="str">
        <f>IF(ABS(C23-C25)&lt;0.01,"OK — 1174 se închide în 1171","EROARE — 1174 rămâne cu sold")</f>
        <v>OK — 1174 se închide în 1171</v>
      </c>
    </row>
    <row r="34">
      <c r="A34" s="7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3" t="inlineStr">
        <is>
          <t>MOD_CAPITALURI — Notă pentru import (1 rând = 1 înregistrare)</t>
        </is>
      </c>
    </row>
    <row r="2">
      <c r="A2" s="74" t="inlineStr">
        <is>
          <t>Filtrează pe coloana Include = DA înainte de import. Echilibrul se verifică pe bloc în Jurnale, nu pe totalul listei.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Rezervă legală</t>
        </is>
      </c>
      <c r="C5" s="76" t="str">
        <f>Declarații_CAPITALURI!B7</f>
        <v>2026-12-31</v>
      </c>
      <c r="D5" s="76">
        <f>Jurnale_CAPITALURI!B8</f>
        <v>129</v>
      </c>
      <c r="E5" s="76">
        <f>Jurnale_CAPITALURI!E8</f>
        <v>1061</v>
      </c>
      <c r="F5" s="76">
        <f>Jurnale_CAPITALURI!C8</f>
        <v>125</v>
      </c>
      <c r="G5" s="76" t="str">
        <f>Jurnale_CAPITALURI!D8</f>
        <v>Repartizare profit la rezerva legală — repartizare rezultat 2026</v>
      </c>
      <c r="H5" s="76" t="inlineStr">
        <is>
          <t>Notă contabilă 31.12</t>
        </is>
      </c>
      <c r="I5" s="39" t="str">
        <f>IF(F5&gt;0,"DA","NU")</f>
        <v>DA</v>
      </c>
    </row>
    <row r="6">
      <c r="A6" s="76" t="n">
        <v>2</v>
      </c>
      <c r="B6" s="76" t="inlineStr">
        <is>
          <t>Bloc 2 — Închidere 121</t>
        </is>
      </c>
      <c r="C6" s="76" t="str">
        <f>Declarații_CAPITALURI!B8</f>
        <v>2027-01-05</v>
      </c>
      <c r="D6" s="76">
        <f>Jurnale_CAPITALURI!B14</f>
        <v>121</v>
      </c>
      <c r="E6" s="76">
        <f>Jurnale_CAPITALURI!E14</f>
        <v>129</v>
      </c>
      <c r="F6" s="76">
        <f>Jurnale_CAPITALURI!C14</f>
        <v>125</v>
      </c>
      <c r="G6" s="76" t="str">
        <f>Jurnale_CAPITALURI!D14</f>
        <v>Închidere 121 — partea repartizată — repartizare rezultat 2026</v>
      </c>
      <c r="H6" s="76" t="inlineStr">
        <is>
          <t>Notă de închidere</t>
        </is>
      </c>
      <c r="I6" s="39" t="str">
        <f>IF(F6&gt;0,"DA","NU")</f>
        <v>DA</v>
      </c>
    </row>
    <row r="7">
      <c r="A7" s="76" t="n">
        <v>3</v>
      </c>
      <c r="B7" s="76" t="inlineStr">
        <is>
          <t>Bloc 2 — Închidere 121</t>
        </is>
      </c>
      <c r="C7" s="76" t="str">
        <f>Declarații_CAPITALURI!B8</f>
        <v>2027-01-05</v>
      </c>
      <c r="D7" s="76">
        <f>Jurnale_CAPITALURI!B15</f>
        <v>121</v>
      </c>
      <c r="E7" s="76" t="str">
        <f>Jurnale_CAPITALURI!E15</f>
        <v>1171.2026</v>
      </c>
      <c r="F7" s="76">
        <f>Jurnale_CAPITALURI!C15</f>
        <v>2375</v>
      </c>
      <c r="G7" s="76" t="str">
        <f>Jurnale_CAPITALURI!D15</f>
        <v>Închidere 121 — profit reportat — repartizare rezultat 2026</v>
      </c>
      <c r="H7" s="76" t="inlineStr">
        <is>
          <t>Notă de închidere</t>
        </is>
      </c>
      <c r="I7" s="39" t="str">
        <f>IF(F7&gt;0,"DA","NU")</f>
        <v>DA</v>
      </c>
    </row>
    <row r="8">
      <c r="A8" s="76" t="n">
        <v>4</v>
      </c>
      <c r="B8" s="76" t="inlineStr">
        <is>
          <t>Bloc 3 — Dividende</t>
        </is>
      </c>
      <c r="C8" s="76" t="str">
        <f>Declarații_CAPITALURI!B8</f>
        <v>2027-01-05</v>
      </c>
      <c r="D8" s="76" t="str">
        <f>Jurnale_CAPITALURI!B19</f>
        <v>1171.2026</v>
      </c>
      <c r="E8" s="76">
        <f>Jurnale_CAPITALURI!E19</f>
        <v>457</v>
      </c>
      <c r="F8" s="76">
        <f>Jurnale_CAPITALURI!C19</f>
        <v>2375</v>
      </c>
      <c r="G8" s="76" t="str">
        <f>Jurnale_CAPITALURI!D19</f>
        <v>Dividende aprobate AGA — repartizare rezultat 2026</v>
      </c>
      <c r="H8" s="76" t="inlineStr">
        <is>
          <t>Hotărâre AGA</t>
        </is>
      </c>
      <c r="I8" s="39" t="str">
        <f>IF(F8&gt;0,"DA","NU")</f>
        <v>DA</v>
      </c>
    </row>
    <row r="9">
      <c r="A9" s="76" t="n">
        <v>5</v>
      </c>
      <c r="B9" s="76" t="inlineStr">
        <is>
          <t>Bloc 4 — Corecție 1174</t>
        </is>
      </c>
      <c r="C9" s="76" t="str">
        <f>Declarații_CAPITALURI!B8</f>
        <v>2027-01-05</v>
      </c>
      <c r="D9" s="76">
        <f>Jurnale_CAPITALURI!B23</f>
        <v>1174</v>
      </c>
      <c r="E9" s="76" t="str">
        <f>Jurnale_CAPITALURI!E23</f>
        <v>401.RO</v>
      </c>
      <c r="F9" s="76">
        <f>Jurnale_CAPITALURI!C23</f>
        <v>0</v>
      </c>
      <c r="G9" s="76" t="str">
        <f>Jurnale_CAPITALURI!D23</f>
        <v>Corecție eroare exercițiu anterior — repartizare rezultat 2026</v>
      </c>
      <c r="H9" s="76" t="inlineStr">
        <is>
          <t>Factură an anterior</t>
        </is>
      </c>
      <c r="I9" s="39" t="str">
        <f>IF(F9&gt;0,"DA","NU")</f>
        <v>NU</v>
      </c>
    </row>
    <row r="10">
      <c r="A10" s="76" t="n">
        <v>6</v>
      </c>
      <c r="B10" s="76" t="inlineStr">
        <is>
          <t>Bloc 4 — Corecție 1174</t>
        </is>
      </c>
      <c r="C10" s="76" t="str">
        <f>Declarații_CAPITALURI!B8</f>
        <v>2027-01-05</v>
      </c>
      <c r="D10" s="76">
        <f>Jurnale_CAPITALURI!B24</f>
        <v>4426</v>
      </c>
      <c r="E10" s="76" t="str">
        <f>Jurnale_CAPITALURI!E24</f>
        <v>401.RO</v>
      </c>
      <c r="F10" s="76">
        <f>Jurnale_CAPITALURI!C24</f>
        <v>0</v>
      </c>
      <c r="G10" s="76" t="str">
        <f>Jurnale_CAPITALURI!D24</f>
        <v>TVA din corecție — se deduce în decontul curent — repartizare rezultat 2026</v>
      </c>
      <c r="H10" s="76" t="inlineStr">
        <is>
          <t>Factură an anterior</t>
        </is>
      </c>
      <c r="I10" s="39" t="str">
        <f>IF(F10&gt;0,"DA","NU")</f>
        <v>NU</v>
      </c>
    </row>
    <row r="11">
      <c r="A11" s="76" t="n">
        <v>7</v>
      </c>
      <c r="B11" s="76" t="inlineStr">
        <is>
          <t>Bloc 4 — Corecție 1174</t>
        </is>
      </c>
      <c r="C11" s="76" t="str">
        <f>Declarații_CAPITALURI!B8</f>
        <v>2027-01-05</v>
      </c>
      <c r="D11" s="76" t="str">
        <f>Jurnale_CAPITALURI!B25</f>
        <v>1171.2026</v>
      </c>
      <c r="E11" s="76">
        <f>Jurnale_CAPITALURI!E25</f>
        <v>1174</v>
      </c>
      <c r="F11" s="76">
        <f>Jurnale_CAPITALURI!C25</f>
        <v>0</v>
      </c>
      <c r="G11" s="76" t="str">
        <f>Jurnale_CAPITALURI!D25</f>
        <v>Închiderea contului tranzitoriu 1174 — repartizare rezultat 2026</v>
      </c>
      <c r="H11" s="76" t="inlineStr">
        <is>
          <t>Notă contabilă</t>
        </is>
      </c>
      <c r="I11" s="39" t="str">
        <f>IF(F11&gt;0,"DA","NU")</f>
        <v>NU</v>
      </c>
    </row>
    <row r="13">
      <c r="A13" s="76" t="inlineStr">
        <is>
          <t>Rânduri de importat (Include=DA)</t>
        </is>
      </c>
      <c r="B13" s="76">
        <f>COUNTIF(I5:I11,"DA")</f>
        <v>4</v>
      </c>
    </row>
    <row r="14">
      <c r="A14" s="76" t="inlineStr">
        <is>
          <t>Check global (trebuie 0)</t>
        </is>
      </c>
      <c r="B14" s="76">
        <f>Jurnale_CAPITALURI!B28-Jurnale_CAPITALURI!B29</f>
        <v>0</v>
      </c>
      <c r="C14" s="76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3" t="inlineStr">
        <is>
          <t>MOD_CREDIT_VALUTA — Declarații (input)</t>
        </is>
      </c>
    </row>
    <row r="2">
      <c r="A2" s="74" t="inlineStr">
        <is>
          <t>Valorile implicite reproduc monografia din F-107. Rata și dobânda se iau din SCADENȚAR, nu din extras — extrasul le arată deseori cumulat.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Număr contract de credit</t>
        </is>
      </c>
      <c r="B6" s="77" t="inlineStr">
        <is>
          <t>CR-2026-001</t>
        </is>
      </c>
      <c r="C6" s="74" t="inlineStr">
        <is>
          <t>1621 se ține analitic pe contract și pe valută</t>
        </is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plății ratei</t>
        </is>
      </c>
      <c r="B8" s="77" t="inlineStr">
        <is>
          <t>2026-07-15</t>
        </is>
      </c>
    </row>
    <row r="9">
      <c r="A9" s="76" t="inlineStr">
        <is>
          <t>Data reevaluării (ultima zi bancară a lunii)</t>
        </is>
      </c>
      <c r="B9" s="77" t="inlineStr">
        <is>
          <t>2026-07-31</t>
        </is>
      </c>
    </row>
    <row r="10">
      <c r="A10" s="76" t="inlineStr">
        <is>
          <t>Valuta</t>
        </is>
      </c>
      <c r="B10" s="77" t="inlineStr">
        <is>
          <t>EUR</t>
        </is>
      </c>
    </row>
    <row r="12">
      <c r="A12" s="75" t="inlineStr">
        <is>
          <t>2. Soldul de la care pornim</t>
        </is>
      </c>
    </row>
    <row r="13">
      <c r="A13" s="76" t="inlineStr">
        <is>
          <t>Sold inițial, în valută</t>
        </is>
      </c>
      <c r="B13" s="77" t="n">
        <v>20000</v>
      </c>
    </row>
    <row r="14">
      <c r="A14" s="76" t="inlineStr">
        <is>
          <t>Cursul la care e înregistrat soldul</t>
        </is>
      </c>
      <c r="B14" s="77" t="n">
        <v>4.97</v>
      </c>
    </row>
    <row r="15">
      <c r="A15" s="76" t="inlineStr">
        <is>
          <t>Sold inițial, în lei</t>
        </is>
      </c>
      <c r="B15" s="76">
        <f>ROUND(B13*B14,2)</f>
        <v>99400</v>
      </c>
    </row>
    <row r="17">
      <c r="A17" s="75" t="inlineStr">
        <is>
          <t>3. Mișcările lunii (din SCADENȚAR)</t>
        </is>
      </c>
    </row>
    <row r="18">
      <c r="A18" s="76" t="inlineStr">
        <is>
          <t>Rata de capital, în valută</t>
        </is>
      </c>
      <c r="B18" s="77" t="n">
        <v>5000</v>
      </c>
    </row>
    <row r="19">
      <c r="A19" s="76" t="inlineStr">
        <is>
          <t>Dobânda, în valută</t>
        </is>
      </c>
      <c r="B19" s="77" t="n">
        <v>200</v>
      </c>
    </row>
    <row r="20">
      <c r="A20" s="76" t="inlineStr">
        <is>
          <t>Cursul de la data plății</t>
        </is>
      </c>
      <c r="B20" s="77" t="n">
        <v>4.99</v>
      </c>
    </row>
    <row r="21">
      <c r="A21" s="76" t="inlineStr">
        <is>
          <t>Comisioane bancare, în lei</t>
        </is>
      </c>
      <c r="B21" s="77" t="n">
        <v>50</v>
      </c>
    </row>
    <row r="23">
      <c r="A23" s="75" t="inlineStr">
        <is>
          <t>4. Reevaluarea de la finalul lunii</t>
        </is>
      </c>
    </row>
    <row r="24">
      <c r="A24" s="76" t="inlineStr">
        <is>
          <t>Curs BNR la data reevaluării</t>
        </is>
      </c>
      <c r="B24" s="77" t="n">
        <v>5.01</v>
      </c>
    </row>
    <row r="26">
      <c r="A26" s="75" t="inlineStr">
        <is>
          <t>5. Calcul automat (nu edita)</t>
        </is>
      </c>
    </row>
    <row r="27">
      <c r="A27" s="76" t="inlineStr">
        <is>
          <t>Rata, la cursul de înregistrare</t>
        </is>
      </c>
      <c r="B27" s="76">
        <f>ROUND(B18*B14,2)</f>
        <v>24850</v>
      </c>
    </row>
    <row r="28">
      <c r="A28" s="76" t="inlineStr">
        <is>
          <t>Rata, la cursul de plată</t>
        </is>
      </c>
      <c r="B28" s="76">
        <f>ROUND(B18*B20,2)</f>
        <v>24950</v>
      </c>
    </row>
    <row r="29">
      <c r="A29" s="76" t="inlineStr">
        <is>
          <t>MOMENTUL 1 — diferența la plată</t>
        </is>
      </c>
      <c r="B29" s="76">
        <f>B28-B27</f>
        <v>100</v>
      </c>
      <c r="C29" s="74" t="inlineStr">
        <is>
          <t>Pozitiv = nefavorabil (665); negativ = favorabil (765)</t>
        </is>
      </c>
    </row>
    <row r="30">
      <c r="A30" s="76" t="inlineStr">
        <is>
          <t>Dobânda, în lei</t>
        </is>
      </c>
      <c r="B30" s="76">
        <f>ROUND(B19*B20,2)</f>
        <v>998</v>
      </c>
    </row>
    <row r="31">
      <c r="A31" s="76" t="inlineStr">
        <is>
          <t>Sold rămas, în valută</t>
        </is>
      </c>
      <c r="B31" s="76">
        <f>B13-B18</f>
        <v>15000</v>
      </c>
    </row>
    <row r="32">
      <c r="A32" s="76" t="inlineStr">
        <is>
          <t>Sold rămas, la cursul de înregistrare</t>
        </is>
      </c>
      <c r="B32" s="76">
        <f>ROUND(B31*B14,2)</f>
        <v>74550</v>
      </c>
    </row>
    <row r="33">
      <c r="A33" s="76" t="inlineStr">
        <is>
          <t>Sold rămas, la cursul BNR</t>
        </is>
      </c>
      <c r="B33" s="76">
        <f>ROUND(B31*B24,2)</f>
        <v>75150</v>
      </c>
    </row>
    <row r="34">
      <c r="A34" s="76" t="inlineStr">
        <is>
          <t>MOMENTUL 2 — diferența din reevaluare</t>
        </is>
      </c>
      <c r="B34" s="76">
        <f>B33-B32</f>
        <v>600</v>
      </c>
      <c r="C34" s="74" t="inlineStr">
        <is>
          <t>Pozitiv = datoria crește = nefavorabil (665)</t>
        </is>
      </c>
    </row>
    <row r="36">
      <c r="A36" s="75" t="inlineStr">
        <is>
          <t>6. Conturi</t>
        </is>
      </c>
    </row>
    <row r="37">
      <c r="A37" s="76" t="inlineStr">
        <is>
          <t>Cont credit (162x)</t>
        </is>
      </c>
      <c r="B37" s="77" t="inlineStr">
        <is>
          <t>1621</t>
        </is>
      </c>
      <c r="C37" s="74" t="inlineStr">
        <is>
          <t>1621…1627 sunt sintetice DISTINCTE, nu analitice ale aceluiași cont</t>
        </is>
      </c>
    </row>
    <row r="38">
      <c r="A38" s="76" t="inlineStr">
        <is>
          <t>Cont dobândă neajunsă la scadență</t>
        </is>
      </c>
      <c r="B38" s="77" t="n">
        <v>1682</v>
      </c>
    </row>
    <row r="39">
      <c r="A39" s="76" t="inlineStr">
        <is>
          <t>Cont trezorerie în valută</t>
        </is>
      </c>
      <c r="B39" s="77" t="inlineStr">
        <is>
          <t>5124</t>
        </is>
      </c>
    </row>
    <row r="40">
      <c r="A40" s="76" t="inlineStr">
        <is>
          <t>Cont trezorerie în lei</t>
        </is>
      </c>
      <c r="B40" s="77" t="inlineStr">
        <is>
          <t>5121</t>
        </is>
      </c>
    </row>
    <row r="41">
      <c r="A41" s="76" t="inlineStr">
        <is>
          <t>Cont cheltuială cu dobânda</t>
        </is>
      </c>
      <c r="B41" s="77" t="n">
        <v>666</v>
      </c>
    </row>
    <row r="42">
      <c r="A42" s="76" t="inlineStr">
        <is>
          <t>Cont cheltuială cu serviciile bancare</t>
        </is>
      </c>
      <c r="B42" s="77" t="n">
        <v>627</v>
      </c>
    </row>
    <row r="43">
      <c r="A43" s="76" t="inlineStr">
        <is>
          <t>Cont diferențe nefavorabile</t>
        </is>
      </c>
      <c r="B43" s="77" t="n">
        <v>665</v>
      </c>
    </row>
    <row r="44">
      <c r="A44" s="76" t="inlineStr">
        <is>
          <t>Cont diferențe favorabile</t>
        </is>
      </c>
      <c r="B44" s="77" t="n">
        <v>765</v>
      </c>
    </row>
    <row r="46">
      <c r="A46" s="75" t="inlineStr">
        <is>
          <t>7. Controale</t>
        </is>
      </c>
    </row>
    <row r="47">
      <c r="A47" s="76" t="inlineStr">
        <is>
          <t>Check FINAL: sold lei = sold valută × curs BNR</t>
        </is>
      </c>
      <c r="B47" s="76">
        <f>B32+B34-B33</f>
        <v>0</v>
      </c>
      <c r="C47" s="76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76" t="inlineStr">
        <is>
          <t>Check cele două momente sunt distincte</t>
        </is>
      </c>
      <c r="B48" s="76">
        <f>B29+B34</f>
        <v>700</v>
      </c>
      <c r="C48" s="76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76" t="inlineStr">
        <is>
          <t>Reminder: rata și dobânda vin din scadențar</t>
        </is>
      </c>
      <c r="B49" s="76">
        <f>B18+B19</f>
        <v>5200</v>
      </c>
      <c r="C49" s="76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76" t="inlineStr">
        <is>
          <t>Reminder: reevaluarea e LUNARĂ</t>
        </is>
      </c>
      <c r="B50" s="76" t="str">
        <f>B9</f>
        <v>2026-07-31</v>
      </c>
      <c r="C50" s="76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76" t="inlineStr">
        <is>
          <t>Reminder bilanț</t>
        </is>
      </c>
      <c r="B51" s="76">
        <f>B31</f>
        <v>15000</v>
      </c>
      <c r="C51" s="76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75" t="inlineStr">
        <is>
          <t>8. Sufix generat</t>
        </is>
      </c>
    </row>
    <row r="54">
      <c r="A54" s="76" t="inlineStr">
        <is>
          <t>Sufix</t>
        </is>
      </c>
      <c r="B54" s="76" t="str">
        <f>" - " &amp; B6 &amp; " - " &amp; B7</f>
        <v> - CR-2026-001 - 2026-07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3" t="inlineStr">
        <is>
          <t>MOD_CREDIT_VALUTA — Reguli (tabele fixe)</t>
        </is>
      </c>
    </row>
    <row r="3">
      <c r="A3" s="75" t="inlineStr">
        <is>
          <t>Tabel A — Cele două momente de diferență de curs</t>
        </is>
      </c>
    </row>
    <row r="4">
      <c r="A4" s="78" t="inlineStr">
        <is>
          <t>Moment</t>
        </is>
      </c>
      <c r="B4" s="78" t="inlineStr">
        <is>
          <t>Când apare</t>
        </is>
      </c>
      <c r="C4" s="78" t="inlineStr">
        <is>
          <t>Bază</t>
        </is>
      </c>
      <c r="D4" s="78" t="inlineStr">
        <is>
          <t>Formula</t>
        </is>
      </c>
      <c r="E4" s="78" t="inlineStr">
        <is>
          <t>Cont</t>
        </is>
      </c>
      <c r="F4" s="78" t="inlineStr">
        <is>
          <t>Temei / observație</t>
        </is>
      </c>
    </row>
    <row r="5">
      <c r="A5" s="76" t="inlineStr">
        <is>
          <t>1. La plată</t>
        </is>
      </c>
      <c r="B5" s="76" t="inlineStr">
        <is>
          <t>la fiecare rambursare de rată</t>
        </is>
      </c>
      <c r="C5" s="76" t="inlineStr">
        <is>
          <t>rata în valută</t>
        </is>
      </c>
      <c r="D5" s="76" t="inlineStr">
        <is>
          <t>(curs plată − curs înregistrare) × rată</t>
        </is>
      </c>
      <c r="E5" s="76" t="inlineStr">
        <is>
          <t>665 / 765</t>
        </is>
      </c>
      <c r="F5" s="76" t="inlineStr">
        <is>
          <t>Diferența dintre cursul la care e înregistrată datoria și cel la care se stinge</t>
        </is>
      </c>
    </row>
    <row r="6">
      <c r="A6" s="76" t="inlineStr">
        <is>
          <t>2. La reevaluare</t>
        </is>
      </c>
      <c r="B6" s="76" t="inlineStr">
        <is>
          <t>ultima zi bancară a FIECĂREI luni</t>
        </is>
      </c>
      <c r="C6" s="76" t="inlineStr">
        <is>
          <t>soldul rămas în valută</t>
        </is>
      </c>
      <c r="D6" s="76" t="inlineStr">
        <is>
          <t>(curs BNR − curs înregistrare) × sold rămas</t>
        </is>
      </c>
      <c r="E6" s="76" t="inlineStr">
        <is>
          <t>665 / 765</t>
        </is>
      </c>
      <c r="F6" s="76" t="inlineStr">
        <is>
          <t>OMFP 1802/2014 — obligatoriu lunar; „la 3 luni” e insuficient</t>
        </is>
      </c>
    </row>
    <row r="8">
      <c r="A8" s="75" t="inlineStr">
        <is>
          <t>Tabel B — Ce se ia din scadențar, nu din extras</t>
        </is>
      </c>
    </row>
    <row r="9">
      <c r="A9" s="78" t="inlineStr">
        <is>
          <t>Element</t>
        </is>
      </c>
      <c r="B9" s="78" t="inlineStr">
        <is>
          <t>Cont</t>
        </is>
      </c>
      <c r="C9" s="78" t="inlineStr"/>
      <c r="D9" s="78" t="inlineStr"/>
      <c r="E9" s="78" t="inlineStr"/>
      <c r="F9" s="78" t="inlineStr">
        <is>
          <t>De ce contează</t>
        </is>
      </c>
    </row>
    <row r="10">
      <c r="A10" s="76" t="inlineStr">
        <is>
          <t>Rata de capital</t>
        </is>
      </c>
      <c r="B10" s="76" t="inlineStr">
        <is>
          <t>1621</t>
        </is>
      </c>
      <c r="C10" s="76" t="inlineStr"/>
      <c r="D10" s="76" t="inlineStr"/>
      <c r="E10" s="76" t="inlineStr"/>
      <c r="F10" s="76" t="inlineStr">
        <is>
          <t>Stinge datoria. Dacă o umfli cu dobânda, 1621 ajunge pe debit</t>
        </is>
      </c>
    </row>
    <row r="11">
      <c r="A11" s="76" t="inlineStr">
        <is>
          <t>Dobânda</t>
        </is>
      </c>
      <c r="B11" s="76" t="inlineStr">
        <is>
          <t>666</t>
        </is>
      </c>
      <c r="C11" s="76" t="inlineStr"/>
      <c r="D11" s="76" t="inlineStr"/>
      <c r="E11" s="76" t="inlineStr"/>
      <c r="F11" s="76" t="inlineStr">
        <is>
          <t>Cheltuială financiară. Dacă o pui pe 1621, rămâi cu sold la finalul creditului</t>
        </is>
      </c>
    </row>
    <row r="12">
      <c r="A12" s="76" t="inlineStr">
        <is>
          <t>Comisioane</t>
        </is>
      </c>
      <c r="B12" s="76" t="inlineStr">
        <is>
          <t>627</t>
        </is>
      </c>
      <c r="C12" s="76" t="inlineStr"/>
      <c r="D12" s="76" t="inlineStr"/>
      <c r="E12" s="76" t="inlineStr"/>
      <c r="F12" s="76" t="inlineStr">
        <is>
          <t>Cheltuială cu serviciile bancare, separată de dobândă</t>
        </is>
      </c>
    </row>
    <row r="13">
      <c r="A13" s="76" t="inlineStr">
        <is>
          <t>Dobânda neajunsă la scadență</t>
        </is>
      </c>
      <c r="B13" s="76" t="inlineStr">
        <is>
          <t>1682</t>
        </is>
      </c>
      <c r="C13" s="76" t="inlineStr"/>
      <c r="D13" s="76" t="inlineStr"/>
      <c r="E13" s="76" t="inlineStr"/>
      <c r="F13" s="76" t="inlineStr">
        <is>
          <t>Se calculează, nu se plătește încă</t>
        </is>
      </c>
    </row>
    <row r="15">
      <c r="A15" s="75" t="inlineStr">
        <is>
          <t>Tabel C — LIMITĂRI DECLARATE ale modulului</t>
        </is>
      </c>
    </row>
    <row r="16">
      <c r="A16" s="78" t="inlineStr">
        <is>
          <t>Ce NU tratează</t>
        </is>
      </c>
      <c r="B16" s="78" t="inlineStr">
        <is>
          <t>De ce</t>
        </is>
      </c>
      <c r="C16" s="78" t="inlineStr">
        <is>
          <t>Ce faci</t>
        </is>
      </c>
      <c r="D16" s="78" t="inlineStr"/>
      <c r="E16" s="78" t="inlineStr"/>
      <c r="F16" s="78" t="inlineStr">
        <is>
          <t>Efect dacă îl ignori</t>
        </is>
      </c>
    </row>
    <row r="17">
      <c r="A17" s="76" t="inlineStr">
        <is>
          <t>Linii de credit revolving</t>
        </is>
      </c>
      <c r="B17" s="76" t="inlineStr">
        <is>
          <t>Soldul fluctuează în ambele sensuri în cursul lunii, deci nu există o „rată” unică.</t>
        </is>
      </c>
      <c r="C17" s="76" t="inlineStr">
        <is>
          <t>Reevaluează soldul la finalul lunii; tratează tragerile separat.</t>
        </is>
      </c>
      <c r="D17" s="76" t="inlineStr"/>
      <c r="E17" s="76" t="inlineStr"/>
      <c r="F17" s="76" t="inlineStr">
        <is>
          <t>Diferențele de curs pe trageri intermediare rămân neînregistrate</t>
        </is>
      </c>
    </row>
    <row r="18">
      <c r="A18" s="76" t="inlineStr">
        <is>
          <t>Instrumente de acoperire a riscului valutar (hedging)</t>
        </is>
      </c>
      <c r="B18" s="76" t="inlineStr">
        <is>
          <t>Contabilitatea de acoperire are reguli proprii (OMFP 1802, cap. dedicat).</t>
        </is>
      </c>
      <c r="C18" s="76" t="inlineStr">
        <is>
          <t>Tratează separat; nu compensa în 665/765.</t>
        </is>
      </c>
      <c r="D18" s="76" t="inlineStr"/>
      <c r="E18" s="76" t="inlineStr"/>
      <c r="F18" s="76" t="inlineStr">
        <is>
          <t>Rezultatul financiar apare volatil fără motiv</t>
        </is>
      </c>
    </row>
    <row r="19">
      <c r="A19" s="76" t="inlineStr">
        <is>
          <t>Credite cu dobândă variabilă recalculată retroactiv</t>
        </is>
      </c>
      <c r="B19" s="76" t="inlineStr">
        <is>
          <t>Recalculul schimbă scadențarul pe perioade deja înregistrate.</t>
        </is>
      </c>
      <c r="C19" s="76" t="inlineStr">
        <is>
          <t>Reia scadențarul nou și corectează perioadele afectate.</t>
        </is>
      </c>
      <c r="D19" s="76" t="inlineStr"/>
      <c r="E19" s="76" t="inlineStr"/>
      <c r="F19" s="76" t="inlineStr">
        <is>
          <t>Dobânda înregistrată nu corespunde cu cea datorată</t>
        </is>
      </c>
    </row>
    <row r="20">
      <c r="A20" s="76" t="inlineStr">
        <is>
          <t>Costuri de tranzacție amortizate (metoda dobânzii efective)</t>
        </is>
      </c>
      <c r="B20" s="76" t="inlineStr">
        <is>
          <t>Comisioanele inițiale se pot amortiza pe durata creditului.</t>
        </is>
      </c>
      <c r="C20" s="76" t="inlineStr">
        <is>
          <t>Dacă politica firmei o cere, tratează prin 471.</t>
        </is>
      </c>
      <c r="D20" s="76" t="inlineStr"/>
      <c r="E20" s="76" t="inlineStr"/>
      <c r="F20" s="76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MOD_CREDIT_VALUTA — Jurnale (generate automat)</t>
        </is>
      </c>
    </row>
    <row r="2">
      <c r="A2" s="74" t="inlineStr">
        <is>
          <t>Blocurile de diferență se activează după semn: nefavorabilă pe 665, favorabilă pe 765. Doar unul dintre ele are sumă.</t>
        </is>
      </c>
    </row>
    <row r="4">
      <c r="A4" s="75" t="inlineStr">
        <is>
          <t>Bloc 1 — Rata de capital și diferența la plată</t>
        </is>
      </c>
    </row>
    <row r="5">
      <c r="A5" s="76" t="inlineStr">
        <is>
          <t>Data jurnal:</t>
        </is>
      </c>
      <c r="B5" s="76" t="str">
        <f>Declarații_CREDIT_VALUTA!B8</f>
        <v>2026-07-15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Declarații_CREDIT_VALUTA!B37</f>
        <v>1621</v>
      </c>
      <c r="C8" s="76">
        <f>Declarații_CREDIT_VALUTA!B27</f>
        <v>24850</v>
      </c>
      <c r="D8" s="76" t="str">
        <f>"Rambursare rată de capital" &amp; Declarații_CREDIT_VALUTA!B54</f>
        <v>Rambursare rată de capital - CR-2026-001 - 2026-07</v>
      </c>
      <c r="E8" s="76" t="str">
        <f>Declarații_CREDIT_VALUTA!B39</f>
        <v>5124</v>
      </c>
      <c r="F8" s="76">
        <f>Declarații_CREDIT_VALUTA!B28</f>
        <v>24950</v>
      </c>
      <c r="G8" s="76" t="str">
        <f>"Plata ratei din contul în valută" &amp; Declarații_CREDIT_VALUTA!B54</f>
        <v>Plata ratei din contul în valută - CR-2026-001 - 2026-07</v>
      </c>
    </row>
    <row r="9">
      <c r="A9" s="76" t="n">
        <v>2</v>
      </c>
      <c r="B9" s="76">
        <f>Declarații_CREDIT_VALUTA!B43</f>
        <v>665</v>
      </c>
      <c r="C9" s="76">
        <f>MAX(0,Declarații_CREDIT_VALUTA!B29)</f>
        <v>100</v>
      </c>
      <c r="D9" s="76" t="str">
        <f>"Diferență de curs nefavorabilă la plată" &amp; Declarații_CREDIT_VALUTA!B54</f>
        <v>Diferență de curs nefavorabilă la plată - CR-2026-001 - 2026-07</v>
      </c>
    </row>
    <row r="10">
      <c r="A10" s="76" t="n">
        <v>3</v>
      </c>
      <c r="E10" s="76">
        <f>Declarații_CREDIT_VALUTA!B44</f>
        <v>765</v>
      </c>
      <c r="F10" s="76">
        <f>MAX(0,-Declarații_CREDIT_VALUTA!B29)</f>
        <v>0</v>
      </c>
      <c r="G10" s="76" t="str">
        <f>"Diferență de curs favorabilă la plată" &amp; Declarații_CREDIT_VALUTA!B54</f>
        <v>Diferență de curs favorabilă la plată - CR-2026-001 - 2026-07</v>
      </c>
    </row>
    <row r="12">
      <c r="A12" s="76" t="inlineStr">
        <is>
          <t>Check Σ (structural)</t>
        </is>
      </c>
      <c r="B12" s="76">
        <f>SUM(C8:C10)-SUM(F8:F10)</f>
        <v>0</v>
      </c>
      <c r="C12" s="76" t="str">
        <f>IF(ABS(B12)&lt;0.01,"OK — nota se închide","EROARE")</f>
        <v>OK — nota se închide</v>
      </c>
    </row>
    <row r="13">
      <c r="A13" s="76" t="inlineStr">
        <is>
          <t>Check exclusivitate 665/665</t>
        </is>
      </c>
      <c r="B13" s="76">
        <f>IF(AND(C9&gt;0.005,F10&gt;0.005),1,0)</f>
        <v>0</v>
      </c>
      <c r="C13" s="76" t="str">
        <f>IF(B13=0,"OK — o singură diferență, într-un singur sens","EROARE — 665 și 765 nu pot avea ambele sumă")</f>
        <v>OK — o singură diferență, într-un singur sens</v>
      </c>
    </row>
    <row r="15">
      <c r="A15" s="75" t="inlineStr">
        <is>
          <t>Bloc 2 — Dobânda</t>
        </is>
      </c>
    </row>
    <row r="16">
      <c r="A16" s="76" t="inlineStr">
        <is>
          <t>Data jurnal:</t>
        </is>
      </c>
      <c r="B16" s="76" t="str">
        <f>Declarații_CREDIT_VALUTA!B8</f>
        <v>2026-07-15</v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>
        <f>Declarații_CREDIT_VALUTA!B41</f>
        <v>666</v>
      </c>
      <c r="C19" s="76">
        <f>Declarații_CREDIT_VALUTA!B30</f>
        <v>998</v>
      </c>
      <c r="D19" s="76" t="str">
        <f>"Dobândă aferentă creditului" &amp; Declarații_CREDIT_VALUTA!B54</f>
        <v>Dobândă aferentă creditului - CR-2026-001 - 2026-07</v>
      </c>
      <c r="E19" s="76" t="str">
        <f>Declarații_CREDIT_VALUTA!B39</f>
        <v>5124</v>
      </c>
      <c r="F19" s="76">
        <f>Declarații_CREDIT_VALUTA!B30</f>
        <v>998</v>
      </c>
      <c r="G19" s="76" t="str">
        <f>"Plata dobânzii din contul în valută" &amp; Declarații_CREDIT_VALUTA!B54</f>
        <v>Plata dobânzii din contul în valută - CR-2026-001 - 2026-07</v>
      </c>
    </row>
    <row r="21">
      <c r="A21" s="76" t="inlineStr">
        <is>
          <t>Check Σ (structural)</t>
        </is>
      </c>
      <c r="B21" s="76">
        <f>C19-F19</f>
        <v>0</v>
      </c>
      <c r="C21" s="76" t="str">
        <f>IF(ABS(B21)&lt;0.01,"OK — nota se închide","EROARE")</f>
        <v>OK — nota se închide</v>
      </c>
    </row>
    <row r="23">
      <c r="A23" s="75" t="inlineStr">
        <is>
          <t>Bloc 3 — Comisioane bancare</t>
        </is>
      </c>
    </row>
    <row r="24">
      <c r="A24" s="76" t="inlineStr">
        <is>
          <t>Data jurnal:</t>
        </is>
      </c>
      <c r="B24" s="76" t="str">
        <f>Declarații_CREDIT_VALUTA!B8</f>
        <v>2026-07-15</v>
      </c>
    </row>
    <row r="26">
      <c r="A26" s="78" t="inlineStr">
        <is>
          <t>Nr</t>
        </is>
      </c>
      <c r="B26" s="78" t="inlineStr">
        <is>
          <t>Cont Dr</t>
        </is>
      </c>
      <c r="C26" s="78" t="inlineStr">
        <is>
          <t>Sumă Dr</t>
        </is>
      </c>
      <c r="D26" s="78" t="inlineStr">
        <is>
          <t>Descriere Dr</t>
        </is>
      </c>
      <c r="E26" s="78" t="inlineStr">
        <is>
          <t>Cont Cr</t>
        </is>
      </c>
      <c r="F26" s="78" t="inlineStr">
        <is>
          <t>Sumă Cr</t>
        </is>
      </c>
      <c r="G26" s="78" t="inlineStr">
        <is>
          <t>Descriere Cr</t>
        </is>
      </c>
    </row>
    <row r="27">
      <c r="A27" s="76" t="n">
        <v>1</v>
      </c>
      <c r="B27" s="76">
        <f>Declarații_CREDIT_VALUTA!B42</f>
        <v>627</v>
      </c>
      <c r="C27" s="76">
        <f>Declarații_CREDIT_VALUTA!B21</f>
        <v>50</v>
      </c>
      <c r="D27" s="76" t="str">
        <f>"Comisioane bancare aferente creditului" &amp; Declarații_CREDIT_VALUTA!B54</f>
        <v>Comisioane bancare aferente creditului - CR-2026-001 - 2026-07</v>
      </c>
      <c r="E27" s="76" t="str">
        <f>Declarații_CREDIT_VALUTA!B40</f>
        <v>5121</v>
      </c>
      <c r="F27" s="76">
        <f>Declarații_CREDIT_VALUTA!B21</f>
        <v>50</v>
      </c>
      <c r="G27" s="76" t="str">
        <f>"Plata comisioanelor" &amp; Declarații_CREDIT_VALUTA!B54</f>
        <v>Plata comisioanelor - CR-2026-001 - 2026-07</v>
      </c>
    </row>
    <row r="29">
      <c r="A29" s="76" t="inlineStr">
        <is>
          <t>Check Σ (structural)</t>
        </is>
      </c>
      <c r="B29" s="76">
        <f>C27-F27</f>
        <v>0</v>
      </c>
      <c r="C29" s="76" t="str">
        <f>IF(ABS(B29)&lt;0.01,"OK — nota se închide","EROARE")</f>
        <v>OK — nota se închide</v>
      </c>
    </row>
    <row r="31">
      <c r="A31" s="75" t="inlineStr">
        <is>
          <t>Bloc 4 — Reevaluarea soldului (PASUL CARE SE UITĂ)</t>
        </is>
      </c>
    </row>
    <row r="32">
      <c r="A32" s="76" t="inlineStr">
        <is>
          <t>Data jurnal:</t>
        </is>
      </c>
      <c r="B32" s="76" t="str">
        <f>Declarații_CREDIT_VALUTA!B9</f>
        <v>2026-07-31</v>
      </c>
    </row>
    <row r="34">
      <c r="A34" s="78" t="inlineStr">
        <is>
          <t>Nr</t>
        </is>
      </c>
      <c r="B34" s="78" t="inlineStr">
        <is>
          <t>Cont Dr</t>
        </is>
      </c>
      <c r="C34" s="78" t="inlineStr">
        <is>
          <t>Sumă Dr</t>
        </is>
      </c>
      <c r="D34" s="78" t="inlineStr">
        <is>
          <t>Descriere Dr</t>
        </is>
      </c>
      <c r="E34" s="78" t="inlineStr">
        <is>
          <t>Cont Cr</t>
        </is>
      </c>
      <c r="F34" s="78" t="inlineStr">
        <is>
          <t>Sumă Cr</t>
        </is>
      </c>
      <c r="G34" s="78" t="inlineStr">
        <is>
          <t>Descriere Cr</t>
        </is>
      </c>
    </row>
    <row r="35">
      <c r="A35" s="76" t="n">
        <v>1</v>
      </c>
      <c r="B35" s="76">
        <f>Declarații_CREDIT_VALUTA!B43</f>
        <v>665</v>
      </c>
      <c r="C35" s="76">
        <f>MAX(0,Declarații_CREDIT_VALUTA!B34)</f>
        <v>600</v>
      </c>
      <c r="D35" s="76" t="str">
        <f>"Reevaluare sold credit — diferență nefavorabilă" &amp; Declarații_CREDIT_VALUTA!B54</f>
        <v>Reevaluare sold credit — diferență nefavorabilă - CR-2026-001 - 2026-07</v>
      </c>
      <c r="E35" s="76" t="str">
        <f>Declarații_CREDIT_VALUTA!B37</f>
        <v>1621</v>
      </c>
      <c r="F35" s="76">
        <f>MAX(0,Declarații_CREDIT_VALUTA!B34)</f>
        <v>600</v>
      </c>
      <c r="G35" s="76" t="str">
        <f>"Creșterea datoriei din reevaluare" &amp; Declarații_CREDIT_VALUTA!B54</f>
        <v>Creșterea datoriei din reevaluare - CR-2026-001 - 2026-07</v>
      </c>
    </row>
    <row r="36">
      <c r="A36" s="76" t="n">
        <v>2</v>
      </c>
      <c r="B36" s="76" t="str">
        <f>Declarații_CREDIT_VALUTA!B37</f>
        <v>1621</v>
      </c>
      <c r="C36" s="76">
        <f>MAX(0,-Declarații_CREDIT_VALUTA!B34)</f>
        <v>0</v>
      </c>
      <c r="D36" s="76" t="str">
        <f>"Diminuarea datoriei din reevaluare" &amp; Declarații_CREDIT_VALUTA!B54</f>
        <v>Diminuarea datoriei din reevaluare - CR-2026-001 - 2026-07</v>
      </c>
      <c r="E36" s="76">
        <f>Declarații_CREDIT_VALUTA!B44</f>
        <v>765</v>
      </c>
      <c r="F36" s="76">
        <f>MAX(0,-Declarații_CREDIT_VALUTA!B34)</f>
        <v>0</v>
      </c>
      <c r="G36" s="76" t="str">
        <f>"Reevaluare sold credit — diferență favorabilă" &amp; Declarații_CREDIT_VALUTA!B54</f>
        <v>Reevaluare sold credit — diferență favorabilă - CR-2026-001 - 2026-07</v>
      </c>
    </row>
    <row r="38">
      <c r="A38" s="76" t="inlineStr">
        <is>
          <t>Check Σ (structural)</t>
        </is>
      </c>
      <c r="B38" s="76">
        <f>SUM(C35:C36)-SUM(F35:F36)</f>
        <v>0</v>
      </c>
      <c r="C38" s="76" t="str">
        <f>IF(ABS(B38)&lt;0.01,"OK — nota se închide","EROARE")</f>
        <v>OK — nota se închide</v>
      </c>
    </row>
    <row r="39">
      <c r="A39" s="76" t="inlineStr">
        <is>
          <t>Check sold final</t>
        </is>
      </c>
      <c r="B39" s="76">
        <f>Declarații_CREDIT_VALUTA!B33</f>
        <v>75150</v>
      </c>
      <c r="C39" s="76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3" t="inlineStr">
        <is>
          <t>MOD_CREDIT_VALUTA — Notă pentru import (1 rând = 1 înregistrare)</t>
        </is>
      </c>
    </row>
    <row r="2">
      <c r="A2" s="74" t="inlineStr">
        <is>
          <t>Filtrează pe Include = DA. Rândurile de diferență cu sumă zero ies singure.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Rata + diferență</t>
        </is>
      </c>
      <c r="C5" s="76" t="str">
        <f>Declarații_CREDIT_VALUTA!B8</f>
        <v>2026-07-15</v>
      </c>
      <c r="D5" s="76" t="str">
        <f>Jurnale_CREDIT_VALUTA!B8</f>
        <v>1621</v>
      </c>
      <c r="E5" s="76" t="str">
        <f>Jurnale_CREDIT_VALUTA!E8</f>
        <v>5124</v>
      </c>
      <c r="F5" s="76">
        <f>MAX(N(Jurnale_CREDIT_VALUTA!C8),N(Jurnale_CREDIT_VALUTA!F8))</f>
        <v>24950</v>
      </c>
      <c r="G5" s="76" t="str">
        <f>Jurnale_CREDIT_VALUTA!D8</f>
        <v>Rambursare rată de capital - CR-2026-001 - 2026-07</v>
      </c>
      <c r="H5" s="76" t="inlineStr">
        <is>
          <t>Scadențar + extras</t>
        </is>
      </c>
      <c r="I5" s="76" t="str">
        <f>IF(N(F5)&gt;0.005,"DA","NU")</f>
        <v>DA</v>
      </c>
    </row>
    <row r="6">
      <c r="A6" s="76" t="n">
        <v>2</v>
      </c>
      <c r="B6" s="76" t="inlineStr">
        <is>
          <t>Bloc 1 — Rata + diferență</t>
        </is>
      </c>
      <c r="C6" s="76" t="str">
        <f>Declarații_CREDIT_VALUTA!B8</f>
        <v>2026-07-15</v>
      </c>
      <c r="D6" s="76">
        <f>Jurnale_CREDIT_VALUTA!B9</f>
        <v>665</v>
      </c>
      <c r="E6" s="76">
        <f>Jurnale_CREDIT_VALUTA!E9</f>
        <v>0</v>
      </c>
      <c r="F6" s="76">
        <f>MAX(N(Jurnale_CREDIT_VALUTA!C9),N(Jurnale_CREDIT_VALUTA!F9))</f>
        <v>100</v>
      </c>
      <c r="G6" s="76" t="str">
        <f>Jurnale_CREDIT_VALUTA!D9</f>
        <v>Diferență de curs nefavorabilă la plată - CR-2026-001 - 2026-07</v>
      </c>
      <c r="H6" s="76" t="inlineStr">
        <is>
          <t>Scadențar + extras</t>
        </is>
      </c>
      <c r="I6" s="76" t="str">
        <f>IF(N(F6)&gt;0.005,"DA","NU")</f>
        <v>DA</v>
      </c>
    </row>
    <row r="7">
      <c r="A7" s="76" t="n">
        <v>3</v>
      </c>
      <c r="B7" s="76" t="inlineStr">
        <is>
          <t>Bloc 1 — Rata + diferență</t>
        </is>
      </c>
      <c r="C7" s="76" t="str">
        <f>Declarații_CREDIT_VALUTA!B8</f>
        <v>2026-07-15</v>
      </c>
      <c r="D7" s="76">
        <f>Jurnale_CREDIT_VALUTA!B10</f>
        <v>0</v>
      </c>
      <c r="E7" s="76">
        <f>Jurnale_CREDIT_VALUTA!E10</f>
        <v>765</v>
      </c>
      <c r="F7" s="76">
        <f>MAX(N(Jurnale_CREDIT_VALUTA!C10),N(Jurnale_CREDIT_VALUTA!F10))</f>
        <v>0</v>
      </c>
      <c r="G7" s="76">
        <f>Jurnale_CREDIT_VALUTA!D10</f>
        <v>0</v>
      </c>
      <c r="H7" s="76" t="inlineStr">
        <is>
          <t>Scadențar + extras</t>
        </is>
      </c>
      <c r="I7" s="76" t="str">
        <f>IF(N(F7)&gt;0.005,"DA","NU")</f>
        <v>NU</v>
      </c>
    </row>
    <row r="8">
      <c r="A8" s="76" t="n">
        <v>4</v>
      </c>
      <c r="B8" s="76" t="inlineStr">
        <is>
          <t>Bloc 2 — Dobânda</t>
        </is>
      </c>
      <c r="C8" s="76" t="str">
        <f>Declarații_CREDIT_VALUTA!B8</f>
        <v>2026-07-15</v>
      </c>
      <c r="D8" s="76">
        <f>Jurnale_CREDIT_VALUTA!B19</f>
        <v>666</v>
      </c>
      <c r="E8" s="76" t="str">
        <f>Jurnale_CREDIT_VALUTA!E19</f>
        <v>5124</v>
      </c>
      <c r="F8" s="76">
        <f>MAX(N(Jurnale_CREDIT_VALUTA!C19),N(Jurnale_CREDIT_VALUTA!F19))</f>
        <v>998</v>
      </c>
      <c r="G8" s="76" t="str">
        <f>Jurnale_CREDIT_VALUTA!D19</f>
        <v>Dobândă aferentă creditului - CR-2026-001 - 2026-07</v>
      </c>
      <c r="H8" s="76" t="inlineStr">
        <is>
          <t>Scadențar + extras</t>
        </is>
      </c>
      <c r="I8" s="76" t="str">
        <f>IF(N(F8)&gt;0.005,"DA","NU")</f>
        <v>DA</v>
      </c>
    </row>
    <row r="9">
      <c r="A9" s="76" t="n">
        <v>5</v>
      </c>
      <c r="B9" s="76" t="inlineStr">
        <is>
          <t>Bloc 3 — Comisioane</t>
        </is>
      </c>
      <c r="C9" s="76" t="str">
        <f>Declarații_CREDIT_VALUTA!B8</f>
        <v>2026-07-15</v>
      </c>
      <c r="D9" s="76">
        <f>Jurnale_CREDIT_VALUTA!B27</f>
        <v>627</v>
      </c>
      <c r="E9" s="76" t="str">
        <f>Jurnale_CREDIT_VALUTA!E27</f>
        <v>5121</v>
      </c>
      <c r="F9" s="76">
        <f>MAX(N(Jurnale_CREDIT_VALUTA!C27),N(Jurnale_CREDIT_VALUTA!F27))</f>
        <v>50</v>
      </c>
      <c r="G9" s="76" t="str">
        <f>Jurnale_CREDIT_VALUTA!D27</f>
        <v>Comisioane bancare aferente creditului - CR-2026-001 - 2026-07</v>
      </c>
      <c r="H9" s="76" t="inlineStr">
        <is>
          <t>Scadențar + extras</t>
        </is>
      </c>
      <c r="I9" s="76" t="str">
        <f>IF(N(F9)&gt;0.005,"DA","NU")</f>
        <v>DA</v>
      </c>
    </row>
    <row r="10">
      <c r="A10" s="76" t="n">
        <v>6</v>
      </c>
      <c r="B10" s="76" t="inlineStr">
        <is>
          <t>Bloc 4 — Reevaluare</t>
        </is>
      </c>
      <c r="C10" s="76" t="str">
        <f>Declarații_CREDIT_VALUTA!B9</f>
        <v>2026-07-31</v>
      </c>
      <c r="D10" s="76">
        <f>Jurnale_CREDIT_VALUTA!B35</f>
        <v>665</v>
      </c>
      <c r="E10" s="76" t="str">
        <f>Jurnale_CREDIT_VALUTA!E35</f>
        <v>1621</v>
      </c>
      <c r="F10" s="76">
        <f>MAX(N(Jurnale_CREDIT_VALUTA!C35),N(Jurnale_CREDIT_VALUTA!F35))</f>
        <v>600</v>
      </c>
      <c r="G10" s="76" t="str">
        <f>Jurnale_CREDIT_VALUTA!D35</f>
        <v>Reevaluare sold credit — diferență nefavorabilă - CR-2026-001 - 2026-07</v>
      </c>
      <c r="H10" s="76" t="inlineStr">
        <is>
          <t>Scadențar + extras</t>
        </is>
      </c>
      <c r="I10" s="76" t="str">
        <f>IF(N(F10)&gt;0.005,"DA","NU")</f>
        <v>DA</v>
      </c>
    </row>
    <row r="11">
      <c r="A11" s="76" t="n">
        <v>7</v>
      </c>
      <c r="B11" s="76" t="inlineStr">
        <is>
          <t>Bloc 4 — Reevaluare</t>
        </is>
      </c>
      <c r="C11" s="76" t="str">
        <f>Declarații_CREDIT_VALUTA!B9</f>
        <v>2026-07-31</v>
      </c>
      <c r="D11" s="76" t="str">
        <f>Jurnale_CREDIT_VALUTA!B36</f>
        <v>1621</v>
      </c>
      <c r="E11" s="76">
        <f>Jurnale_CREDIT_VALUTA!E36</f>
        <v>765</v>
      </c>
      <c r="F11" s="76">
        <f>MAX(N(Jurnale_CREDIT_VALUTA!C36),N(Jurnale_CREDIT_VALUTA!F36))</f>
        <v>0</v>
      </c>
      <c r="G11" s="76" t="str">
        <f>Jurnale_CREDIT_VALUTA!D36</f>
        <v>Diminuarea datoriei din reevaluare - CR-2026-001 - 2026-07</v>
      </c>
      <c r="H11" s="76" t="inlineStr">
        <is>
          <t>Scadențar + extras</t>
        </is>
      </c>
      <c r="I11" s="76" t="str">
        <f>IF(N(F11)&gt;0.005,"DA","NU")</f>
        <v>NU</v>
      </c>
    </row>
    <row r="13">
      <c r="A13" s="76" t="inlineStr">
        <is>
          <t>Rânduri de importat (Include=DA)</t>
        </is>
      </c>
      <c r="B13" s="76">
        <f>COUNTIF(I5:I11,"DA")</f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3" t="inlineStr">
        <is>
          <t>MOD_PROVIZION — Declarații (input)</t>
        </is>
      </c>
    </row>
    <row r="2">
      <c r="A2" s="74" t="inlineStr">
        <is>
          <t>Tipul provizionului comandă contul ȘI deductibilitatea. Valorile implicite reproduc monografia din F-106 (litigiu, 8.000 lei).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Obiectul provizionului</t>
        </is>
      </c>
      <c r="B6" s="77" t="inlineStr">
        <is>
          <t>Litigiu comercial cu clientul X</t>
        </is>
      </c>
    </row>
    <row r="7">
      <c r="A7" s="76" t="inlineStr">
        <is>
          <t>Data constituirii</t>
        </is>
      </c>
      <c r="B7" s="77" t="inlineStr">
        <is>
          <t>2026-12-31</t>
        </is>
      </c>
      <c r="C7" s="74" t="inlineStr">
        <is>
          <t>Exercițiul în care s-a NĂSCUT obligația, nu cel în care se plătește</t>
        </is>
      </c>
    </row>
    <row r="8">
      <c r="A8" s="76" t="inlineStr">
        <is>
          <t>Data reluării</t>
        </is>
      </c>
      <c r="B8" s="77" t="inlineStr">
        <is>
          <t>2027-04-30</t>
        </is>
      </c>
    </row>
    <row r="10">
      <c r="A10" s="75" t="inlineStr">
        <is>
          <t>2. Provizionul</t>
        </is>
      </c>
    </row>
    <row r="11">
      <c r="A11" s="76" t="inlineStr">
        <is>
          <t>Tip (LITIGII / GARANTII / RESTRUCTURARE / IMPOZITE / TERMINARE / ALTE)</t>
        </is>
      </c>
      <c r="B11" s="77" t="inlineStr">
        <is>
          <t>LITIGII</t>
        </is>
      </c>
    </row>
    <row r="12">
      <c r="A12" s="76" t="inlineStr">
        <is>
          <t>Sumă estimată</t>
        </is>
      </c>
      <c r="B12" s="77" t="n">
        <v>8000</v>
      </c>
      <c r="C12" s="74" t="inlineStr">
        <is>
          <t>Estimare credibilă la data bilanțului; se revizuiește la fiecare bilanț</t>
        </is>
      </c>
    </row>
    <row r="14">
      <c r="A14" s="75" t="inlineStr">
        <is>
          <t>3. Cheltuiala efectivă (anul următor)</t>
        </is>
      </c>
    </row>
    <row r="15">
      <c r="A15" s="76" t="inlineStr">
        <is>
          <t>Sumă facturată efectiv</t>
        </is>
      </c>
      <c r="B15" s="77" t="n">
        <v>8000</v>
      </c>
    </row>
    <row r="16">
      <c r="A16" s="76" t="inlineStr">
        <is>
          <t>TVA pe factură</t>
        </is>
      </c>
      <c r="B16" s="76">
        <f>ROUND(B15*Parametri!B10,2)</f>
        <v>1680</v>
      </c>
    </row>
    <row r="18">
      <c r="A18" s="75" t="inlineStr">
        <is>
          <t>4. Calcul automat (nu edita)</t>
        </is>
      </c>
    </row>
    <row r="19">
      <c r="A19" s="76" t="inlineStr">
        <is>
          <t>Cont provizion</t>
        </is>
      </c>
      <c r="B19" s="76" t="str">
        <f>IFERROR(VLOOKUP(B11,Reguli_PROVIZION!$A$6:$E$11,3,FALSE),"?")</f>
        <v>1511</v>
      </c>
    </row>
    <row r="20">
      <c r="A20" s="76" t="inlineStr">
        <is>
          <t>Deductibil fiscal?</t>
        </is>
      </c>
      <c r="B20" s="76" t="str">
        <f>IFERROR(VLOOKUP(B11,Reguli_PROVIZION!$A$6:$E$11,4,FALSE),"?")</f>
        <v>NU</v>
      </c>
    </row>
    <row r="21">
      <c r="A21" s="76" t="inlineStr">
        <is>
          <t>Temei</t>
        </is>
      </c>
      <c r="B21" s="76" t="str">
        <f>IFERROR(VLOOKUP(B11,Reguli_PROVIZION!$A$6:$E$11,5,FALSE),"tip necunoscut")</f>
        <v>art. 26 CF nu îl enumeră printre cele deductibile</v>
      </c>
    </row>
    <row r="22">
      <c r="A22" s="76" t="inlineStr">
        <is>
          <t>Efect fiscal la constituire</t>
        </is>
      </c>
      <c r="B22" s="76">
        <f>IF(B20="DA",0,ROUND(B12*param_cota_impozit_profit,2))</f>
        <v>1280</v>
      </c>
      <c r="C22" s="74" t="inlineStr">
        <is>
          <t>Impozit suplimentar de plătit dacă provizionul e nedeductibil</t>
        </is>
      </c>
    </row>
    <row r="24">
      <c r="A24" s="75" t="inlineStr">
        <is>
          <t>5. Conturi</t>
        </is>
      </c>
    </row>
    <row r="25">
      <c r="A25" s="76" t="inlineStr">
        <is>
          <t>Cont cheltuială cu provizioane</t>
        </is>
      </c>
      <c r="B25" s="77" t="n">
        <v>6812</v>
      </c>
    </row>
    <row r="26">
      <c r="A26" s="76" t="inlineStr">
        <is>
          <t>Cont venit din reluarea provizioanelor</t>
        </is>
      </c>
      <c r="B26" s="77" t="n">
        <v>7812</v>
      </c>
    </row>
    <row r="27">
      <c r="A27" s="76" t="inlineStr">
        <is>
          <t>Cont cheltuială efectivă</t>
        </is>
      </c>
      <c r="B27" s="77" t="n">
        <v>628</v>
      </c>
      <c r="C27" s="74" t="inlineStr">
        <is>
          <t>Contul real al cheltuielii — NU contul de provizion</t>
        </is>
      </c>
    </row>
    <row r="28">
      <c r="A28" s="76" t="inlineStr">
        <is>
          <t>Cont TVA deductibilă</t>
        </is>
      </c>
      <c r="B28" s="77" t="n">
        <v>4426</v>
      </c>
    </row>
    <row r="29">
      <c r="A29" s="76" t="inlineStr">
        <is>
          <t>Cont furnizor</t>
        </is>
      </c>
      <c r="B29" s="77" t="inlineStr">
        <is>
          <t>401</t>
        </is>
      </c>
    </row>
    <row r="31">
      <c r="A31" s="75" t="inlineStr">
        <is>
          <t>6. Controale</t>
        </is>
      </c>
    </row>
    <row r="32">
      <c r="A32" s="76" t="inlineStr">
        <is>
          <t>Check tip recunoscut</t>
        </is>
      </c>
      <c r="B32" s="76" t="str">
        <f>B19</f>
        <v>1511</v>
      </c>
      <c r="C32" s="76" t="str">
        <f>IF(B19="?","EROARE — tip de provizion necunoscut","OK — cont " &amp; B19)</f>
        <v>OK — cont 1511</v>
      </c>
    </row>
    <row r="33">
      <c r="A33" s="76" t="inlineStr">
        <is>
          <t>Check deductibilitate</t>
        </is>
      </c>
      <c r="B33" s="76">
        <f>B22</f>
        <v>1280</v>
      </c>
      <c r="C33" s="76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76" t="inlineStr">
        <is>
          <t>Reminder: NU e optimizare fiscală</t>
        </is>
      </c>
      <c r="B34" s="76" t="str">
        <f>"regulă"</f>
        <v>regulă</v>
      </c>
      <c r="C34" s="76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76" t="inlineStr">
        <is>
          <t>Reminder: factura NU atinge contul de provizion</t>
        </is>
      </c>
      <c r="B35" s="76">
        <f>B15</f>
        <v>8000</v>
      </c>
      <c r="C35" s="76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76" t="inlineStr">
        <is>
          <t>Check estimare vs. realizat</t>
        </is>
      </c>
      <c r="B36" s="76">
        <f>B15-B12</f>
        <v>0</v>
      </c>
      <c r="C36" s="76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75" t="inlineStr">
        <is>
          <t>7. Sufix generat</t>
        </is>
      </c>
    </row>
    <row r="39">
      <c r="A39" s="76" t="inlineStr">
        <is>
          <t>Sufix</t>
        </is>
      </c>
      <c r="B39" s="76" t="str">
        <f>" - " &amp; B6</f>
        <v> - Litigiu comercial cu clientul X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3" t="inlineStr">
        <is>
          <t>MOD_PROVIZION — Reguli (tabele fixe)</t>
        </is>
      </c>
    </row>
    <row r="2">
      <c r="A2" s="74" t="inlineStr">
        <is>
          <t>Tabelul A e citit de formulele din Declarații. Se editează doar când se schimbă art. 26 din Codul fiscal.</t>
        </is>
      </c>
    </row>
    <row r="4">
      <c r="A4" s="75" t="inlineStr">
        <is>
          <t>Tabel A — Tipuri de provizion, cont și deductibilitate</t>
        </is>
      </c>
    </row>
    <row r="5">
      <c r="A5" s="78" t="inlineStr">
        <is>
          <t>Cod</t>
        </is>
      </c>
      <c r="B5" s="78" t="inlineStr">
        <is>
          <t>Denumire</t>
        </is>
      </c>
      <c r="C5" s="78" t="inlineStr">
        <is>
          <t>Cont</t>
        </is>
      </c>
      <c r="D5" s="78" t="inlineStr">
        <is>
          <t>Deductibil</t>
        </is>
      </c>
      <c r="E5" s="78" t="inlineStr">
        <is>
          <t>Temei</t>
        </is>
      </c>
    </row>
    <row r="6">
      <c r="A6" s="76" t="inlineStr">
        <is>
          <t>LITIGII</t>
        </is>
      </c>
      <c r="B6" s="76" t="inlineStr">
        <is>
          <t>Provizioane pentru litigii</t>
        </is>
      </c>
      <c r="C6" s="76" t="inlineStr">
        <is>
          <t>1511</t>
        </is>
      </c>
      <c r="D6" s="76" t="inlineStr">
        <is>
          <t>NU</t>
        </is>
      </c>
      <c r="E6" s="76" t="inlineStr">
        <is>
          <t>art. 26 CF nu îl enumeră printre cele deductibile</t>
        </is>
      </c>
    </row>
    <row r="7">
      <c r="A7" s="76" t="inlineStr">
        <is>
          <t>GARANTII</t>
        </is>
      </c>
      <c r="B7" s="76" t="inlineStr">
        <is>
          <t>Provizioane pentru garanții acordate clienților</t>
        </is>
      </c>
      <c r="C7" s="76" t="inlineStr">
        <is>
          <t>1512</t>
        </is>
      </c>
      <c r="D7" s="76" t="inlineStr">
        <is>
          <t>DA</t>
        </is>
      </c>
      <c r="E7" s="76" t="inlineStr">
        <is>
          <t>art. 26 alin. (1) lit. b) CF — în limita cotei prevăzute în contracte</t>
        </is>
      </c>
    </row>
    <row r="8">
      <c r="A8" s="76" t="inlineStr">
        <is>
          <t>RESTRUCTURARE</t>
        </is>
      </c>
      <c r="B8" s="76" t="inlineStr">
        <is>
          <t>Provizioane pentru restructurare</t>
        </is>
      </c>
      <c r="C8" s="76" t="inlineStr">
        <is>
          <t>1514</t>
        </is>
      </c>
      <c r="D8" s="76" t="inlineStr">
        <is>
          <t>NU</t>
        </is>
      </c>
      <c r="E8" s="76" t="inlineStr">
        <is>
          <t>nu figurează printre cele deductibile</t>
        </is>
      </c>
    </row>
    <row r="9">
      <c r="A9" s="76" t="inlineStr">
        <is>
          <t>IMPOZITE</t>
        </is>
      </c>
      <c r="B9" s="76" t="inlineStr">
        <is>
          <t>Provizioane pentru impozite</t>
        </is>
      </c>
      <c r="C9" s="76" t="inlineStr">
        <is>
          <t>1516</t>
        </is>
      </c>
      <c r="D9" s="76" t="inlineStr">
        <is>
          <t>NU</t>
        </is>
      </c>
      <c r="E9" s="76" t="inlineStr">
        <is>
          <t>nu figurează printre cele deductibile</t>
        </is>
      </c>
    </row>
    <row r="10">
      <c r="A10" s="76" t="inlineStr">
        <is>
          <t>TERMINARE</t>
        </is>
      </c>
      <c r="B10" s="76" t="inlineStr">
        <is>
          <t>Provizioane pentru terminarea contractului de muncă</t>
        </is>
      </c>
      <c r="C10" s="76" t="inlineStr">
        <is>
          <t>1517</t>
        </is>
      </c>
      <c r="D10" s="76" t="inlineStr">
        <is>
          <t>NU</t>
        </is>
      </c>
      <c r="E10" s="76" t="inlineStr">
        <is>
          <t>nu figurează printre cele deductibile</t>
        </is>
      </c>
    </row>
    <row r="11">
      <c r="A11" s="76" t="inlineStr">
        <is>
          <t>ALTE</t>
        </is>
      </c>
      <c r="B11" s="76" t="inlineStr">
        <is>
          <t>Alte provizioane</t>
        </is>
      </c>
      <c r="C11" s="76" t="inlineStr">
        <is>
          <t>1518</t>
        </is>
      </c>
      <c r="D11" s="76" t="inlineStr">
        <is>
          <t>NU</t>
        </is>
      </c>
      <c r="E11" s="76" t="inlineStr">
        <is>
          <t>verifică art. 26 CF pentru cazul concret</t>
        </is>
      </c>
    </row>
    <row r="13">
      <c r="A13" s="75" t="inlineStr">
        <is>
          <t>Tabel B — Condițiile de recunoaștere (toate trei, cumulativ)</t>
        </is>
      </c>
    </row>
    <row r="14">
      <c r="A14" s="78" t="inlineStr">
        <is>
          <t>Condiție</t>
        </is>
      </c>
      <c r="B14" s="78" t="inlineStr">
        <is>
          <t>Ce înseamnă</t>
        </is>
      </c>
      <c r="C14" s="78" t="inlineStr"/>
      <c r="D14" s="78" t="inlineStr"/>
      <c r="E14" s="78" t="inlineStr">
        <is>
          <t>Dacă lipsește</t>
        </is>
      </c>
    </row>
    <row r="15">
      <c r="A15" s="76" t="inlineStr">
        <is>
          <t>Obligație actuală</t>
        </is>
      </c>
      <c r="B15" s="76" t="inlineStr">
        <is>
          <t>din eveniment trecut, la data bilanțului</t>
        </is>
      </c>
      <c r="C15" s="76" t="inlineStr"/>
      <c r="D15" s="76" t="inlineStr"/>
      <c r="E15" s="76" t="inlineStr">
        <is>
          <t>Nu e provizion — e o intenție</t>
        </is>
      </c>
    </row>
    <row r="16">
      <c r="A16" s="76" t="inlineStr">
        <is>
          <t>Ieșire probabilă de resurse</t>
        </is>
      </c>
      <c r="B16" s="76" t="inlineStr">
        <is>
          <t>mai degrabă da decât nu</t>
        </is>
      </c>
      <c r="C16" s="76" t="inlineStr"/>
      <c r="D16" s="76" t="inlineStr"/>
      <c r="E16" s="76" t="inlineStr">
        <is>
          <t>Rămâne datorie contingentă — se prezintă în note, nu se înregistrează</t>
        </is>
      </c>
    </row>
    <row r="17">
      <c r="A17" s="76" t="inlineStr">
        <is>
          <t>Estimare credibilă</t>
        </is>
      </c>
      <c r="B17" s="76" t="inlineStr">
        <is>
          <t>suma se poate evalua rezonabil</t>
        </is>
      </c>
      <c r="C17" s="76" t="inlineStr"/>
      <c r="D17" s="76" t="inlineStr"/>
      <c r="E17" s="76" t="inlineStr">
        <is>
          <t>Se prezintă în note, fără sumă</t>
        </is>
      </c>
    </row>
    <row r="19">
      <c r="A19" s="75" t="inlineStr">
        <is>
          <t>Tabel C — LIMITĂRI DECLARATE ale modulului</t>
        </is>
      </c>
    </row>
    <row r="20">
      <c r="A20" s="78" t="inlineStr">
        <is>
          <t>Ce NU tratează</t>
        </is>
      </c>
      <c r="B20" s="78" t="inlineStr">
        <is>
          <t>De ce</t>
        </is>
      </c>
      <c r="C20" s="78" t="inlineStr">
        <is>
          <t>Ce faci</t>
        </is>
      </c>
      <c r="D20" s="78" t="inlineStr"/>
      <c r="E20" s="78" t="inlineStr">
        <is>
          <t>Efect dacă îl ignori</t>
        </is>
      </c>
    </row>
    <row r="21">
      <c r="A21" s="76" t="inlineStr">
        <is>
          <t>Actualizarea provizioanelor pe termen lung</t>
        </is>
      </c>
      <c r="B21" s="76" t="inlineStr">
        <is>
          <t>Provizioanele scadente peste un an se pot actualiza la valoarea prezentă.</t>
        </is>
      </c>
      <c r="C21" s="76" t="inlineStr">
        <is>
          <t>Dacă politica firmei o cere, actualizează și trece diferența pe 686/786.</t>
        </is>
      </c>
      <c r="D21" s="76" t="inlineStr"/>
      <c r="E21" s="76" t="inlineStr">
        <is>
          <t>Provizionul e supraevaluat față de valoarea prezentă</t>
        </is>
      </c>
    </row>
    <row r="22">
      <c r="A22" s="76" t="inlineStr">
        <is>
          <t>Revizuirea la fiecare bilanț</t>
        </is>
      </c>
      <c r="B22" s="76" t="inlineStr">
        <is>
          <t>Modulul tratează un ciclu constituire → reluare, nu ajustările intermediare.</t>
        </is>
      </c>
      <c r="C22" s="76" t="inlineStr">
        <is>
          <t>La fiecare bilanț, reevaluează și ajustează prin aceleași conturi.</t>
        </is>
      </c>
      <c r="D22" s="76" t="inlineStr"/>
      <c r="E22" s="76" t="inlineStr">
        <is>
          <t>Provizionul rămâne la estimarea inițială, care poate fi depășită</t>
        </is>
      </c>
    </row>
    <row r="23">
      <c r="A23" s="76" t="inlineStr">
        <is>
          <t>Provizioane pentru garanții cu cotă contractuală</t>
        </is>
      </c>
      <c r="B23" s="76" t="inlineStr">
        <is>
          <t>Deductibilitatea lor e limitată la cota din contracte, care variază.</t>
        </is>
      </c>
      <c r="C23" s="76" t="inlineStr">
        <is>
          <t>Verifică art. 26 alin. (1) lit. b) și cota din contractul concret.</t>
        </is>
      </c>
      <c r="D23" s="76" t="inlineStr"/>
      <c r="E23" s="76" t="inlineStr">
        <is>
          <t>Partea peste cotă rămâne nedeductibilă și nesemnalată</t>
        </is>
      </c>
    </row>
    <row r="24">
      <c r="A24" s="76" t="inlineStr">
        <is>
          <t>Utilizarea pentru altă cheltuială decât cea constituită</t>
        </is>
      </c>
      <c r="B24" s="76" t="inlineStr">
        <is>
          <t>Interzisă — provizionul e specific obligației.</t>
        </is>
      </c>
      <c r="C24" s="76" t="inlineStr">
        <is>
          <t>Reia provizionul vechi și constituie unul nou.</t>
        </is>
      </c>
      <c r="D24" s="76" t="inlineStr"/>
      <c r="E24" s="76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MOD_PROVIZION — Jurnale (generate automat)</t>
        </is>
      </c>
    </row>
    <row r="2">
      <c r="A2" s="74" t="inlineStr">
        <is>
          <t>Blocul 2 e INDEPENDENT de blocurile 1 și 3: factura se înregistrează pe contul real de cheltuială, nu pe contul de provizion.</t>
        </is>
      </c>
    </row>
    <row r="4">
      <c r="A4" s="75" t="inlineStr">
        <is>
          <t>Bloc 1 — Constituirea provizionului (exercițiul N)</t>
        </is>
      </c>
    </row>
    <row r="5">
      <c r="A5" s="76" t="inlineStr">
        <is>
          <t>Data jurnal:</t>
        </is>
      </c>
      <c r="B5" s="76" t="str">
        <f>Declarații_PROVIZION!B7</f>
        <v>2026-12-31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Declarații_PROVIZION!B25</f>
        <v>6812</v>
      </c>
      <c r="C8" s="76">
        <f>Declarații_PROVIZION!B12</f>
        <v>8000</v>
      </c>
      <c r="D8" s="76" t="str">
        <f>"Constituire provizion" &amp; Declarații_PROVIZION!B39</f>
        <v>Constituire provizion - Litigiu comercial cu clientul X</v>
      </c>
      <c r="E8" s="76" t="str">
        <f>Declarații_PROVIZION!B19</f>
        <v>1511</v>
      </c>
      <c r="F8" s="76">
        <f>Declarații_PROVIZION!B12</f>
        <v>8000</v>
      </c>
      <c r="G8" s="76" t="str">
        <f>"Provizion constituit" &amp; Declarații_PROVIZION!B39</f>
        <v>Provizion constituit - Litigiu comercial cu clientul X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Declarativ</t>
        </is>
      </c>
      <c r="B11" s="76" t="str">
        <f>Declarații_PROVIZION!B20</f>
        <v>NU</v>
      </c>
      <c r="C11" s="76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75" t="inlineStr">
        <is>
          <t>Bloc 2 — Factura efectivă (exercițiul N+1) — INDEPENDENT</t>
        </is>
      </c>
    </row>
    <row r="14">
      <c r="A14" s="76" t="inlineStr">
        <is>
          <t>Data jurnal:</t>
        </is>
      </c>
      <c r="B14" s="76" t="str">
        <f>Declarații_PROVIZION!B8</f>
        <v>2027-04-30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>
        <f>Declarații_PROVIZION!B27</f>
        <v>628</v>
      </c>
      <c r="C17" s="76">
        <f>Declarații_PROVIZION!B15</f>
        <v>8000</v>
      </c>
      <c r="D17" s="76" t="str">
        <f>"Cheltuiala efectivă, pe contul ei real" &amp; Declarații_PROVIZION!B39</f>
        <v>Cheltuiala efectivă, pe contul ei real - Litigiu comercial cu clientul X</v>
      </c>
      <c r="E17" s="76" t="str">
        <f>Declarații_PROVIZION!B29</f>
        <v>401</v>
      </c>
      <c r="F17" s="76">
        <f>Declarații_PROVIZION!B15+Declarații_PROVIZION!B16</f>
        <v>9680</v>
      </c>
      <c r="G17" s="76" t="str">
        <f>"Datorie față de furnizor" &amp; Declarații_PROVIZION!B39</f>
        <v>Datorie față de furnizor - Litigiu comercial cu clientul X</v>
      </c>
    </row>
    <row r="18">
      <c r="A18" s="76" t="n">
        <v>2</v>
      </c>
      <c r="B18" s="76">
        <f>Declarații_PROVIZION!B28</f>
        <v>4426</v>
      </c>
      <c r="C18" s="76">
        <f>Declarații_PROVIZION!B16</f>
        <v>1680</v>
      </c>
      <c r="D18" s="76" t="str">
        <f>"TVA deductibilă" &amp; Declarații_PROVIZION!B39</f>
        <v>TVA deductibilă - Litigiu comercial cu clientul X</v>
      </c>
    </row>
    <row r="20">
      <c r="A20" s="76" t="inlineStr">
        <is>
          <t>Check Σ (structural)</t>
        </is>
      </c>
      <c r="B20" s="76">
        <f>SUM(C17:C18)-SUM(F17:F18)</f>
        <v>0</v>
      </c>
      <c r="C20" s="76" t="str">
        <f>IF(ABS(B20)&lt;0.01,"OK — nota se închide","EROARE")</f>
        <v>OK — nota se închide</v>
      </c>
    </row>
    <row r="21">
      <c r="A21" s="76" t="inlineStr">
        <is>
          <t>Check: nu atinge contul de provizion</t>
        </is>
      </c>
      <c r="B21" s="76" t="str">
        <f>Declarații_PROVIZION!B19</f>
        <v>1511</v>
      </c>
      <c r="C21" s="76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75" t="inlineStr">
        <is>
          <t>Bloc 3 — Reluarea provizionului (exercițiul N+1)</t>
        </is>
      </c>
    </row>
    <row r="24">
      <c r="A24" s="76" t="inlineStr">
        <is>
          <t>Data jurnal:</t>
        </is>
      </c>
      <c r="B24" s="76" t="str">
        <f>Declarații_PROVIZION!B8</f>
        <v>2027-04-30</v>
      </c>
    </row>
    <row r="26">
      <c r="A26" s="78" t="inlineStr">
        <is>
          <t>Nr</t>
        </is>
      </c>
      <c r="B26" s="78" t="inlineStr">
        <is>
          <t>Cont Dr</t>
        </is>
      </c>
      <c r="C26" s="78" t="inlineStr">
        <is>
          <t>Sumă Dr</t>
        </is>
      </c>
      <c r="D26" s="78" t="inlineStr">
        <is>
          <t>Descriere Dr</t>
        </is>
      </c>
      <c r="E26" s="78" t="inlineStr">
        <is>
          <t>Cont Cr</t>
        </is>
      </c>
      <c r="F26" s="78" t="inlineStr">
        <is>
          <t>Sumă Cr</t>
        </is>
      </c>
      <c r="G26" s="78" t="inlineStr">
        <is>
          <t>Descriere Cr</t>
        </is>
      </c>
    </row>
    <row r="27">
      <c r="A27" s="76" t="n">
        <v>1</v>
      </c>
      <c r="B27" s="76" t="str">
        <f>Declarații_PROVIZION!B19</f>
        <v>1511</v>
      </c>
      <c r="C27" s="76">
        <f>Declarații_PROVIZION!B12</f>
        <v>8000</v>
      </c>
      <c r="D27" s="76" t="str">
        <f>"Reluarea provizionului, obligația s-a stins" &amp; Declarații_PROVIZION!B39</f>
        <v>Reluarea provizionului, obligația s-a stins - Litigiu comercial cu clientul X</v>
      </c>
      <c r="E27" s="76">
        <f>Declarații_PROVIZION!B26</f>
        <v>7812</v>
      </c>
      <c r="F27" s="76">
        <f>Declarații_PROVIZION!B12</f>
        <v>8000</v>
      </c>
      <c r="G27" s="76" t="str">
        <f>"Venit din reluarea provizionului" &amp; Declarații_PROVIZION!B39</f>
        <v>Venit din reluarea provizionului - Litigiu comercial cu clientul X</v>
      </c>
    </row>
    <row r="29">
      <c r="A29" s="76" t="inlineStr">
        <is>
          <t>Check Σ (structural)</t>
        </is>
      </c>
      <c r="B29" s="76">
        <f>C27-F27</f>
        <v>0</v>
      </c>
      <c r="C29" s="76" t="str">
        <f>IF(ABS(B29)&lt;0.01,"OK — nota se închide","EROARE")</f>
        <v>OK — nota se închide</v>
      </c>
    </row>
    <row r="30">
      <c r="A30" s="76" t="inlineStr">
        <is>
          <t>Check sold provizion după reluare</t>
        </is>
      </c>
      <c r="B30" s="76">
        <f>Declarații_PROVIZION!B12-Declarații_PROVIZION!B12</f>
        <v>0</v>
      </c>
      <c r="C30" s="76" t="str">
        <f>IF(ABS(B30)&lt;0.01,"OK — soldul contului de provizion = 0","EROARE")</f>
        <v>OK — soldul contului de provizion = 0</v>
      </c>
    </row>
    <row r="31">
      <c r="A31" s="76" t="inlineStr">
        <is>
          <t>Efect fiscal pe cei doi ani</t>
        </is>
      </c>
      <c r="B31" s="76">
        <f>Declarații_PROVIZION!B22</f>
        <v>1280</v>
      </c>
      <c r="C31" s="76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3" t="inlineStr">
        <is>
          <t>MOD_PROVIZION — Notă pentru import (1 rând = 1 înregistrare)</t>
        </is>
      </c>
    </row>
    <row r="2">
      <c r="A2" s="74" t="inlineStr">
        <is>
          <t>Blocurile 1 și 3 aparțin exercițiilor diferite. Filtrează pe Include = DA și pe dată înainte de import.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Constituire</t>
        </is>
      </c>
      <c r="C5" s="76" t="str">
        <f>Declarații_PROVIZION!B7</f>
        <v>2026-12-31</v>
      </c>
      <c r="D5" s="76">
        <f>Jurnale_PROVIZION!B8</f>
        <v>6812</v>
      </c>
      <c r="E5" s="76" t="str">
        <f>Jurnale_PROVIZION!E8</f>
        <v>1511</v>
      </c>
      <c r="F5" s="76">
        <f>MAX(N(Jurnale_PROVIZION!C8),N(Jurnale_PROVIZION!F8))</f>
        <v>8000</v>
      </c>
      <c r="G5" s="76" t="str">
        <f>Jurnale_PROVIZION!D8</f>
        <v>Constituire provizion - Litigiu comercial cu clientul X</v>
      </c>
      <c r="H5" s="76" t="inlineStr">
        <is>
          <t>Hotărâre + estimare</t>
        </is>
      </c>
      <c r="I5" s="76" t="str">
        <f>IF(N(F5)&gt;0.005,"DA","NU")</f>
        <v>DA</v>
      </c>
    </row>
    <row r="6">
      <c r="A6" s="76" t="n">
        <v>2</v>
      </c>
      <c r="B6" s="76" t="inlineStr">
        <is>
          <t>Bloc 2 — Factura efectivă</t>
        </is>
      </c>
      <c r="C6" s="76" t="str">
        <f>Declarații_PROVIZION!B8</f>
        <v>2027-04-30</v>
      </c>
      <c r="D6" s="76">
        <f>Jurnale_PROVIZION!B17</f>
        <v>628</v>
      </c>
      <c r="E6" s="76" t="str">
        <f>Jurnale_PROVIZION!E17</f>
        <v>401</v>
      </c>
      <c r="F6" s="76">
        <f>MAX(N(Jurnale_PROVIZION!C17),N(Jurnale_PROVIZION!F17))</f>
        <v>9680</v>
      </c>
      <c r="G6" s="76" t="str">
        <f>Jurnale_PROVIZION!D17</f>
        <v>Cheltuiala efectivă, pe contul ei real - Litigiu comercial cu clientul X</v>
      </c>
      <c r="H6" s="76" t="inlineStr">
        <is>
          <t>Factură furnizor</t>
        </is>
      </c>
      <c r="I6" s="76" t="str">
        <f>IF(N(F6)&gt;0.005,"DA","NU")</f>
        <v>DA</v>
      </c>
    </row>
    <row r="7">
      <c r="A7" s="76" t="n">
        <v>3</v>
      </c>
      <c r="B7" s="76" t="inlineStr">
        <is>
          <t>Bloc 2 — Factura efectivă</t>
        </is>
      </c>
      <c r="C7" s="76" t="str">
        <f>Declarații_PROVIZION!B8</f>
        <v>2027-04-30</v>
      </c>
      <c r="D7" s="76">
        <f>Jurnale_PROVIZION!B18</f>
        <v>4426</v>
      </c>
      <c r="E7" s="76">
        <f>Jurnale_PROVIZION!E18</f>
        <v>0</v>
      </c>
      <c r="F7" s="76">
        <f>MAX(N(Jurnale_PROVIZION!C18),N(Jurnale_PROVIZION!F18))</f>
        <v>1680</v>
      </c>
      <c r="G7" s="76" t="str">
        <f>Jurnale_PROVIZION!D18</f>
        <v>TVA deductibilă - Litigiu comercial cu clientul X</v>
      </c>
      <c r="H7" s="76" t="inlineStr">
        <is>
          <t>Factură furnizor</t>
        </is>
      </c>
      <c r="I7" s="76" t="str">
        <f>IF(N(F7)&gt;0.005,"DA","NU")</f>
        <v>DA</v>
      </c>
    </row>
    <row r="8">
      <c r="A8" s="76" t="n">
        <v>4</v>
      </c>
      <c r="B8" s="76" t="inlineStr">
        <is>
          <t>Bloc 3 — Reluare</t>
        </is>
      </c>
      <c r="C8" s="76" t="str">
        <f>Declarații_PROVIZION!B8</f>
        <v>2027-04-30</v>
      </c>
      <c r="D8" s="76" t="str">
        <f>Jurnale_PROVIZION!B27</f>
        <v>1511</v>
      </c>
      <c r="E8" s="76">
        <f>Jurnale_PROVIZION!E27</f>
        <v>7812</v>
      </c>
      <c r="F8" s="76">
        <f>MAX(N(Jurnale_PROVIZION!C27),N(Jurnale_PROVIZION!F27))</f>
        <v>8000</v>
      </c>
      <c r="G8" s="76" t="str">
        <f>Jurnale_PROVIZION!D27</f>
        <v>Reluarea provizionului, obligația s-a stins - Litigiu comercial cu clientul X</v>
      </c>
      <c r="H8" s="76" t="inlineStr">
        <is>
          <t>Notă contabilă</t>
        </is>
      </c>
      <c r="I8" s="76" t="str">
        <f>IF(N(F8)&gt;0.005,"DA","NU")</f>
        <v>DA</v>
      </c>
    </row>
    <row r="10">
      <c r="A10" s="76" t="inlineStr">
        <is>
          <t>Rânduri de importat (Include=DA)</t>
        </is>
      </c>
      <c r="B10" s="76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3" t="inlineStr">
        <is>
          <t>MOD_LEASING_FIN — Declarații (input)</t>
        </is>
      </c>
    </row>
    <row r="2">
      <c r="A2" s="74" t="inlineStr">
        <is>
          <t>Valorile implicite reproduc monografia din trainingul 07.08.2026 (contract 150.000, avans 50.000, rată 2.000, dobândă 500, comision 100, CASCO 20).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Număr contract de leasing</t>
        </is>
      </c>
      <c r="B6" s="77" t="inlineStr">
        <is>
          <t>LF-2026-001</t>
        </is>
      </c>
      <c r="C6" s="74" t="inlineStr">
        <is>
          <t>167 este 1-la-1 cu contractul (C-19)</t>
        </is>
      </c>
    </row>
    <row r="7">
      <c r="A7" s="76" t="inlineStr">
        <is>
          <t>Luna</t>
        </is>
      </c>
      <c r="B7" s="77" t="inlineStr">
        <is>
          <t>2026-07</t>
        </is>
      </c>
    </row>
    <row r="8">
      <c r="A8" s="76" t="inlineStr">
        <is>
          <t>Data facturii de avans</t>
        </is>
      </c>
      <c r="B8" s="77" t="inlineStr">
        <is>
          <t>2026-07-01</t>
        </is>
      </c>
    </row>
    <row r="9">
      <c r="A9" s="76" t="inlineStr">
        <is>
          <t>Data recepției bunului</t>
        </is>
      </c>
      <c r="B9" s="77" t="inlineStr">
        <is>
          <t>2026-07-10</t>
        </is>
      </c>
    </row>
    <row r="10">
      <c r="A10" s="76" t="inlineStr">
        <is>
          <t>Data facturii lunare</t>
        </is>
      </c>
      <c r="B10" s="77" t="inlineStr">
        <is>
          <t>2026-07-31</t>
        </is>
      </c>
    </row>
    <row r="12">
      <c r="A12" s="75" t="inlineStr">
        <is>
          <t>2. Contract</t>
        </is>
      </c>
    </row>
    <row r="13">
      <c r="A13" s="76" t="inlineStr">
        <is>
          <t>Valoare de intrare din contract (fără TVA)</t>
        </is>
      </c>
      <c r="B13" s="77" t="n">
        <v>150000</v>
      </c>
    </row>
    <row r="14">
      <c r="A14" s="76" t="inlineStr">
        <is>
          <t>Avans (fără TVA)</t>
        </is>
      </c>
      <c r="B14" s="77" t="n">
        <v>50000</v>
      </c>
    </row>
    <row r="15">
      <c r="A15" s="76" t="inlineStr">
        <is>
          <t>Durata de amortizare (luni)</t>
        </is>
      </c>
      <c r="B15" s="77" t="n">
        <v>60</v>
      </c>
    </row>
    <row r="16">
      <c r="A16" s="76" t="inlineStr">
        <is>
          <t>Cotă TVA</t>
        </is>
      </c>
      <c r="B16" s="76">
        <f>Parametri!B10</f>
        <v>0.21</v>
      </c>
    </row>
    <row r="18">
      <c r="A18" s="75" t="inlineStr">
        <is>
          <t>3. Regim fiscal al vehiculului</t>
        </is>
      </c>
    </row>
    <row r="19">
      <c r="A19" s="76" t="inlineStr">
        <is>
          <t>Regim (MIXT / EXCLUSIV / EXCEPTAT)</t>
        </is>
      </c>
      <c r="B19" s="77" t="inlineStr">
        <is>
          <t>MIXT</t>
        </is>
      </c>
      <c r="C19" s="74" t="inlineStr">
        <is>
          <t>MIXT = 50%. EXCLUSIV/EXCEPTAT = 100%, dar cere documentație (foi de parcurs, decizie internă)</t>
        </is>
      </c>
    </row>
    <row r="20">
      <c r="A20" s="76" t="inlineStr">
        <is>
          <t>Procent de deducere aplicat</t>
        </is>
      </c>
      <c r="B20" s="76">
        <f>IF(B19="MIXT",param_proc_vehicul,1)</f>
        <v>0.5</v>
      </c>
    </row>
    <row r="21">
      <c r="A21" s="76" t="inlineStr">
        <is>
          <t>TVA nededusă pe rata de capital: CAPITALIZEAZA / CHELTUIALA</t>
        </is>
      </c>
      <c r="B21" s="77" t="inlineStr">
        <is>
          <t>CAPITALIZEAZA</t>
        </is>
      </c>
      <c r="C21" s="74" t="inlineStr">
        <is>
          <t>❓ De clarificat cu formatorul — practica e împărțită. Capitalizarea e coerentă cu tratamentul avansului (pct. 75 OMFP 1802)</t>
        </is>
      </c>
    </row>
    <row r="23">
      <c r="A23" s="75" t="inlineStr">
        <is>
          <t>4. Factura lunară de leasing</t>
        </is>
      </c>
    </row>
    <row r="24">
      <c r="A24" s="76" t="inlineStr">
        <is>
          <t>Rata de capital</t>
        </is>
      </c>
      <c r="B24" s="77" t="n">
        <v>2000</v>
      </c>
    </row>
    <row r="25">
      <c r="A25" s="76" t="inlineStr">
        <is>
          <t>Dobândă</t>
        </is>
      </c>
      <c r="B25" s="77" t="n">
        <v>500</v>
      </c>
    </row>
    <row r="26">
      <c r="A26" s="76" t="inlineStr">
        <is>
          <t>Comision de administrare</t>
        </is>
      </c>
      <c r="B26" s="77" t="n">
        <v>100</v>
      </c>
    </row>
    <row r="27">
      <c r="A27" s="76" t="inlineStr">
        <is>
          <t>CASCO (fără TVA)</t>
        </is>
      </c>
      <c r="B27" s="77" t="n">
        <v>20</v>
      </c>
    </row>
    <row r="29">
      <c r="A29" s="75" t="inlineStr">
        <is>
          <t>5. Calcul — intrarea bunului (nu edita)</t>
        </is>
      </c>
    </row>
    <row r="30">
      <c r="A30" s="76" t="inlineStr">
        <is>
          <t>TVA pe avans</t>
        </is>
      </c>
      <c r="B30" s="76">
        <f>B14*B16</f>
        <v>10500</v>
      </c>
    </row>
    <row r="31">
      <c r="A31" s="76" t="inlineStr">
        <is>
          <t>TVA nedeductibilă pe avans (capitalizată)</t>
        </is>
      </c>
      <c r="B31" s="76">
        <f>ROUND(B30*(1-B20),2)</f>
        <v>5250</v>
      </c>
    </row>
    <row r="32">
      <c r="A32" s="76" t="inlineStr">
        <is>
          <t>Valoare de intrare a mijlocului fix</t>
        </is>
      </c>
      <c r="B32" s="76">
        <f>B13+B31</f>
        <v>155250</v>
      </c>
      <c r="C32" s="74" t="inlineStr">
        <is>
          <t>150.000 + 5.250 = 155.250 în exemplul din training</t>
        </is>
      </c>
    </row>
    <row r="33">
      <c r="A33" s="76" t="inlineStr">
        <is>
          <t>Amortizare contabilă lunară</t>
        </is>
      </c>
      <c r="B33" s="76">
        <f>ROUND(B32/B15,2)</f>
        <v>2587.5</v>
      </c>
    </row>
    <row r="34">
      <c r="A34" s="76" t="inlineStr">
        <is>
          <t>Amortizare deductibilă fiscal</t>
        </is>
      </c>
      <c r="B34" s="76">
        <f>MIN(B33,param_plafon_amo_auto)</f>
        <v>1500</v>
      </c>
      <c r="C34" s="74" t="inlineStr">
        <is>
          <t>Plafon 1.500 lei/lună, art. 28 alin. (14) CF</t>
        </is>
      </c>
    </row>
    <row r="35">
      <c r="A35" s="76" t="inlineStr">
        <is>
          <t>Amortizare NEdeductibilă lunară</t>
        </is>
      </c>
      <c r="B35" s="76">
        <f>B33-B34</f>
        <v>1087.5</v>
      </c>
    </row>
    <row r="37">
      <c r="A37" s="75" t="inlineStr">
        <is>
          <t>6. Calcul — factura lunară (nu edita)</t>
        </is>
      </c>
    </row>
    <row r="38">
      <c r="A38" s="76" t="inlineStr">
        <is>
          <t>TVA pe rata de capital</t>
        </is>
      </c>
      <c r="B38" s="76">
        <f>B24*B16</f>
        <v>420</v>
      </c>
    </row>
    <row r="39">
      <c r="A39" s="76" t="inlineStr">
        <is>
          <t>TVA pe dobândă</t>
        </is>
      </c>
      <c r="B39" s="76">
        <f>B25*B16</f>
        <v>105</v>
      </c>
    </row>
    <row r="40">
      <c r="A40" s="76" t="inlineStr">
        <is>
          <t>TVA pe comision</t>
        </is>
      </c>
      <c r="B40" s="76">
        <f>B26*B16</f>
        <v>21</v>
      </c>
    </row>
    <row r="41">
      <c r="A41" s="76" t="inlineStr">
        <is>
          <t>TVA total pe factură</t>
        </is>
      </c>
      <c r="B41" s="76">
        <f>B38+B39+B40</f>
        <v>546</v>
      </c>
      <c r="C41" s="74" t="inlineStr">
        <is>
          <t>CASCO e fără TVA</t>
        </is>
      </c>
    </row>
    <row r="42">
      <c r="A42" s="76" t="inlineStr">
        <is>
          <t>Total factură</t>
        </is>
      </c>
      <c r="B42" s="76">
        <f>B24+B25+B26+B27+B41</f>
        <v>3166</v>
      </c>
    </row>
    <row r="44">
      <c r="A44" s="75" t="inlineStr">
        <is>
          <t>7. Calcul — corecția TVA nedeductibilă (limitarea 1)</t>
        </is>
      </c>
    </row>
    <row r="45">
      <c r="A45" s="76" t="inlineStr">
        <is>
          <t>TVA nededusă — rată</t>
        </is>
      </c>
      <c r="B45" s="76">
        <f>ROUND(B38*(1-B20),2)</f>
        <v>210</v>
      </c>
    </row>
    <row r="46">
      <c r="A46" s="76" t="inlineStr">
        <is>
          <t>TVA nededusă — dobândă</t>
        </is>
      </c>
      <c r="B46" s="76">
        <f>ROUND(B39*(1-B20),2)</f>
        <v>52.5</v>
      </c>
    </row>
    <row r="47">
      <c r="A47" s="76" t="inlineStr">
        <is>
          <t>TVA nededusă — comision</t>
        </is>
      </c>
      <c r="B47" s="76">
        <f>ROUND(B40*(1-B20),2)</f>
        <v>10.5</v>
      </c>
    </row>
    <row r="48">
      <c r="A48" s="76" t="inlineStr">
        <is>
          <t>TVA nededusă total</t>
        </is>
      </c>
      <c r="B48" s="76">
        <f>B45+B46+B47</f>
        <v>273</v>
      </c>
    </row>
    <row r="50">
      <c r="A50" s="75" t="inlineStr">
        <is>
          <t>8. Calcul — limitarea de 50% a cheltuielilor (limitarea 2)</t>
        </is>
      </c>
    </row>
    <row r="51">
      <c r="A51" s="74" t="inlineStr">
        <is>
          <t>Baza include TVA nedeductibilă deja trecută pe cheltuială. Amortizarea NU intră aici — are propria plafonare (limitarea 3).</t>
        </is>
      </c>
    </row>
    <row r="52">
      <c r="A52" s="76" t="inlineStr">
        <is>
          <t>Bază dobândă (dobândă + TVA nededusă)</t>
        </is>
      </c>
      <c r="B52" s="76">
        <f>B25+B46</f>
        <v>552.5</v>
      </c>
    </row>
    <row r="53">
      <c r="A53" s="76" t="inlineStr">
        <is>
          <t>Bază comision (comision + TVA nededusă)</t>
        </is>
      </c>
      <c r="B53" s="76">
        <f>B26+B47</f>
        <v>110.5</v>
      </c>
    </row>
    <row r="54">
      <c r="A54" s="76" t="inlineStr">
        <is>
          <t>Bază CASCO</t>
        </is>
      </c>
      <c r="B54" s="76">
        <f>B27</f>
        <v>20</v>
      </c>
    </row>
    <row r="55">
      <c r="A55" s="76" t="inlineStr">
        <is>
          <t>Dobândă nedeductibilă</t>
        </is>
      </c>
      <c r="B55" s="76">
        <f>ROUND(B52*(1-B20),2)</f>
        <v>276.25</v>
      </c>
    </row>
    <row r="56">
      <c r="A56" s="76" t="inlineStr">
        <is>
          <t>Comision nedeductibil</t>
        </is>
      </c>
      <c r="B56" s="76">
        <f>ROUND(B53*(1-B20),2)</f>
        <v>55.25</v>
      </c>
    </row>
    <row r="57">
      <c r="A57" s="76" t="inlineStr">
        <is>
          <t>CASCO nedeductibil</t>
        </is>
      </c>
      <c r="B57" s="76">
        <f>ROUND(B54*(1-B20),2)</f>
        <v>10</v>
      </c>
    </row>
    <row r="59">
      <c r="A59" s="75" t="inlineStr">
        <is>
          <t>9. Controale</t>
        </is>
      </c>
    </row>
    <row r="60">
      <c r="A60" s="76" t="inlineStr">
        <is>
          <t>Check valoare de intrare</t>
        </is>
      </c>
      <c r="B60" s="76">
        <f>B32</f>
        <v>155250</v>
      </c>
      <c r="C60" s="76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76" t="inlineStr">
        <is>
          <t>Check cele trei limitări</t>
        </is>
      </c>
      <c r="B61" s="76">
        <f>B35+B48+B55+B56+B57</f>
        <v>1702</v>
      </c>
      <c r="C61" s="76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76" t="inlineStr">
        <is>
          <t>Check plafon amortizare</t>
        </is>
      </c>
      <c r="B62" s="76">
        <f>B33</f>
        <v>2587.5</v>
      </c>
      <c r="C62" s="76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76" t="inlineStr">
        <is>
          <t>Reminder: amortizarea NU se limitează cu 50%</t>
        </is>
      </c>
      <c r="B63" s="76" t="str">
        <f>"regulă"</f>
        <v>regulă</v>
      </c>
      <c r="C63" s="76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76" t="inlineStr">
        <is>
          <t>Reminder impozit local</t>
        </is>
      </c>
      <c r="B64" s="76" t="str">
        <f>B6</f>
        <v>LF-2026-001</v>
      </c>
      <c r="C64" s="76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75" t="inlineStr">
        <is>
          <t>10. Conturi</t>
        </is>
      </c>
    </row>
    <row r="67">
      <c r="A67" s="76" t="inlineStr">
        <is>
          <t>Cont avans imobilizări</t>
        </is>
      </c>
      <c r="B67" s="77" t="n">
        <v>4093</v>
      </c>
    </row>
    <row r="68">
      <c r="A68" s="76" t="inlineStr">
        <is>
          <t>Cont mijloc fix</t>
        </is>
      </c>
      <c r="B68" s="77" t="n">
        <v>2133</v>
      </c>
    </row>
    <row r="69">
      <c r="A69" s="76" t="inlineStr">
        <is>
          <t>Cont amortizare</t>
        </is>
      </c>
      <c r="B69" s="77" t="n">
        <v>2813</v>
      </c>
    </row>
    <row r="70">
      <c r="A70" s="76" t="inlineStr">
        <is>
          <t>Cont datorie leasing (analitic pe contract)</t>
        </is>
      </c>
      <c r="B70" s="77" t="inlineStr">
        <is>
          <t>167.LF-2026-001</t>
        </is>
      </c>
    </row>
    <row r="71">
      <c r="A71" s="76" t="inlineStr">
        <is>
          <t>Cont furnizor de imobilizări</t>
        </is>
      </c>
      <c r="B71" s="77" t="n">
        <v>404</v>
      </c>
    </row>
    <row r="72">
      <c r="A72" s="76" t="inlineStr">
        <is>
          <t>Cont TVA deductibilă</t>
        </is>
      </c>
      <c r="B72" s="77" t="n">
        <v>4426</v>
      </c>
    </row>
    <row r="73">
      <c r="A73" s="76" t="inlineStr">
        <is>
          <t>Cont dobândă</t>
        </is>
      </c>
      <c r="B73" s="77" t="n">
        <v>666</v>
      </c>
    </row>
    <row r="74">
      <c r="A74" s="76" t="inlineStr">
        <is>
          <t>Cont comision</t>
        </is>
      </c>
      <c r="B74" s="77" t="n">
        <v>628</v>
      </c>
      <c r="C74" s="74" t="inlineStr">
        <is>
          <t>Poate fi și 627 — fii consecvent cu politica firmei</t>
        </is>
      </c>
    </row>
    <row r="75">
      <c r="A75" s="76" t="inlineStr">
        <is>
          <t>Cont primă de asigurare</t>
        </is>
      </c>
      <c r="B75" s="77" t="n">
        <v>613</v>
      </c>
    </row>
    <row r="76">
      <c r="A76" s="76" t="inlineStr">
        <is>
          <t>Cont dobândă nedeductibilă</t>
        </is>
      </c>
      <c r="B76" s="77" t="inlineStr">
        <is>
          <t>666.NED</t>
        </is>
      </c>
    </row>
    <row r="77">
      <c r="A77" s="76" t="inlineStr">
        <is>
          <t>Cont comision nedeductibil</t>
        </is>
      </c>
      <c r="B77" s="77" t="inlineStr">
        <is>
          <t>628.NED</t>
        </is>
      </c>
    </row>
    <row r="78">
      <c r="A78" s="76" t="inlineStr">
        <is>
          <t>Cont CASCO nedeductibil</t>
        </is>
      </c>
      <c r="B78" s="77" t="inlineStr">
        <is>
          <t>613.NED</t>
        </is>
      </c>
      <c r="C78" s="74" t="inlineStr">
        <is>
          <t>⚠ NU 615 — acela e cheltuieli cu pregătirea personalului</t>
        </is>
      </c>
    </row>
    <row r="79">
      <c r="A79" s="76" t="inlineStr">
        <is>
          <t>Cont cheltuială pentru TVA nededusă pe rată</t>
        </is>
      </c>
      <c r="B79" s="77" t="n">
        <v>6588</v>
      </c>
    </row>
    <row r="80">
      <c r="A80" s="76" t="inlineStr">
        <is>
          <t>Cont cheltuială cu amortizarea</t>
        </is>
      </c>
      <c r="B80" s="77" t="n">
        <v>6811</v>
      </c>
    </row>
    <row r="82">
      <c r="A82" s="75" t="inlineStr">
        <is>
          <t>11. Sufix generat</t>
        </is>
      </c>
    </row>
    <row r="83">
      <c r="A83" s="76" t="inlineStr">
        <is>
          <t>Sufix</t>
        </is>
      </c>
      <c r="B83" s="76" t="str">
        <f>"— leasing " &amp; B6 &amp; " " &amp; B7</f>
        <v>— leasing LF-2026-001 2026-07</v>
      </c>
    </row>
    <row r="85">
      <c r="A85" s="76" t="inlineStr">
        <is>
          <t>Modul activ în CatalogModule?</t>
        </is>
      </c>
      <c r="B85" s="76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3" t="inlineStr">
        <is>
          <t>MOD_LEASING_FIN — Reguli (tabele fixe)</t>
        </is>
      </c>
    </row>
    <row r="2">
      <c r="A2" s="74" t="inlineStr">
        <is>
          <t>Se editează doar când se schimbă legea.</t>
        </is>
      </c>
    </row>
    <row r="4">
      <c r="A4" s="75" t="inlineStr">
        <is>
          <t>Tabel A — Cele trei limitări fiscale (se aplică simultan, pe baze diferite)</t>
        </is>
      </c>
    </row>
    <row r="5">
      <c r="A5" s="78" t="inlineStr">
        <is>
          <t>#</t>
        </is>
      </c>
      <c r="B5" s="78" t="inlineStr">
        <is>
          <t>Limitare</t>
        </is>
      </c>
      <c r="C5" s="78" t="inlineStr">
        <is>
          <t>Bază de aplicare</t>
        </is>
      </c>
      <c r="D5" s="78" t="inlineStr">
        <is>
          <t>Procent / plafon</t>
        </is>
      </c>
      <c r="E5" s="78" t="inlineStr">
        <is>
          <t>Temei</t>
        </is>
      </c>
      <c r="F5" s="78" t="inlineStr">
        <is>
          <t>Observație</t>
        </is>
      </c>
    </row>
    <row r="6">
      <c r="A6" s="76" t="inlineStr">
        <is>
          <t>1</t>
        </is>
      </c>
      <c r="B6" s="76" t="inlineStr">
        <is>
          <t>TVA deductibilă</t>
        </is>
      </c>
      <c r="C6" s="76" t="inlineStr">
        <is>
          <t>TVA de pe TOATE facturile aferente vehiculului</t>
        </is>
      </c>
      <c r="D6" s="76" t="inlineStr">
        <is>
          <t>50%</t>
        </is>
      </c>
      <c r="E6" s="76" t="inlineStr">
        <is>
          <t>art. 298 CF</t>
        </is>
      </c>
      <c r="F6" s="76" t="inlineStr">
        <is>
          <t>Inclusiv avansul și factura lunară</t>
        </is>
      </c>
    </row>
    <row r="7">
      <c r="A7" s="76" t="inlineStr">
        <is>
          <t>2</t>
        </is>
      </c>
      <c r="B7" s="76" t="inlineStr">
        <is>
          <t>Cheltuieli deductibile</t>
        </is>
      </c>
      <c r="C7" s="76" t="inlineStr">
        <is>
          <t>combustibil, întreținere, piese, chirii, asigurări, dobânzi, comisioane, diferențe de curs, INCLUSIV TVA nedeductibilă trecută pe cheltuială</t>
        </is>
      </c>
      <c r="D7" s="76" t="inlineStr">
        <is>
          <t>50%</t>
        </is>
      </c>
      <c r="E7" s="76" t="inlineStr">
        <is>
          <t>art. 25 alin. (3) lit. l) CF</t>
        </is>
      </c>
      <c r="F7" s="76" t="inlineStr">
        <is>
          <t>Deductibilitate limitată la UN SINGUR autoturism per persoană cu funcție de conducere (art. 25 alin. 3 lit. m)</t>
        </is>
      </c>
    </row>
    <row r="8">
      <c r="A8" s="76" t="inlineStr">
        <is>
          <t>3</t>
        </is>
      </c>
      <c r="B8" s="76" t="inlineStr">
        <is>
          <t>Amortizare</t>
        </is>
      </c>
      <c r="C8" s="76" t="inlineStr">
        <is>
          <t>amortizarea contabilă a fiecărui autoturism</t>
        </is>
      </c>
      <c r="D8" s="76" t="inlineStr">
        <is>
          <t>max. 1.500 lei/lună</t>
        </is>
      </c>
      <c r="E8" s="76" t="inlineStr">
        <is>
          <t>art. 28 alin. (14) CF</t>
        </is>
      </c>
      <c r="F8" s="76" t="inlineStr">
        <is>
          <t>⚠ NU intră sub limitarea de 50% — cele două nu se cumulează</t>
        </is>
      </c>
    </row>
    <row r="10">
      <c r="A10" s="75" t="inlineStr">
        <is>
          <t>Tabel B — Operațional vs. financiar</t>
        </is>
      </c>
    </row>
    <row r="11">
      <c r="A11" s="78" t="inlineStr">
        <is>
          <t>Criteriu</t>
        </is>
      </c>
      <c r="B11" s="78" t="inlineStr">
        <is>
          <t>Operațional</t>
        </is>
      </c>
      <c r="C11" s="78" t="inlineStr">
        <is>
          <t>Financiar</t>
        </is>
      </c>
      <c r="D11" s="78" t="inlineStr"/>
      <c r="E11" s="78" t="inlineStr"/>
      <c r="F11" s="78" t="inlineStr">
        <is>
          <t>Observație</t>
        </is>
      </c>
    </row>
    <row r="12">
      <c r="A12" s="76" t="inlineStr">
        <is>
          <t>Bunul în bilanț</t>
        </is>
      </c>
      <c r="B12" s="76" t="inlineStr">
        <is>
          <t>NU — rămâne la locator</t>
        </is>
      </c>
      <c r="C12" s="76" t="inlineStr">
        <is>
          <t>DA — 2133</t>
        </is>
      </c>
      <c r="D12" s="76" t="inlineStr"/>
      <c r="E12" s="76" t="inlineStr"/>
      <c r="F12" s="76" t="inlineStr"/>
    </row>
    <row r="13">
      <c r="A13" s="76" t="inlineStr">
        <is>
          <t>Datoria</t>
        </is>
      </c>
      <c r="B13" s="76" t="inlineStr">
        <is>
          <t>nu se înregistrează</t>
        </is>
      </c>
      <c r="C13" s="76" t="inlineStr">
        <is>
          <t>167</t>
        </is>
      </c>
      <c r="D13" s="76" t="inlineStr"/>
      <c r="E13" s="76" t="inlineStr"/>
      <c r="F13" s="76" t="inlineStr">
        <is>
          <t>167 e 1:1 cu contractul (C-19)</t>
        </is>
      </c>
    </row>
    <row r="14">
      <c r="A14" s="76" t="inlineStr">
        <is>
          <t>Cheltuiala lunară</t>
        </is>
      </c>
      <c r="B14" s="76" t="inlineStr">
        <is>
          <t>612 chirie</t>
        </is>
      </c>
      <c r="C14" s="76" t="inlineStr">
        <is>
          <t>666 dobândă + amortizare</t>
        </is>
      </c>
      <c r="D14" s="76" t="inlineStr"/>
      <c r="E14" s="76" t="inlineStr"/>
      <c r="F14" s="76" t="inlineStr"/>
    </row>
    <row r="15">
      <c r="A15" s="76" t="inlineStr">
        <is>
          <t>Evidență extrabilanțieră</t>
        </is>
      </c>
      <c r="B15" s="76" t="inlineStr">
        <is>
          <t>8036</t>
        </is>
      </c>
      <c r="C15" s="76" t="inlineStr">
        <is>
          <t>—</t>
        </is>
      </c>
      <c r="D15" s="76" t="inlineStr"/>
      <c r="E15" s="76" t="inlineStr"/>
      <c r="F15" s="76" t="inlineStr"/>
    </row>
    <row r="16">
      <c r="A16" s="76" t="inlineStr">
        <is>
          <t>Impozit local</t>
        </is>
      </c>
      <c r="B16" s="76" t="inlineStr">
        <is>
          <t>plătit de locator</t>
        </is>
      </c>
      <c r="C16" s="76" t="inlineStr">
        <is>
          <t>plătit de LOCATAR, pe toată durata</t>
        </is>
      </c>
      <c r="D16" s="76" t="inlineStr"/>
      <c r="E16" s="76" t="inlineStr"/>
      <c r="F16" s="76" t="inlineStr">
        <is>
          <t>Declarație la primărie în 30 de zile</t>
        </is>
      </c>
    </row>
    <row r="17">
      <c r="A17" s="76" t="inlineStr">
        <is>
          <t>Valoarea reziduală</t>
        </is>
      </c>
      <c r="B17" s="76" t="inlineStr">
        <is>
          <t>achiziție nouă la final</t>
        </is>
      </c>
      <c r="C17" s="76" t="inlineStr">
        <is>
          <t>deja capitalizată</t>
        </is>
      </c>
      <c r="D17" s="76" t="inlineStr"/>
      <c r="E17" s="76" t="inlineStr"/>
      <c r="F17" s="76" t="inlineStr">
        <is>
          <t>La operațional, mijlocul fix apare abia la final</t>
        </is>
      </c>
    </row>
    <row r="19">
      <c r="A19" s="75" t="inlineStr">
        <is>
          <t>Tabel C — Excepții de la regimul de 50%</t>
        </is>
      </c>
    </row>
    <row r="20">
      <c r="A20" s="76" t="inlineStr">
        <is>
          <t>Urgență / pază / curierat · agenți de vânzări și achiziții · taxi · închiriere · școli de șoferi · transport de persoane cu plată.</t>
        </is>
      </c>
    </row>
    <row r="21">
      <c r="A21" s="76" t="inlineStr">
        <is>
          <t>Fără documentație (foi de parcurs, decizie internă), regimul prudent și conform este MIXT (50%).</t>
        </is>
      </c>
    </row>
    <row r="23">
      <c r="A23" s="75" t="inlineStr">
        <is>
          <t>Tabel D — Porți de calitate</t>
        </is>
      </c>
    </row>
    <row r="24">
      <c r="A24" s="76" t="inlineStr">
        <is>
          <t>• ΣDr = ΣCr pe fiecare bloc</t>
        </is>
      </c>
    </row>
    <row r="25">
      <c r="A25" s="76" t="inlineStr">
        <is>
          <t>• Valoarea de intrare include TVA nedeductibilă pe avans (taxe nerecuperabile în cost)</t>
        </is>
      </c>
    </row>
    <row r="26">
      <c r="A26" s="76" t="inlineStr">
        <is>
          <t>• Sold 167 pe contract = sold din scadențar, în valuta contractului (C-19)</t>
        </is>
      </c>
    </row>
    <row r="27">
      <c r="A27" s="76" t="inlineStr">
        <is>
          <t>• Avansul 4093 se închide integral în 167 la recepție</t>
        </is>
      </c>
    </row>
    <row r="28">
      <c r="A28" s="76" t="inlineStr">
        <is>
          <t>• Amortizarea contabilă se calculează pe valoarea de intrare COMPLETĂ, nu pe cea din contract</t>
        </is>
      </c>
    </row>
    <row r="29">
      <c r="A29" s="76" t="inlineStr">
        <is>
          <t>• Nedeductibilul lunar = amortizare peste plafon + 50% din dobândă/comision/CASCO</t>
        </is>
      </c>
    </row>
    <row r="30">
      <c r="A30" s="76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3" t="inlineStr">
        <is>
          <t>MOD_LEASING_FIN — Jurnale (generate automat)</t>
        </is>
      </c>
    </row>
    <row r="2">
      <c r="A2" s="74" t="inlineStr">
        <is>
          <t>Blocurile 1–4 se rulează o singură dată, la deschiderea contractului. Blocurile 5–8 se rulează lunar.</t>
        </is>
      </c>
    </row>
    <row r="4">
      <c r="A4" s="75" t="inlineStr">
        <is>
          <t>Bloc 1 — Factura de avans</t>
        </is>
      </c>
    </row>
    <row r="5">
      <c r="A5" s="76" t="inlineStr">
        <is>
          <t>Data jurnal:</t>
        </is>
      </c>
      <c r="B5" s="76" t="str">
        <f>Declarații_LEASING_FIN!B8</f>
        <v>2026-07-01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Declarații_LEASING_FIN!B67</f>
        <v>4093</v>
      </c>
      <c r="C8" s="76">
        <f>Declarații_LEASING_FIN!B14</f>
        <v>50000</v>
      </c>
      <c r="D8" s="76" t="str">
        <f>"Avans leasing " &amp; Declarații_LEASING_FIN!B83</f>
        <v>Avans leasing — leasing LF-2026-001 2026-07</v>
      </c>
      <c r="E8" s="76">
        <f>Declarații_LEASING_FIN!B71</f>
        <v>404</v>
      </c>
      <c r="F8" s="76">
        <f>Declarații_LEASING_FIN!B14</f>
        <v>50000</v>
      </c>
      <c r="G8" s="76" t="str">
        <f>"Datorie societate de leasing — avans " &amp; Declarații_LEASING_FIN!B83</f>
        <v>Datorie societate de leasing — avans — leasing LF-2026-001 2026-07</v>
      </c>
    </row>
    <row r="9">
      <c r="A9" s="76" t="n">
        <v>2</v>
      </c>
      <c r="B9" s="76">
        <f>Declarații_LEASING_FIN!B72</f>
        <v>4426</v>
      </c>
      <c r="C9" s="76">
        <f>Declarații_LEASING_FIN!B30</f>
        <v>10500</v>
      </c>
      <c r="D9" s="76" t="str">
        <f>"TVA pe avans " &amp; Declarații_LEASING_FIN!B83</f>
        <v>TVA pe avans — leasing LF-2026-001 2026-07</v>
      </c>
      <c r="E9" s="76">
        <f>Declarații_LEASING_FIN!B71</f>
        <v>404</v>
      </c>
      <c r="F9" s="76">
        <f>Declarații_LEASING_FIN!B30</f>
        <v>10500</v>
      </c>
      <c r="G9" s="76" t="str">
        <f>"Datorie — TVA avans " &amp; Declarații_LEASING_FIN!B83</f>
        <v>Datorie — TVA avans — leasing LF-2026-001 2026-07</v>
      </c>
    </row>
    <row r="11">
      <c r="A11" s="75" t="inlineStr">
        <is>
          <t>Bloc 2 — TVA nedeductibilă pe avans, capitalizată</t>
        </is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>
        <f>Declarații_LEASING_FIN!B68</f>
        <v>2133</v>
      </c>
      <c r="C13" s="76">
        <f>Declarații_LEASING_FIN!B31</f>
        <v>5250</v>
      </c>
      <c r="D13" s="76" t="str">
        <f>"TVA nedeductibilă capitalizată în cost " &amp; Declarații_LEASING_FIN!B83</f>
        <v>TVA nedeductibilă capitalizată în cost — leasing LF-2026-001 2026-07</v>
      </c>
      <c r="E13" s="76">
        <f>Declarații_LEASING_FIN!B72</f>
        <v>4426</v>
      </c>
      <c r="F13" s="76">
        <f>Declarații_LEASING_FIN!B31</f>
        <v>5250</v>
      </c>
      <c r="G13" s="76" t="str">
        <f>"Stingere TVA nedeductibilă " &amp; Declarații_LEASING_FIN!B83</f>
        <v>Stingere TVA nedeductibilă — leasing LF-2026-001 2026-07</v>
      </c>
    </row>
    <row r="15">
      <c r="A15" s="75" t="inlineStr">
        <is>
          <t>Bloc 3 — Recepția bunului și nașterea datoriei</t>
        </is>
      </c>
    </row>
    <row r="16">
      <c r="A16" s="76" t="inlineStr">
        <is>
          <t>Data jurnal:</t>
        </is>
      </c>
      <c r="B16" s="76" t="str">
        <f>Declarații_LEASING_FIN!B9</f>
        <v>2026-07-10</v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>
        <f>Declarații_LEASING_FIN!B68</f>
        <v>2133</v>
      </c>
      <c r="C19" s="76">
        <f>Declarații_LEASING_FIN!B13</f>
        <v>150000</v>
      </c>
      <c r="D19" s="76" t="str">
        <f>"Intrare autoturism în patrimoniu " &amp; Declarații_LEASING_FIN!B83</f>
        <v>Intrare autoturism în patrimoniu — leasing LF-2026-001 2026-07</v>
      </c>
      <c r="E19" s="76" t="str">
        <f>Declarații_LEASING_FIN!B70</f>
        <v>167.LF-2026-001</v>
      </c>
      <c r="F19" s="76">
        <f>Declarații_LEASING_FIN!B13</f>
        <v>150000</v>
      </c>
      <c r="G19" s="76" t="str">
        <f>"Datorie leasing financiar " &amp; Declarații_LEASING_FIN!B83</f>
        <v>Datorie leasing financiar — leasing LF-2026-001 2026-07</v>
      </c>
    </row>
    <row r="21">
      <c r="A21" s="75" t="inlineStr">
        <is>
          <t>Bloc 4 — Închiderea avansului</t>
        </is>
      </c>
    </row>
    <row r="22">
      <c r="A22" s="78" t="inlineStr">
        <is>
          <t>Nr</t>
        </is>
      </c>
      <c r="B22" s="78" t="inlineStr">
        <is>
          <t>Cont Dr</t>
        </is>
      </c>
      <c r="C22" s="78" t="inlineStr">
        <is>
          <t>Sumă Dr</t>
        </is>
      </c>
      <c r="D22" s="78" t="inlineStr">
        <is>
          <t>Descriere Dr</t>
        </is>
      </c>
      <c r="E22" s="78" t="inlineStr">
        <is>
          <t>Cont Cr</t>
        </is>
      </c>
      <c r="F22" s="78" t="inlineStr">
        <is>
          <t>Sumă Cr</t>
        </is>
      </c>
      <c r="G22" s="78" t="inlineStr">
        <is>
          <t>Descriere Cr</t>
        </is>
      </c>
    </row>
    <row r="23">
      <c r="A23" s="76" t="n">
        <v>1</v>
      </c>
      <c r="B23" s="76" t="str">
        <f>Declarații_LEASING_FIN!B70</f>
        <v>167.LF-2026-001</v>
      </c>
      <c r="C23" s="76">
        <f>Declarații_LEASING_FIN!B14</f>
        <v>50000</v>
      </c>
      <c r="D23" s="76" t="str">
        <f>"Închidere avans în datoria de leasing " &amp; Declarații_LEASING_FIN!B83</f>
        <v>Închidere avans în datoria de leasing — leasing LF-2026-001 2026-07</v>
      </c>
      <c r="E23" s="76">
        <f>Declarații_LEASING_FIN!B67</f>
        <v>4093</v>
      </c>
      <c r="F23" s="76">
        <f>Declarații_LEASING_FIN!B14</f>
        <v>50000</v>
      </c>
      <c r="G23" s="76" t="str">
        <f>"Stingere avans 4093 " &amp; Declarații_LEASING_FIN!B83</f>
        <v>Stingere avans 4093 — leasing LF-2026-001 2026-07</v>
      </c>
    </row>
    <row r="25">
      <c r="A25" s="75" t="inlineStr">
        <is>
          <t>Bloc 5 — Factura lunară de leasing (la valoarea ei, fără split)</t>
        </is>
      </c>
    </row>
    <row r="26">
      <c r="A26" s="76" t="inlineStr">
        <is>
          <t>Data jurnal:</t>
        </is>
      </c>
      <c r="B26" s="76" t="str">
        <f>Declarații_LEASING_FIN!B10</f>
        <v>2026-07-31</v>
      </c>
    </row>
    <row r="28">
      <c r="A28" s="78" t="inlineStr">
        <is>
          <t>Nr</t>
        </is>
      </c>
      <c r="B28" s="78" t="inlineStr">
        <is>
          <t>Cont Dr</t>
        </is>
      </c>
      <c r="C28" s="78" t="inlineStr">
        <is>
          <t>Sumă Dr</t>
        </is>
      </c>
      <c r="D28" s="78" t="inlineStr">
        <is>
          <t>Descriere Dr</t>
        </is>
      </c>
      <c r="E28" s="78" t="inlineStr">
        <is>
          <t>Cont Cr</t>
        </is>
      </c>
      <c r="F28" s="78" t="inlineStr">
        <is>
          <t>Sumă Cr</t>
        </is>
      </c>
      <c r="G28" s="78" t="inlineStr">
        <is>
          <t>Descriere Cr</t>
        </is>
      </c>
    </row>
    <row r="29">
      <c r="A29" s="76" t="n">
        <v>1</v>
      </c>
      <c r="B29" s="76" t="str">
        <f>Declarații_LEASING_FIN!B70</f>
        <v>167.LF-2026-001</v>
      </c>
      <c r="C29" s="76">
        <f>Declarații_LEASING_FIN!B24</f>
        <v>2000</v>
      </c>
      <c r="D29" s="76" t="str">
        <f>"Rata de capital " &amp; Declarații_LEASING_FIN!B83</f>
        <v>Rata de capital — leasing LF-2026-001 2026-07</v>
      </c>
      <c r="E29" s="76">
        <f>Declarații_LEASING_FIN!B71</f>
        <v>404</v>
      </c>
      <c r="F29" s="76">
        <f>Declarații_LEASING_FIN!B24</f>
        <v>2000</v>
      </c>
      <c r="G29" s="76" t="str">
        <f>"Factura lunară — capital " &amp; Declarații_LEASING_FIN!B83</f>
        <v>Factura lunară — capital — leasing LF-2026-001 2026-07</v>
      </c>
    </row>
    <row r="30">
      <c r="A30" s="76" t="n">
        <v>2</v>
      </c>
      <c r="B30" s="76">
        <f>Declarații_LEASING_FIN!B73</f>
        <v>666</v>
      </c>
      <c r="C30" s="76">
        <f>Declarații_LEASING_FIN!B25</f>
        <v>500</v>
      </c>
      <c r="D30" s="76" t="str">
        <f>"Dobândă de leasing " &amp; Declarații_LEASING_FIN!B83</f>
        <v>Dobândă de leasing — leasing LF-2026-001 2026-07</v>
      </c>
      <c r="E30" s="76">
        <f>Declarații_LEASING_FIN!B71</f>
        <v>404</v>
      </c>
      <c r="F30" s="76">
        <f>Declarații_LEASING_FIN!B25</f>
        <v>500</v>
      </c>
      <c r="G30" s="76" t="str">
        <f>"Factura lunară — dobândă " &amp; Declarații_LEASING_FIN!B83</f>
        <v>Factura lunară — dobândă — leasing LF-2026-001 2026-07</v>
      </c>
    </row>
    <row r="31">
      <c r="A31" s="76" t="n">
        <v>3</v>
      </c>
      <c r="B31" s="76">
        <f>Declarații_LEASING_FIN!B74</f>
        <v>628</v>
      </c>
      <c r="C31" s="76">
        <f>Declarații_LEASING_FIN!B26</f>
        <v>100</v>
      </c>
      <c r="D31" s="76" t="str">
        <f>"Comision de administrare " &amp; Declarații_LEASING_FIN!B83</f>
        <v>Comision de administrare — leasing LF-2026-001 2026-07</v>
      </c>
      <c r="E31" s="76">
        <f>Declarații_LEASING_FIN!B71</f>
        <v>404</v>
      </c>
      <c r="F31" s="76">
        <f>Declarații_LEASING_FIN!B26</f>
        <v>100</v>
      </c>
      <c r="G31" s="76" t="str">
        <f>"Factura lunară — comision " &amp; Declarații_LEASING_FIN!B83</f>
        <v>Factura lunară — comision — leasing LF-2026-001 2026-07</v>
      </c>
    </row>
    <row r="32">
      <c r="A32" s="76" t="n">
        <v>4</v>
      </c>
      <c r="B32" s="76">
        <f>Declarații_LEASING_FIN!B75</f>
        <v>613</v>
      </c>
      <c r="C32" s="76">
        <f>Declarații_LEASING_FIN!B27</f>
        <v>20</v>
      </c>
      <c r="D32" s="76" t="str">
        <f>"Primă CASCO " &amp; Declarații_LEASING_FIN!B83</f>
        <v>Primă CASCO — leasing LF-2026-001 2026-07</v>
      </c>
      <c r="E32" s="76">
        <f>Declarații_LEASING_FIN!B71</f>
        <v>404</v>
      </c>
      <c r="F32" s="76">
        <f>Declarații_LEASING_FIN!B27</f>
        <v>20</v>
      </c>
      <c r="G32" s="76" t="str">
        <f>"Factura lunară — CASCO " &amp; Declarații_LEASING_FIN!B83</f>
        <v>Factura lunară — CASCO — leasing LF-2026-001 2026-07</v>
      </c>
    </row>
    <row r="33">
      <c r="A33" s="76" t="n">
        <v>5</v>
      </c>
      <c r="B33" s="76">
        <f>Declarații_LEASING_FIN!B72</f>
        <v>4426</v>
      </c>
      <c r="C33" s="76">
        <f>Declarații_LEASING_FIN!B41</f>
        <v>546</v>
      </c>
      <c r="D33" s="76" t="str">
        <f>"TVA pe factura de leasing " &amp; Declarații_LEASING_FIN!B83</f>
        <v>TVA pe factura de leasing — leasing LF-2026-001 2026-07</v>
      </c>
      <c r="E33" s="76">
        <f>Declarații_LEASING_FIN!B71</f>
        <v>404</v>
      </c>
      <c r="F33" s="76">
        <f>Declarații_LEASING_FIN!B41</f>
        <v>546</v>
      </c>
      <c r="G33" s="76" t="str">
        <f>"Factura lunară — TVA " &amp; Declarații_LEASING_FIN!B83</f>
        <v>Factura lunară — TVA — leasing LF-2026-001 2026-07</v>
      </c>
    </row>
    <row r="35">
      <c r="A35" s="75" t="inlineStr">
        <is>
          <t>Bloc 6 — Corecția TVA nedeductibilă (limitarea 1: 50%)</t>
        </is>
      </c>
    </row>
    <row r="36">
      <c r="A36" s="78" t="inlineStr">
        <is>
          <t>Nr</t>
        </is>
      </c>
      <c r="B36" s="78" t="inlineStr">
        <is>
          <t>Cont Dr</t>
        </is>
      </c>
      <c r="C36" s="78" t="inlineStr">
        <is>
          <t>Sumă Dr</t>
        </is>
      </c>
      <c r="D36" s="78" t="inlineStr">
        <is>
          <t>Descriere Dr</t>
        </is>
      </c>
      <c r="E36" s="78" t="inlineStr">
        <is>
          <t>Cont Cr</t>
        </is>
      </c>
      <c r="F36" s="78" t="inlineStr">
        <is>
          <t>Sumă Cr</t>
        </is>
      </c>
      <c r="G36" s="78" t="inlineStr">
        <is>
          <t>Descriere Cr</t>
        </is>
      </c>
    </row>
    <row r="37">
      <c r="A37" s="76" t="n">
        <v>1</v>
      </c>
      <c r="B37" s="76">
        <f>IF(Declarații_LEASING_FIN!B21="CAPITALIZEAZA",Declarații_LEASING_FIN!B68,Declarații_LEASING_FIN!B79)</f>
        <v>2133</v>
      </c>
      <c r="C37" s="76">
        <f>Declarații_LEASING_FIN!B45</f>
        <v>210</v>
      </c>
      <c r="D37" s="76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76">
        <f>Declarații_LEASING_FIN!B72</f>
        <v>4426</v>
      </c>
      <c r="F37" s="76">
        <f>Declarații_LEASING_FIN!B45</f>
        <v>210</v>
      </c>
      <c r="G37" s="76" t="str">
        <f>"Stingere TVA nededusă — rată " &amp; Declarații_LEASING_FIN!B83</f>
        <v>Stingere TVA nededusă — rată — leasing LF-2026-001 2026-07</v>
      </c>
    </row>
    <row r="38">
      <c r="A38" s="76" t="n">
        <v>2</v>
      </c>
      <c r="B38" s="76">
        <f>Declarații_LEASING_FIN!B73</f>
        <v>666</v>
      </c>
      <c r="C38" s="76">
        <f>Declarații_LEASING_FIN!B46</f>
        <v>52.5</v>
      </c>
      <c r="D38" s="76" t="str">
        <f>"TVA nededusă pe dobândă " &amp; Declarații_LEASING_FIN!B83</f>
        <v>TVA nededusă pe dobândă — leasing LF-2026-001 2026-07</v>
      </c>
      <c r="E38" s="76">
        <f>Declarații_LEASING_FIN!B72</f>
        <v>4426</v>
      </c>
      <c r="F38" s="76">
        <f>Declarații_LEASING_FIN!B46</f>
        <v>52.5</v>
      </c>
      <c r="G38" s="76" t="str">
        <f>"Stingere TVA nededusă — dobândă " &amp; Declarații_LEASING_FIN!B83</f>
        <v>Stingere TVA nededusă — dobândă — leasing LF-2026-001 2026-07</v>
      </c>
    </row>
    <row r="39">
      <c r="A39" s="76" t="n">
        <v>3</v>
      </c>
      <c r="B39" s="76">
        <f>Declarații_LEASING_FIN!B74</f>
        <v>628</v>
      </c>
      <c r="C39" s="76">
        <f>Declarații_LEASING_FIN!B47</f>
        <v>10.5</v>
      </c>
      <c r="D39" s="76" t="str">
        <f>"TVA nededusă pe comision " &amp; Declarații_LEASING_FIN!B83</f>
        <v>TVA nededusă pe comision — leasing LF-2026-001 2026-07</v>
      </c>
      <c r="E39" s="76">
        <f>Declarații_LEASING_FIN!B72</f>
        <v>4426</v>
      </c>
      <c r="F39" s="76">
        <f>Declarații_LEASING_FIN!B47</f>
        <v>10.5</v>
      </c>
      <c r="G39" s="76" t="str">
        <f>"Stingere TVA nededusă — comision " &amp; Declarații_LEASING_FIN!B83</f>
        <v>Stingere TVA nededusă — comision — leasing LF-2026-001 2026-07</v>
      </c>
    </row>
    <row r="41">
      <c r="A41" s="75" t="inlineStr">
        <is>
          <t>Bloc 7 — Limitarea de 50% a cheltuielilor (limitarea 2)</t>
        </is>
      </c>
    </row>
    <row r="42">
      <c r="A42" s="74" t="inlineStr">
        <is>
          <t>Reclasificare pe analitice nedeductibile. Amortizarea NU apare aici.</t>
        </is>
      </c>
    </row>
    <row r="43">
      <c r="A43" s="78" t="inlineStr">
        <is>
          <t>Nr</t>
        </is>
      </c>
      <c r="B43" s="78" t="inlineStr">
        <is>
          <t>Cont Dr</t>
        </is>
      </c>
      <c r="C43" s="78" t="inlineStr">
        <is>
          <t>Sumă Dr</t>
        </is>
      </c>
      <c r="D43" s="78" t="inlineStr">
        <is>
          <t>Descriere Dr</t>
        </is>
      </c>
      <c r="E43" s="78" t="inlineStr">
        <is>
          <t>Cont Cr</t>
        </is>
      </c>
      <c r="F43" s="78" t="inlineStr">
        <is>
          <t>Sumă Cr</t>
        </is>
      </c>
      <c r="G43" s="78" t="inlineStr">
        <is>
          <t>Descriere Cr</t>
        </is>
      </c>
    </row>
    <row r="44">
      <c r="A44" s="76" t="n">
        <v>1</v>
      </c>
      <c r="B44" s="76" t="str">
        <f>Declarații_LEASING_FIN!B76</f>
        <v>666.NED</v>
      </c>
      <c r="C44" s="76">
        <f>Declarații_LEASING_FIN!B55</f>
        <v>276.25</v>
      </c>
      <c r="D44" s="76" t="str">
        <f>"Dobândă nedeductibilă 50% " &amp; Declarații_LEASING_FIN!B83</f>
        <v>Dobândă nedeductibilă 50% — leasing LF-2026-001 2026-07</v>
      </c>
      <c r="E44" s="76">
        <f>Declarații_LEASING_FIN!B73</f>
        <v>666</v>
      </c>
      <c r="F44" s="76">
        <f>Declarații_LEASING_FIN!B55</f>
        <v>276.25</v>
      </c>
      <c r="G44" s="76" t="str">
        <f>"Reclasificare din 666 " &amp; Declarații_LEASING_FIN!B83</f>
        <v>Reclasificare din 666 — leasing LF-2026-001 2026-07</v>
      </c>
    </row>
    <row r="45">
      <c r="A45" s="76" t="n">
        <v>2</v>
      </c>
      <c r="B45" s="76" t="str">
        <f>Declarații_LEASING_FIN!B77</f>
        <v>628.NED</v>
      </c>
      <c r="C45" s="76">
        <f>Declarații_LEASING_FIN!B56</f>
        <v>55.25</v>
      </c>
      <c r="D45" s="76" t="str">
        <f>"Comision nedeductibil 50% " &amp; Declarații_LEASING_FIN!B83</f>
        <v>Comision nedeductibil 50% — leasing LF-2026-001 2026-07</v>
      </c>
      <c r="E45" s="76">
        <f>Declarații_LEASING_FIN!B74</f>
        <v>628</v>
      </c>
      <c r="F45" s="76">
        <f>Declarații_LEASING_FIN!B56</f>
        <v>55.25</v>
      </c>
      <c r="G45" s="76" t="str">
        <f>"Reclasificare din 628 " &amp; Declarații_LEASING_FIN!B83</f>
        <v>Reclasificare din 628 — leasing LF-2026-001 2026-07</v>
      </c>
    </row>
    <row r="46">
      <c r="A46" s="76" t="n">
        <v>3</v>
      </c>
      <c r="B46" s="76" t="str">
        <f>Declarații_LEASING_FIN!B78</f>
        <v>613.NED</v>
      </c>
      <c r="C46" s="76">
        <f>Declarații_LEASING_FIN!B57</f>
        <v>10</v>
      </c>
      <c r="D46" s="76" t="str">
        <f>"CASCO nedeductibil 50% " &amp; Declarații_LEASING_FIN!B83</f>
        <v>CASCO nedeductibil 50% — leasing LF-2026-001 2026-07</v>
      </c>
      <c r="E46" s="76">
        <f>Declarații_LEASING_FIN!B75</f>
        <v>613</v>
      </c>
      <c r="F46" s="76">
        <f>Declarații_LEASING_FIN!B57</f>
        <v>10</v>
      </c>
      <c r="G46" s="76" t="str">
        <f>"Reclasificare din 613 (NU 615) " &amp; Declarații_LEASING_FIN!B83</f>
        <v>Reclasificare din 613 (NU 615) — leasing LF-2026-001 2026-07</v>
      </c>
    </row>
    <row r="48">
      <c r="A48" s="75" t="inlineStr">
        <is>
          <t>Bloc 8 — Amortizarea lunară (limitarea 3: plafon 1.500 lei/lună)</t>
        </is>
      </c>
    </row>
    <row r="49">
      <c r="A49" s="78" t="inlineStr">
        <is>
          <t>Nr</t>
        </is>
      </c>
      <c r="B49" s="78" t="inlineStr">
        <is>
          <t>Cont Dr</t>
        </is>
      </c>
      <c r="C49" s="78" t="inlineStr">
        <is>
          <t>Sumă Dr</t>
        </is>
      </c>
      <c r="D49" s="78" t="inlineStr">
        <is>
          <t>Descriere Dr</t>
        </is>
      </c>
      <c r="E49" s="78" t="inlineStr">
        <is>
          <t>Cont Cr</t>
        </is>
      </c>
      <c r="F49" s="78" t="inlineStr">
        <is>
          <t>Sumă Cr</t>
        </is>
      </c>
      <c r="G49" s="78" t="inlineStr">
        <is>
          <t>Descriere Cr</t>
        </is>
      </c>
    </row>
    <row r="50">
      <c r="A50" s="76" t="n">
        <v>1</v>
      </c>
      <c r="B50" s="76">
        <f>Declarații_LEASING_FIN!B80</f>
        <v>6811</v>
      </c>
      <c r="C50" s="76">
        <f>Declarații_LEASING_FIN!B33</f>
        <v>2587.5</v>
      </c>
      <c r="D50" s="76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76">
        <f>Declarații_LEASING_FIN!B69</f>
        <v>2813</v>
      </c>
      <c r="F50" s="76">
        <f>Declarații_LEASING_FIN!B33</f>
        <v>2587.5</v>
      </c>
      <c r="G50" s="76" t="str">
        <f>"Amortizare cumulată " &amp; Declarații_LEASING_FIN!B83</f>
        <v>Amortizare cumulată — leasing LF-2026-001 2026-07</v>
      </c>
    </row>
    <row r="52">
      <c r="A52" s="75" t="inlineStr">
        <is>
          <t>Sumar și controale</t>
        </is>
      </c>
    </row>
    <row r="53">
      <c r="A53" s="76" t="inlineStr">
        <is>
          <t>Total Dr</t>
        </is>
      </c>
      <c r="B53" s="76">
        <f>C8+C9+C13+C19+C23+C29+C30+C31+C32+C33+C37+C38+C39+C44+C45+C46+C50</f>
        <v>272118</v>
      </c>
    </row>
    <row r="54">
      <c r="A54" s="76" t="inlineStr">
        <is>
          <t>Total Cr</t>
        </is>
      </c>
      <c r="B54" s="76">
        <f>F8+F9+F13+F19+F23+F29+F30+F31+F32+F33+F37+F38+F39+F44+F45+F46+F50</f>
        <v>272118</v>
      </c>
    </row>
    <row r="55">
      <c r="A55" s="76" t="inlineStr">
        <is>
          <t>Check Σ (structural)</t>
        </is>
      </c>
      <c r="B55" s="76">
        <f>B53-B54</f>
        <v>0</v>
      </c>
      <c r="C55" s="76" t="str">
        <f>IF(ABS(B53-B54)&lt;0.01,"OK — notele se închid","EROARE")</f>
        <v>OK — notele se închid</v>
      </c>
    </row>
    <row r="56">
      <c r="A56" s="76" t="inlineStr">
        <is>
          <t>Check valoare de intrare a mijlocului fix</t>
        </is>
      </c>
      <c r="B56" s="76">
        <f>C13+C19-Declarații_LEASING_FIN!B32</f>
        <v>0</v>
      </c>
      <c r="C56" s="76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76" t="inlineStr">
        <is>
          <t>Check stingere avans (C-19)</t>
        </is>
      </c>
      <c r="B57" s="76">
        <f>C8-C23</f>
        <v>0</v>
      </c>
      <c r="C57" s="76" t="str">
        <f>IF(ABS(C8-C23)&lt;0.01,"OK — 4093 se închide integral în 167","EROARE — avansul rămâne cu sold")</f>
        <v>OK — 4093 se închide integral în 167</v>
      </c>
    </row>
    <row r="58">
      <c r="A58" s="76" t="inlineStr">
        <is>
          <t>Check TVA de pe factura lunară</t>
        </is>
      </c>
      <c r="B58" s="76">
        <f>C37+C38+C39-Declarații_LEASING_FIN!B48</f>
        <v>0</v>
      </c>
      <c r="C58" s="76" t="str">
        <f>IF(ABS(C37+C38+C39-Declarații_LEASING_FIN!B48)&lt;0.01,"OK — corecția acoperă exact TVA nedeductibilă","EROARE")</f>
        <v>OK — corecția acoperă exact TVA nedeductibilă</v>
      </c>
    </row>
    <row r="59">
      <c r="A59" s="76" t="inlineStr">
        <is>
          <t>Check limitarea 2 nu atinge amortizarea</t>
        </is>
      </c>
      <c r="B59" s="76">
        <f>C50</f>
        <v>2587.5</v>
      </c>
      <c r="C59" s="76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76" t="inlineStr">
        <is>
          <t>Nedeductibil lunar total (informativ)</t>
        </is>
      </c>
      <c r="B60" s="76">
        <f>Declarații_LEASING_FIN!B35+C44+C45+C46</f>
        <v>1429</v>
      </c>
      <c r="C60" s="76" t="str">
        <f>"Din care amortizare peste plafon: " &amp; TEXT(Declarații_LEASING_FIN!B35,"0.00") &amp; " lei"</f>
        <v>Din care amortizare peste plafon: 1087.50 lei</v>
      </c>
    </row>
    <row r="61">
      <c r="A61" s="7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3" t="inlineStr">
        <is>
          <t>MOD_LEASING_FIN — Notă pentru import (1 rând = 1 înregistrare)</t>
        </is>
      </c>
    </row>
    <row r="2">
      <c r="A2" s="74" t="inlineStr">
        <is>
          <t>Blocurile 1–4 se importă o singură dată, la deschiderea contractului. Blocurile 5–8, lunar. Filtrează pe Include = DA.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Avans</t>
        </is>
      </c>
      <c r="C5" s="76" t="str">
        <f>Declarații_LEASING_FIN!B8</f>
        <v>2026-07-01</v>
      </c>
      <c r="D5" s="76">
        <f>Jurnale_LEASING_FIN!B8</f>
        <v>4093</v>
      </c>
      <c r="E5" s="76">
        <f>Jurnale_LEASING_FIN!E8</f>
        <v>404</v>
      </c>
      <c r="F5" s="76">
        <f>Jurnale_LEASING_FIN!C8</f>
        <v>50000</v>
      </c>
      <c r="G5" s="76" t="str">
        <f>Jurnale_LEASING_FIN!D8</f>
        <v>Avans leasing — leasing LF-2026-001 2026-07</v>
      </c>
      <c r="H5" s="76" t="inlineStr">
        <is>
          <t>Factură de avans</t>
        </is>
      </c>
      <c r="I5" s="39" t="str">
        <f>IF(F5&gt;0.001,"DA","NU")</f>
        <v>DA</v>
      </c>
    </row>
    <row r="6">
      <c r="A6" s="76" t="n">
        <v>2</v>
      </c>
      <c r="B6" s="76" t="inlineStr">
        <is>
          <t>Bloc 1 — TVA avans</t>
        </is>
      </c>
      <c r="C6" s="76" t="str">
        <f>Declarații_LEASING_FIN!B8</f>
        <v>2026-07-01</v>
      </c>
      <c r="D6" s="76">
        <f>Jurnale_LEASING_FIN!B9</f>
        <v>4426</v>
      </c>
      <c r="E6" s="76">
        <f>Jurnale_LEASING_FIN!E9</f>
        <v>404</v>
      </c>
      <c r="F6" s="76">
        <f>Jurnale_LEASING_FIN!C9</f>
        <v>10500</v>
      </c>
      <c r="G6" s="76" t="str">
        <f>Jurnale_LEASING_FIN!D9</f>
        <v>TVA pe avans — leasing LF-2026-001 2026-07</v>
      </c>
      <c r="H6" s="76" t="inlineStr">
        <is>
          <t>Factură de avans</t>
        </is>
      </c>
      <c r="I6" s="39" t="str">
        <f>IF(F6&gt;0.001,"DA","NU")</f>
        <v>DA</v>
      </c>
    </row>
    <row r="7">
      <c r="A7" s="76" t="n">
        <v>3</v>
      </c>
      <c r="B7" s="76" t="inlineStr">
        <is>
          <t>Bloc 2 — TVA nededusă capitalizată</t>
        </is>
      </c>
      <c r="C7" s="76" t="str">
        <f>Declarații_LEASING_FIN!B8</f>
        <v>2026-07-01</v>
      </c>
      <c r="D7" s="76">
        <f>Jurnale_LEASING_FIN!B13</f>
        <v>2133</v>
      </c>
      <c r="E7" s="76">
        <f>Jurnale_LEASING_FIN!E13</f>
        <v>4426</v>
      </c>
      <c r="F7" s="76">
        <f>Jurnale_LEASING_FIN!C13</f>
        <v>5250</v>
      </c>
      <c r="G7" s="76" t="str">
        <f>Jurnale_LEASING_FIN!D13</f>
        <v>TVA nedeductibilă capitalizată în cost — leasing LF-2026-001 2026-07</v>
      </c>
      <c r="H7" s="76" t="inlineStr">
        <is>
          <t>Notă contabilă</t>
        </is>
      </c>
      <c r="I7" s="39" t="str">
        <f>IF(F7&gt;0.001,"DA","NU")</f>
        <v>DA</v>
      </c>
    </row>
    <row r="8">
      <c r="A8" s="76" t="n">
        <v>4</v>
      </c>
      <c r="B8" s="76" t="inlineStr">
        <is>
          <t>Bloc 3 — Intrare + 167</t>
        </is>
      </c>
      <c r="C8" s="76" t="str">
        <f>Declarații_LEASING_FIN!B9</f>
        <v>2026-07-10</v>
      </c>
      <c r="D8" s="76">
        <f>Jurnale_LEASING_FIN!B19</f>
        <v>2133</v>
      </c>
      <c r="E8" s="76" t="str">
        <f>Jurnale_LEASING_FIN!E19</f>
        <v>167.LF-2026-001</v>
      </c>
      <c r="F8" s="76">
        <f>Jurnale_LEASING_FIN!C19</f>
        <v>150000</v>
      </c>
      <c r="G8" s="76" t="str">
        <f>Jurnale_LEASING_FIN!D19</f>
        <v>Intrare autoturism în patrimoniu — leasing LF-2026-001 2026-07</v>
      </c>
      <c r="H8" s="76" t="inlineStr">
        <is>
          <t>Proces-verbal de recepție</t>
        </is>
      </c>
      <c r="I8" s="39" t="str">
        <f>IF(F8&gt;0.001,"DA","NU")</f>
        <v>DA</v>
      </c>
    </row>
    <row r="9">
      <c r="A9" s="76" t="n">
        <v>5</v>
      </c>
      <c r="B9" s="76" t="inlineStr">
        <is>
          <t>Bloc 4 — Stingere avans</t>
        </is>
      </c>
      <c r="C9" s="76" t="str">
        <f>Declarații_LEASING_FIN!B9</f>
        <v>2026-07-10</v>
      </c>
      <c r="D9" s="76" t="str">
        <f>Jurnale_LEASING_FIN!B23</f>
        <v>167.LF-2026-001</v>
      </c>
      <c r="E9" s="76">
        <f>Jurnale_LEASING_FIN!E23</f>
        <v>4093</v>
      </c>
      <c r="F9" s="76">
        <f>Jurnale_LEASING_FIN!C23</f>
        <v>50000</v>
      </c>
      <c r="G9" s="76" t="str">
        <f>Jurnale_LEASING_FIN!D23</f>
        <v>Închidere avans în datoria de leasing — leasing LF-2026-001 2026-07</v>
      </c>
      <c r="H9" s="76" t="inlineStr">
        <is>
          <t>Notă contabilă</t>
        </is>
      </c>
      <c r="I9" s="39" t="str">
        <f>IF(F9&gt;0.001,"DA","NU")</f>
        <v>DA</v>
      </c>
    </row>
    <row r="10">
      <c r="A10" s="76" t="n">
        <v>6</v>
      </c>
      <c r="B10" s="76" t="inlineStr">
        <is>
          <t>Bloc 5 — Rata de capital</t>
        </is>
      </c>
      <c r="C10" s="76" t="str">
        <f>Declarații_LEASING_FIN!B10</f>
        <v>2026-07-31</v>
      </c>
      <c r="D10" s="76" t="str">
        <f>Jurnale_LEASING_FIN!B29</f>
        <v>167.LF-2026-001</v>
      </c>
      <c r="E10" s="76">
        <f>Jurnale_LEASING_FIN!E29</f>
        <v>404</v>
      </c>
      <c r="F10" s="76">
        <f>Jurnale_LEASING_FIN!C29</f>
        <v>2000</v>
      </c>
      <c r="G10" s="76" t="str">
        <f>Jurnale_LEASING_FIN!D29</f>
        <v>Rata de capital — leasing LF-2026-001 2026-07</v>
      </c>
      <c r="H10" s="76" t="inlineStr">
        <is>
          <t>Factură lunară</t>
        </is>
      </c>
      <c r="I10" s="39" t="str">
        <f>IF(F10&gt;0.001,"DA","NU")</f>
        <v>DA</v>
      </c>
    </row>
    <row r="11">
      <c r="A11" s="76" t="n">
        <v>7</v>
      </c>
      <c r="B11" s="76" t="inlineStr">
        <is>
          <t>Bloc 5 — Dobândă</t>
        </is>
      </c>
      <c r="C11" s="76" t="str">
        <f>Declarații_LEASING_FIN!B10</f>
        <v>2026-07-31</v>
      </c>
      <c r="D11" s="76">
        <f>Jurnale_LEASING_FIN!B30</f>
        <v>666</v>
      </c>
      <c r="E11" s="76">
        <f>Jurnale_LEASING_FIN!E30</f>
        <v>404</v>
      </c>
      <c r="F11" s="76">
        <f>Jurnale_LEASING_FIN!C30</f>
        <v>500</v>
      </c>
      <c r="G11" s="76" t="str">
        <f>Jurnale_LEASING_FIN!D30</f>
        <v>Dobândă de leasing — leasing LF-2026-001 2026-07</v>
      </c>
      <c r="H11" s="76" t="inlineStr">
        <is>
          <t>Factură lunară</t>
        </is>
      </c>
      <c r="I11" s="39" t="str">
        <f>IF(F11&gt;0.001,"DA","NU")</f>
        <v>DA</v>
      </c>
    </row>
    <row r="12">
      <c r="A12" s="76" t="n">
        <v>8</v>
      </c>
      <c r="B12" s="76" t="inlineStr">
        <is>
          <t>Bloc 5 — Comision</t>
        </is>
      </c>
      <c r="C12" s="76" t="str">
        <f>Declarații_LEASING_FIN!B10</f>
        <v>2026-07-31</v>
      </c>
      <c r="D12" s="76">
        <f>Jurnale_LEASING_FIN!B31</f>
        <v>628</v>
      </c>
      <c r="E12" s="76">
        <f>Jurnale_LEASING_FIN!E31</f>
        <v>404</v>
      </c>
      <c r="F12" s="76">
        <f>Jurnale_LEASING_FIN!C31</f>
        <v>100</v>
      </c>
      <c r="G12" s="76" t="str">
        <f>Jurnale_LEASING_FIN!D31</f>
        <v>Comision de administrare — leasing LF-2026-001 2026-07</v>
      </c>
      <c r="H12" s="76" t="inlineStr">
        <is>
          <t>Factură lunară</t>
        </is>
      </c>
      <c r="I12" s="39" t="str">
        <f>IF(F12&gt;0.001,"DA","NU")</f>
        <v>DA</v>
      </c>
    </row>
    <row r="13">
      <c r="A13" s="76" t="n">
        <v>9</v>
      </c>
      <c r="B13" s="76" t="inlineStr">
        <is>
          <t>Bloc 5 — CASCO</t>
        </is>
      </c>
      <c r="C13" s="76" t="str">
        <f>Declarații_LEASING_FIN!B10</f>
        <v>2026-07-31</v>
      </c>
      <c r="D13" s="76">
        <f>Jurnale_LEASING_FIN!B32</f>
        <v>613</v>
      </c>
      <c r="E13" s="76">
        <f>Jurnale_LEASING_FIN!E32</f>
        <v>404</v>
      </c>
      <c r="F13" s="76">
        <f>Jurnale_LEASING_FIN!C32</f>
        <v>20</v>
      </c>
      <c r="G13" s="76" t="str">
        <f>Jurnale_LEASING_FIN!D32</f>
        <v>Primă CASCO — leasing LF-2026-001 2026-07</v>
      </c>
      <c r="H13" s="76" t="inlineStr">
        <is>
          <t>Factură lunară</t>
        </is>
      </c>
      <c r="I13" s="39" t="str">
        <f>IF(F13&gt;0.001,"DA","NU")</f>
        <v>DA</v>
      </c>
    </row>
    <row r="14">
      <c r="A14" s="76" t="n">
        <v>10</v>
      </c>
      <c r="B14" s="76" t="inlineStr">
        <is>
          <t>Bloc 5 — TVA</t>
        </is>
      </c>
      <c r="C14" s="76" t="str">
        <f>Declarații_LEASING_FIN!B10</f>
        <v>2026-07-31</v>
      </c>
      <c r="D14" s="76">
        <f>Jurnale_LEASING_FIN!B33</f>
        <v>4426</v>
      </c>
      <c r="E14" s="76">
        <f>Jurnale_LEASING_FIN!E33</f>
        <v>404</v>
      </c>
      <c r="F14" s="76">
        <f>Jurnale_LEASING_FIN!C33</f>
        <v>546</v>
      </c>
      <c r="G14" s="76" t="str">
        <f>Jurnale_LEASING_FIN!D33</f>
        <v>TVA pe factura de leasing — leasing LF-2026-001 2026-07</v>
      </c>
      <c r="H14" s="76" t="inlineStr">
        <is>
          <t>Factură lunară</t>
        </is>
      </c>
      <c r="I14" s="39" t="str">
        <f>IF(F14&gt;0.001,"DA","NU")</f>
        <v>DA</v>
      </c>
    </row>
    <row r="15">
      <c r="A15" s="76" t="n">
        <v>11</v>
      </c>
      <c r="B15" s="76" t="inlineStr">
        <is>
          <t>Bloc 6 — TVA nededusă rată</t>
        </is>
      </c>
      <c r="C15" s="76" t="str">
        <f>Declarații_LEASING_FIN!B10</f>
        <v>2026-07-31</v>
      </c>
      <c r="D15" s="76">
        <f>Jurnale_LEASING_FIN!B37</f>
        <v>2133</v>
      </c>
      <c r="E15" s="76">
        <f>Jurnale_LEASING_FIN!E37</f>
        <v>4426</v>
      </c>
      <c r="F15" s="76">
        <f>Jurnale_LEASING_FIN!C37</f>
        <v>210</v>
      </c>
      <c r="G15" s="76" t="str">
        <f>Jurnale_LEASING_FIN!D37</f>
        <v>TVA nededusă pe rata de capital — capitalizată — leasing LF-2026-001 2026-07</v>
      </c>
      <c r="H15" s="76" t="inlineStr">
        <is>
          <t>Notă contabilă</t>
        </is>
      </c>
      <c r="I15" s="39" t="str">
        <f>IF(F15&gt;0.001,"DA","NU")</f>
        <v>DA</v>
      </c>
    </row>
    <row r="16">
      <c r="A16" s="76" t="n">
        <v>12</v>
      </c>
      <c r="B16" s="76" t="inlineStr">
        <is>
          <t>Bloc 6 — TVA nededusă dobândă</t>
        </is>
      </c>
      <c r="C16" s="76" t="str">
        <f>Declarații_LEASING_FIN!B10</f>
        <v>2026-07-31</v>
      </c>
      <c r="D16" s="76">
        <f>Jurnale_LEASING_FIN!B38</f>
        <v>666</v>
      </c>
      <c r="E16" s="76">
        <f>Jurnale_LEASING_FIN!E38</f>
        <v>4426</v>
      </c>
      <c r="F16" s="76">
        <f>Jurnale_LEASING_FIN!C38</f>
        <v>52.5</v>
      </c>
      <c r="G16" s="76" t="str">
        <f>Jurnale_LEASING_FIN!D38</f>
        <v>TVA nededusă pe dobândă — leasing LF-2026-001 2026-07</v>
      </c>
      <c r="H16" s="76" t="inlineStr">
        <is>
          <t>Notă contabilă</t>
        </is>
      </c>
      <c r="I16" s="39" t="str">
        <f>IF(F16&gt;0.001,"DA","NU")</f>
        <v>DA</v>
      </c>
    </row>
    <row r="17">
      <c r="A17" s="76" t="n">
        <v>13</v>
      </c>
      <c r="B17" s="76" t="inlineStr">
        <is>
          <t>Bloc 6 — TVA nededusă comision</t>
        </is>
      </c>
      <c r="C17" s="76" t="str">
        <f>Declarații_LEASING_FIN!B10</f>
        <v>2026-07-31</v>
      </c>
      <c r="D17" s="76">
        <f>Jurnale_LEASING_FIN!B39</f>
        <v>628</v>
      </c>
      <c r="E17" s="76">
        <f>Jurnale_LEASING_FIN!E39</f>
        <v>4426</v>
      </c>
      <c r="F17" s="76">
        <f>Jurnale_LEASING_FIN!C39</f>
        <v>10.5</v>
      </c>
      <c r="G17" s="76" t="str">
        <f>Jurnale_LEASING_FIN!D39</f>
        <v>TVA nededusă pe comision — leasing LF-2026-001 2026-07</v>
      </c>
      <c r="H17" s="76" t="inlineStr">
        <is>
          <t>Notă contabilă</t>
        </is>
      </c>
      <c r="I17" s="39" t="str">
        <f>IF(F17&gt;0.001,"DA","NU")</f>
        <v>DA</v>
      </c>
    </row>
    <row r="18">
      <c r="A18" s="76" t="n">
        <v>14</v>
      </c>
      <c r="B18" s="76" t="inlineStr">
        <is>
          <t>Bloc 7 — Dobândă nedeductibilă</t>
        </is>
      </c>
      <c r="C18" s="76" t="str">
        <f>Declarații_LEASING_FIN!B10</f>
        <v>2026-07-31</v>
      </c>
      <c r="D18" s="76" t="str">
        <f>Jurnale_LEASING_FIN!B44</f>
        <v>666.NED</v>
      </c>
      <c r="E18" s="76">
        <f>Jurnale_LEASING_FIN!E44</f>
        <v>666</v>
      </c>
      <c r="F18" s="76">
        <f>Jurnale_LEASING_FIN!C44</f>
        <v>276.25</v>
      </c>
      <c r="G18" s="76" t="str">
        <f>Jurnale_LEASING_FIN!D44</f>
        <v>Dobândă nedeductibilă 50% — leasing LF-2026-001 2026-07</v>
      </c>
      <c r="H18" s="76" t="inlineStr">
        <is>
          <t>Notă contabilă</t>
        </is>
      </c>
      <c r="I18" s="39" t="str">
        <f>IF(F18&gt;0.001,"DA","NU")</f>
        <v>DA</v>
      </c>
    </row>
    <row r="19">
      <c r="A19" s="76" t="n">
        <v>15</v>
      </c>
      <c r="B19" s="76" t="inlineStr">
        <is>
          <t>Bloc 7 — Comision nedeductibil</t>
        </is>
      </c>
      <c r="C19" s="76" t="str">
        <f>Declarații_LEASING_FIN!B10</f>
        <v>2026-07-31</v>
      </c>
      <c r="D19" s="76" t="str">
        <f>Jurnale_LEASING_FIN!B45</f>
        <v>628.NED</v>
      </c>
      <c r="E19" s="76">
        <f>Jurnale_LEASING_FIN!E45</f>
        <v>628</v>
      </c>
      <c r="F19" s="76">
        <f>Jurnale_LEASING_FIN!C45</f>
        <v>55.25</v>
      </c>
      <c r="G19" s="76" t="str">
        <f>Jurnale_LEASING_FIN!D45</f>
        <v>Comision nedeductibil 50% — leasing LF-2026-001 2026-07</v>
      </c>
      <c r="H19" s="76" t="inlineStr">
        <is>
          <t>Notă contabilă</t>
        </is>
      </c>
      <c r="I19" s="39" t="str">
        <f>IF(F19&gt;0.001,"DA","NU")</f>
        <v>DA</v>
      </c>
    </row>
    <row r="20">
      <c r="A20" s="76" t="n">
        <v>16</v>
      </c>
      <c r="B20" s="76" t="inlineStr">
        <is>
          <t>Bloc 7 — CASCO nedeductibil</t>
        </is>
      </c>
      <c r="C20" s="76" t="str">
        <f>Declarații_LEASING_FIN!B10</f>
        <v>2026-07-31</v>
      </c>
      <c r="D20" s="76" t="str">
        <f>Jurnale_LEASING_FIN!B46</f>
        <v>613.NED</v>
      </c>
      <c r="E20" s="76">
        <f>Jurnale_LEASING_FIN!E46</f>
        <v>613</v>
      </c>
      <c r="F20" s="76">
        <f>Jurnale_LEASING_FIN!C46</f>
        <v>10</v>
      </c>
      <c r="G20" s="76" t="str">
        <f>Jurnale_LEASING_FIN!D46</f>
        <v>CASCO nedeductibil 50% — leasing LF-2026-001 2026-07</v>
      </c>
      <c r="H20" s="76" t="inlineStr">
        <is>
          <t>Notă contabilă</t>
        </is>
      </c>
      <c r="I20" s="39" t="str">
        <f>IF(F20&gt;0.001,"DA","NU")</f>
        <v>DA</v>
      </c>
    </row>
    <row r="21">
      <c r="A21" s="76" t="n">
        <v>17</v>
      </c>
      <c r="B21" s="76" t="inlineStr">
        <is>
          <t>Bloc 8 — Amortizare</t>
        </is>
      </c>
      <c r="C21" s="76" t="str">
        <f>Declarații_LEASING_FIN!B10</f>
        <v>2026-07-31</v>
      </c>
      <c r="D21" s="76">
        <f>Jurnale_LEASING_FIN!B50</f>
        <v>6811</v>
      </c>
      <c r="E21" s="76">
        <f>Jurnale_LEASING_FIN!E50</f>
        <v>2813</v>
      </c>
      <c r="F21" s="76">
        <f>Jurnale_LEASING_FIN!C50</f>
        <v>2587.5</v>
      </c>
      <c r="G21" s="76" t="str">
        <f>Jurnale_LEASING_FIN!D50</f>
        <v>Amortizare contabilă (din care nedeductibil 1087.50 lei) — leasing LF-2026-001 2026-07</v>
      </c>
      <c r="H21" s="76" t="inlineStr">
        <is>
          <t>Notă de amortizare</t>
        </is>
      </c>
      <c r="I21" s="39" t="str">
        <f>IF(F21&gt;0.001,"DA","NU")</f>
        <v>DA</v>
      </c>
    </row>
    <row r="23">
      <c r="A23" s="76" t="inlineStr">
        <is>
          <t>Rânduri de importat (Include=DA)</t>
        </is>
      </c>
      <c r="B23" s="76">
        <f>COUNTIF(I5:I21,"DA")</f>
        <v>17</v>
      </c>
    </row>
    <row r="24">
      <c r="A24" s="76" t="inlineStr">
        <is>
          <t>Check global (trebuie 0)</t>
        </is>
      </c>
      <c r="B24" s="76">
        <f>Jurnale_LEASING_FIN!B53-Jurnale_LEASING_FIN!B54</f>
        <v>0</v>
      </c>
      <c r="C24" s="76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3" t="inlineStr">
        <is>
          <t>MOD_IMOBILIZARI — Declarații (input)</t>
        </is>
      </c>
    </row>
    <row r="2">
      <c r="A2" s="74" t="inlineStr">
        <is>
          <t>Completează doar celulele galbene. Regimul de TVA activează singur blocul potrivit.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Denumire mijloc fix</t>
        </is>
      </c>
      <c r="B6" s="77" t="inlineStr">
        <is>
          <t>Echipament tehnologic</t>
        </is>
      </c>
    </row>
    <row r="7">
      <c r="A7" s="76" t="inlineStr">
        <is>
          <t>Luna</t>
        </is>
      </c>
      <c r="B7" s="77" t="inlineStr">
        <is>
          <t>2026-07</t>
        </is>
      </c>
    </row>
    <row r="8">
      <c r="A8" s="76" t="inlineStr">
        <is>
          <t>Data facturii</t>
        </is>
      </c>
      <c r="B8" s="77" t="inlineStr">
        <is>
          <t>2026-07-05</t>
        </is>
      </c>
    </row>
    <row r="9">
      <c r="A9" s="76" t="inlineStr">
        <is>
          <t>Data punerii în funcțiune</t>
        </is>
      </c>
      <c r="B9" s="77" t="inlineStr">
        <is>
          <t>2026-07-20</t>
        </is>
      </c>
    </row>
    <row r="11">
      <c r="A11" s="75" t="inlineStr">
        <is>
          <t>2. Valori</t>
        </is>
      </c>
    </row>
    <row r="12">
      <c r="A12" s="76" t="inlineStr">
        <is>
          <t>Valoare din factură / DVI (fără TVA)</t>
        </is>
      </c>
      <c r="B12" s="77" t="n">
        <v>100000</v>
      </c>
    </row>
    <row r="13">
      <c r="A13" s="76" t="inlineStr">
        <is>
          <t>Taxe vamale (0 dacă nu e import)</t>
        </is>
      </c>
      <c r="B13" s="77" t="n">
        <v>0</v>
      </c>
      <c r="C13" s="74" t="inlineStr">
        <is>
          <t>Se CAPITALIZEAZĂ, nu se trec pe 635</t>
        </is>
      </c>
    </row>
    <row r="14">
      <c r="A14" s="76" t="inlineStr">
        <is>
          <t>Transport și manipulare până la recepție</t>
        </is>
      </c>
      <c r="B14" s="77" t="n">
        <v>0</v>
      </c>
      <c r="C14" s="74" t="inlineStr">
        <is>
          <t>Intră tot în costul de achiziție</t>
        </is>
      </c>
    </row>
    <row r="15">
      <c r="A15" s="76" t="inlineStr">
        <is>
          <t>Cotă TVA</t>
        </is>
      </c>
      <c r="B15" s="76">
        <f>Parametri!B10</f>
        <v>0.21</v>
      </c>
    </row>
    <row r="17">
      <c r="A17" s="75" t="inlineStr">
        <is>
          <t>3. Regim și clasificare</t>
        </is>
      </c>
    </row>
    <row r="18">
      <c r="A18" s="76" t="inlineStr">
        <is>
          <t>Regim TVA (INTERN / TAXARE_INVERSA / IMPORT)</t>
        </is>
      </c>
      <c r="B18" s="77" t="inlineStr">
        <is>
          <t>INTERN</t>
        </is>
      </c>
    </row>
    <row r="19">
      <c r="A19" s="76" t="inlineStr">
        <is>
          <t>Bunul a fost recepționat? (DA / NU)</t>
        </is>
      </c>
      <c r="B19" s="77" t="inlineStr">
        <is>
          <t>DA</t>
        </is>
      </c>
      <c r="C19" s="74" t="inlineStr">
        <is>
          <t>NU → intrarea se face pe 223/224 (tranzit), vezi F-207</t>
        </is>
      </c>
    </row>
    <row r="20">
      <c r="A20" s="76" t="inlineStr">
        <is>
          <t>Cod de clasificare din catalog</t>
        </is>
      </c>
      <c r="B20" s="77" t="inlineStr">
        <is>
          <t>2.1.16.4.1</t>
        </is>
      </c>
    </row>
    <row r="21">
      <c r="A21" s="76" t="inlineStr">
        <is>
          <t>Durată de amortizare (luni)</t>
        </is>
      </c>
      <c r="B21" s="77" t="n">
        <v>120</v>
      </c>
      <c r="C21" s="74" t="inlineStr">
        <is>
          <t>Din catalogul de clasificare; merge în D406/SAF-T</t>
        </is>
      </c>
    </row>
    <row r="23">
      <c r="A23" s="75" t="inlineStr">
        <is>
          <t>4. Calcul automat (nu edita)</t>
        </is>
      </c>
    </row>
    <row r="24">
      <c r="A24" s="76" t="inlineStr">
        <is>
          <t>Valoare de intrare (cost complet)</t>
        </is>
      </c>
      <c r="B24" s="76">
        <f>B12+B13+B14</f>
        <v>100000</v>
      </c>
    </row>
    <row r="25">
      <c r="A25" s="76" t="inlineStr">
        <is>
          <t>TVA aferentă</t>
        </is>
      </c>
      <c r="B25" s="76">
        <f>B12*B15</f>
        <v>21000</v>
      </c>
    </row>
    <row r="26">
      <c r="A26" s="76" t="inlineStr">
        <is>
          <t>Amortizare lunară</t>
        </is>
      </c>
      <c r="B26" s="76">
        <f>ROUND(B24/B21,2)</f>
        <v>833.33</v>
      </c>
    </row>
    <row r="27">
      <c r="A27" s="76" t="inlineStr">
        <is>
          <t>Test prag mijloc fix</t>
        </is>
      </c>
      <c r="B27" s="76">
        <f>B24</f>
        <v>100000</v>
      </c>
      <c r="C27" s="76" t="str">
        <f>IF(B24&gt;=param_prag_mf,"OK — mijloc fix, se amortizează","ATENȚIE — sub prag: obiect de inventar (303), nu mijloc fix")</f>
        <v>OK — mijloc fix, se amortizează</v>
      </c>
    </row>
    <row r="28">
      <c r="A28" s="76" t="inlineStr">
        <is>
          <t>Test recepție</t>
        </is>
      </c>
      <c r="B28" s="76" t="str">
        <f>B19</f>
        <v>DA</v>
      </c>
      <c r="C28" s="76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76" t="inlineStr">
        <is>
          <t>Test regim TVA</t>
        </is>
      </c>
      <c r="B29" s="76" t="str">
        <f>B18</f>
        <v>INTERN</v>
      </c>
      <c r="C29" s="76" t="str">
        <f>IF(OR(B18="INTERN",B18="TAXARE_INVERSA",B18="IMPORT"),"OK — regim recunoscut","EROARE — regim necunoscut")</f>
        <v>OK — regim recunoscut</v>
      </c>
    </row>
    <row r="31">
      <c r="A31" s="75" t="inlineStr">
        <is>
          <t>5. Conturi</t>
        </is>
      </c>
    </row>
    <row r="32">
      <c r="A32" s="76" t="inlineStr">
        <is>
          <t>Cont imobilizare (21x)</t>
        </is>
      </c>
      <c r="B32" s="77" t="inlineStr">
        <is>
          <t>2131</t>
        </is>
      </c>
    </row>
    <row r="33">
      <c r="A33" s="76" t="inlineStr">
        <is>
          <t>Cont amortizare (28x) — oglinda</t>
        </is>
      </c>
      <c r="B33" s="77" t="inlineStr">
        <is>
          <t>2813</t>
        </is>
      </c>
      <c r="C33" s="74" t="inlineStr">
        <is>
          <t>C-14: 212↔2812, 213x↔2813, 214↔2814, 215↔2815</t>
        </is>
      </c>
    </row>
    <row r="34">
      <c r="A34" s="76" t="inlineStr">
        <is>
          <t>Cont tranzit dacă nerecepționat</t>
        </is>
      </c>
      <c r="B34" s="77" t="inlineStr">
        <is>
          <t>223</t>
        </is>
      </c>
    </row>
    <row r="35">
      <c r="A35" s="76" t="inlineStr">
        <is>
          <t>Cont furnizor de imobilizări</t>
        </is>
      </c>
      <c r="B35" s="77" t="inlineStr">
        <is>
          <t>404</t>
        </is>
      </c>
    </row>
    <row r="36">
      <c r="A36" s="76" t="inlineStr">
        <is>
          <t>Cont TVA deductibilă</t>
        </is>
      </c>
      <c r="B36" s="77" t="n">
        <v>4426</v>
      </c>
    </row>
    <row r="37">
      <c r="A37" s="76" t="inlineStr">
        <is>
          <t>Cont TVA colectată (taxare inversă)</t>
        </is>
      </c>
      <c r="B37" s="77" t="n">
        <v>4427</v>
      </c>
    </row>
    <row r="38">
      <c r="A38" s="76" t="inlineStr">
        <is>
          <t>Cont taxe vamale</t>
        </is>
      </c>
      <c r="B38" s="77" t="inlineStr">
        <is>
          <t>446.VAMA</t>
        </is>
      </c>
    </row>
    <row r="39">
      <c r="A39" s="76" t="inlineStr">
        <is>
          <t>Cont bancă</t>
        </is>
      </c>
      <c r="B39" s="77" t="inlineStr">
        <is>
          <t>5121</t>
        </is>
      </c>
    </row>
    <row r="40">
      <c r="A40" s="76" t="inlineStr">
        <is>
          <t>Cont cheltuială cu amortizarea</t>
        </is>
      </c>
      <c r="B40" s="77" t="n">
        <v>6811</v>
      </c>
    </row>
    <row r="42">
      <c r="A42" s="75" t="inlineStr">
        <is>
          <t>6. Sufix generat</t>
        </is>
      </c>
    </row>
    <row r="43">
      <c r="A43" s="76" t="inlineStr">
        <is>
          <t>Sufix</t>
        </is>
      </c>
      <c r="B43" s="76" t="str">
        <f>"— " &amp; B6 &amp; " " &amp; B7</f>
        <v>— Echipament tehnologic 2026-07</v>
      </c>
    </row>
    <row r="45">
      <c r="A45" s="76" t="inlineStr">
        <is>
          <t>Modul activ în CatalogModule?</t>
        </is>
      </c>
      <c r="B45" s="76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3" t="inlineStr">
        <is>
          <t>MOD_IMOBILIZARI — Reguli (tabele fixe)</t>
        </is>
      </c>
    </row>
    <row r="2">
      <c r="A2" s="74" t="inlineStr">
        <is>
          <t>Se editează doar când se schimbă legea sau catalogul de clasificare.</t>
        </is>
      </c>
    </row>
    <row r="4">
      <c r="A4" s="75" t="inlineStr">
        <is>
          <t>Tabel A — Regimuri de TVA la intrare</t>
        </is>
      </c>
    </row>
    <row r="5">
      <c r="A5" s="78" t="inlineStr">
        <is>
          <t>Regim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inlineStr">
        <is>
          <t>INTERN</t>
        </is>
      </c>
      <c r="B6" s="76" t="inlineStr">
        <is>
          <t>4426</t>
        </is>
      </c>
      <c r="C6" s="76" t="inlineStr">
        <is>
          <t>404</t>
        </is>
      </c>
      <c r="D6" s="76" t="inlineStr">
        <is>
          <t>valoare × cotă</t>
        </is>
      </c>
      <c r="E6" s="76" t="inlineStr">
        <is>
          <t>Furnizor român plătitor</t>
        </is>
      </c>
      <c r="F6" s="76" t="inlineStr">
        <is>
          <t>TVA deductibilă normală</t>
        </is>
      </c>
    </row>
    <row r="7">
      <c r="A7" s="76" t="inlineStr">
        <is>
          <t>TAXARE_INVERSA</t>
        </is>
      </c>
      <c r="B7" s="76" t="inlineStr">
        <is>
          <t>4426</t>
        </is>
      </c>
      <c r="C7" s="76" t="inlineStr">
        <is>
          <t>4427</t>
        </is>
      </c>
      <c r="D7" s="76" t="inlineStr">
        <is>
          <t>valoare × cota din România</t>
        </is>
      </c>
      <c r="E7" s="76" t="inlineStr">
        <is>
          <t>Achiziție intracomunitară SAU art. 331 intern</t>
        </is>
      </c>
      <c r="F7" s="76" t="inlineStr">
        <is>
          <t>IC: cere VIES valid + dovada transportului. Clădiri: cod 27 în D394, altfel decontul nu recunoaște operațiunea</t>
        </is>
      </c>
    </row>
    <row r="8">
      <c r="A8" s="76" t="inlineStr">
        <is>
          <t>IMPORT</t>
        </is>
      </c>
      <c r="B8" s="76" t="inlineStr">
        <is>
          <t>4426</t>
        </is>
      </c>
      <c r="C8" s="76" t="inlineStr">
        <is>
          <t>5121</t>
        </is>
      </c>
      <c r="D8" s="76" t="inlineStr">
        <is>
          <t>TVA plătit efectiv în vamă</t>
        </is>
      </c>
      <c r="E8" s="76" t="inlineStr">
        <is>
          <t>Import din afara UE</t>
        </is>
      </c>
      <c r="F8" s="76" t="inlineStr">
        <is>
          <t>Document de bază: DVI, nu factura furnizorului. Cu certificat de amânare: 4426 = 4427</t>
        </is>
      </c>
    </row>
    <row r="10">
      <c r="A10" s="75" t="inlineStr">
        <is>
          <t>Tabel B — Ce intră în costul de achiziție</t>
        </is>
      </c>
    </row>
    <row r="11">
      <c r="A11" s="78" t="inlineStr">
        <is>
          <t>Element</t>
        </is>
      </c>
      <c r="B11" s="78" t="inlineStr">
        <is>
          <t>Tratament</t>
        </is>
      </c>
      <c r="C11" s="78" t="inlineStr"/>
      <c r="D11" s="78" t="inlineStr"/>
      <c r="E11" s="78" t="inlineStr"/>
      <c r="F11" s="78" t="inlineStr">
        <is>
          <t>Temei</t>
        </is>
      </c>
    </row>
    <row r="12">
      <c r="A12" s="76" t="inlineStr">
        <is>
          <t>Preț din factură / DVI</t>
        </is>
      </c>
      <c r="B12" s="76" t="inlineStr">
        <is>
          <t>capitalizat</t>
        </is>
      </c>
      <c r="C12" s="76" t="inlineStr"/>
      <c r="D12" s="76" t="inlineStr"/>
      <c r="E12" s="76" t="inlineStr"/>
      <c r="F12" s="76" t="inlineStr">
        <is>
          <t>OMFP 1802/2014</t>
        </is>
      </c>
    </row>
    <row r="13">
      <c r="A13" s="76" t="inlineStr">
        <is>
          <t>Taxe vamale nerecuperabile</t>
        </is>
      </c>
      <c r="B13" s="76" t="inlineStr">
        <is>
          <t>CAPITALIZAT — nu pe 635</t>
        </is>
      </c>
      <c r="C13" s="76" t="inlineStr"/>
      <c r="D13" s="76" t="inlineStr"/>
      <c r="E13" s="76" t="inlineStr"/>
      <c r="F13" s="76" t="inlineStr">
        <is>
          <t>OMFP 1802/2014</t>
        </is>
      </c>
    </row>
    <row r="14">
      <c r="A14" s="76" t="inlineStr">
        <is>
          <t>Transport și manipulare până la recepție</t>
        </is>
      </c>
      <c r="B14" s="76" t="inlineStr">
        <is>
          <t>capitalizat</t>
        </is>
      </c>
      <c r="C14" s="76" t="inlineStr"/>
      <c r="D14" s="76" t="inlineStr"/>
      <c r="E14" s="76" t="inlineStr"/>
      <c r="F14" s="76" t="inlineStr">
        <is>
          <t>OMFP 1802/2014</t>
        </is>
      </c>
    </row>
    <row r="15">
      <c r="A15" s="76" t="inlineStr">
        <is>
          <t>TVA nedeductibilă (ex. 50% vehicule)</t>
        </is>
      </c>
      <c r="B15" s="76" t="inlineStr">
        <is>
          <t>capitalizată sau pe cheltuială</t>
        </is>
      </c>
      <c r="C15" s="76" t="inlineStr"/>
      <c r="D15" s="76" t="inlineStr"/>
      <c r="E15" s="76" t="inlineStr"/>
      <c r="F15" s="76" t="inlineStr">
        <is>
          <t>vezi MOD_LEASING_FIN</t>
        </is>
      </c>
    </row>
    <row r="16">
      <c r="A16" s="76" t="inlineStr">
        <is>
          <t>Dobânzi de finanțare</t>
        </is>
      </c>
      <c r="B16" s="76" t="inlineStr">
        <is>
          <t>de regulă pe cheltuială</t>
        </is>
      </c>
      <c r="C16" s="76" t="inlineStr"/>
      <c r="D16" s="76" t="inlineStr"/>
      <c r="E16" s="76" t="inlineStr"/>
      <c r="F16" s="76" t="inlineStr">
        <is>
          <t>OMFP 1802/2014</t>
        </is>
      </c>
    </row>
    <row r="18">
      <c r="A18" s="75" t="inlineStr">
        <is>
          <t>Tabel C — Oglinda cont activ ↔ cont amortizare (C-14)</t>
        </is>
      </c>
    </row>
    <row r="19">
      <c r="A19" s="78" t="inlineStr">
        <is>
          <t>Activ</t>
        </is>
      </c>
      <c r="B19" s="78" t="inlineStr">
        <is>
          <t>Amortizare</t>
        </is>
      </c>
      <c r="C19" s="78" t="inlineStr"/>
      <c r="D19" s="78" t="inlineStr">
        <is>
          <t>Activ</t>
        </is>
      </c>
      <c r="E19" s="78" t="inlineStr">
        <is>
          <t>Amortizare</t>
        </is>
      </c>
      <c r="F19" s="78" t="inlineStr">
        <is>
          <t>Observație</t>
        </is>
      </c>
    </row>
    <row r="20">
      <c r="A20" s="76" t="inlineStr">
        <is>
          <t>205</t>
        </is>
      </c>
      <c r="B20" s="76" t="inlineStr">
        <is>
          <t>2805</t>
        </is>
      </c>
      <c r="C20" s="76" t="inlineStr"/>
      <c r="D20" s="76" t="inlineStr">
        <is>
          <t>212</t>
        </is>
      </c>
      <c r="E20" s="76" t="inlineStr">
        <is>
          <t>2812</t>
        </is>
      </c>
      <c r="F20" s="76" t="inlineStr"/>
    </row>
    <row r="21">
      <c r="A21" s="76" t="inlineStr">
        <is>
          <t>208</t>
        </is>
      </c>
      <c r="B21" s="76" t="inlineStr">
        <is>
          <t>2808</t>
        </is>
      </c>
      <c r="C21" s="76" t="inlineStr"/>
      <c r="D21" s="76" t="inlineStr">
        <is>
          <t>2131/2132/2133</t>
        </is>
      </c>
      <c r="E21" s="76" t="inlineStr">
        <is>
          <t>2813</t>
        </is>
      </c>
      <c r="F21" s="76" t="inlineStr">
        <is>
          <t>2813 deservește mai multe conturi</t>
        </is>
      </c>
    </row>
    <row r="22">
      <c r="A22" s="76" t="inlineStr">
        <is>
          <t>2111</t>
        </is>
      </c>
      <c r="B22" s="76" t="inlineStr">
        <is>
          <t>— nu se amortizează</t>
        </is>
      </c>
      <c r="C22" s="76" t="inlineStr"/>
      <c r="D22" s="76" t="inlineStr">
        <is>
          <t>214</t>
        </is>
      </c>
      <c r="E22" s="76" t="inlineStr">
        <is>
          <t>2814</t>
        </is>
      </c>
      <c r="F22" s="76" t="inlineStr">
        <is>
          <t>„2114” din notițe este 214</t>
        </is>
      </c>
    </row>
    <row r="23">
      <c r="A23" s="76" t="inlineStr">
        <is>
          <t>2112</t>
        </is>
      </c>
      <c r="B23" s="76" t="inlineStr">
        <is>
          <t>2811</t>
        </is>
      </c>
      <c r="C23" s="76" t="inlineStr"/>
      <c r="D23" s="76" t="inlineStr">
        <is>
          <t>215</t>
        </is>
      </c>
      <c r="E23" s="76" t="inlineStr">
        <is>
          <t>2815</t>
        </is>
      </c>
      <c r="F23" s="76" t="inlineStr"/>
    </row>
    <row r="25">
      <c r="A25" s="75" t="inlineStr">
        <is>
          <t>Tabel D — Porți de calitate</t>
        </is>
      </c>
    </row>
    <row r="26">
      <c r="A26" s="76" t="inlineStr">
        <is>
          <t>• ΣDr = ΣCr pe fiecare bloc</t>
        </is>
      </c>
    </row>
    <row r="27">
      <c r="A27" s="76" t="inlineStr">
        <is>
          <t>• Amortizarea începe cu luna următoare punerii în funcțiune</t>
        </is>
      </c>
    </row>
    <row r="28">
      <c r="A28" s="76" t="inlineStr">
        <is>
          <t>• Sold 28x ≤ sold 21x, pe fiecare mijloc (C-13)</t>
        </is>
      </c>
    </row>
    <row r="29">
      <c r="A29" s="76" t="inlineStr">
        <is>
          <t>• Analitic 21x din balanță = registrul mijloacelor fixe, LUNAR (C-15)</t>
        </is>
      </c>
    </row>
    <row r="30">
      <c r="A30" s="76" t="inlineStr">
        <is>
          <t>• Verifică în PRIMA lună că nota de amortizare postează perechea corectă (C-14)</t>
        </is>
      </c>
    </row>
    <row r="31">
      <c r="A31" s="76" t="inlineStr">
        <is>
          <t>• Sub pragul de 5.000 lei: obiect de inventar (303 + 8035), nu mijloc fix</t>
        </is>
      </c>
    </row>
    <row r="32">
      <c r="A32" s="76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MOD_IMOBILIZARI — Jurnale (generate automat)</t>
        </is>
      </c>
    </row>
    <row r="2">
      <c r="A2" s="74" t="inlineStr">
        <is>
          <t>Blocurile inactive rămân pe zero — sumele sunt condiționate de regimul declarat.</t>
        </is>
      </c>
    </row>
    <row r="4">
      <c r="A4" s="75" t="inlineStr">
        <is>
          <t>Bloc 1 — Intrarea în patrimoniu</t>
        </is>
      </c>
    </row>
    <row r="5">
      <c r="A5" s="76" t="inlineStr">
        <is>
          <t>Data jurnal:</t>
        </is>
      </c>
      <c r="B5" s="76" t="str">
        <f>Declarații_IMOBILIZARI!B8</f>
        <v>2026-07-05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IF(Declarații_IMOBILIZARI!B19="DA",Declarații_IMOBILIZARI!B32,Declarații_IMOBILIZARI!B34)</f>
        <v>2131</v>
      </c>
      <c r="C8" s="76">
        <f>Declarații_IMOBILIZARI!B12</f>
        <v>100000</v>
      </c>
      <c r="D8" s="76" t="str">
        <f>"Intrare imobilizare " &amp; Declarații_IMOBILIZARI!B43</f>
        <v>Intrare imobilizare — Echipament tehnologic 2026-07</v>
      </c>
      <c r="E8" s="76" t="str">
        <f>Declarații_IMOBILIZARI!B35</f>
        <v>404</v>
      </c>
      <c r="F8" s="76">
        <f>Declarații_IMOBILIZARI!B12</f>
        <v>100000</v>
      </c>
      <c r="G8" s="76" t="str">
        <f>"Datorie furnizor de imobilizări " &amp; Declarații_IMOBILIZARI!B43</f>
        <v>Datorie furnizor de imobilizări — Echipament tehnologic 2026-07</v>
      </c>
    </row>
    <row r="9">
      <c r="A9" s="76" t="n">
        <v>2</v>
      </c>
      <c r="B9" s="76" t="str">
        <f>IF(Declarații_IMOBILIZARI!B19="DA",Declarații_IMOBILIZARI!B32,Declarații_IMOBILIZARI!B34)</f>
        <v>2131</v>
      </c>
      <c r="C9" s="76">
        <f>Declarații_IMOBILIZARI!B13+Declarații_IMOBILIZARI!B14</f>
        <v>0</v>
      </c>
      <c r="D9" s="76" t="str">
        <f>"Taxe vamale și transport capitalizate " &amp; Declarații_IMOBILIZARI!B43</f>
        <v>Taxe vamale și transport capitalizate — Echipament tehnologic 2026-07</v>
      </c>
      <c r="E9" s="76" t="str">
        <f>Declarații_IMOBILIZARI!B38</f>
        <v>446.VAMA</v>
      </c>
      <c r="F9" s="76">
        <f>Declarații_IMOBILIZARI!B13+Declarații_IMOBILIZARI!B14</f>
        <v>0</v>
      </c>
      <c r="G9" s="76" t="str">
        <f>"Taxe vamale / transport de plată " &amp; Declarații_IMOBILIZARI!B43</f>
        <v>Taxe vamale / transport de plată — Echipament tehnologic 2026-07</v>
      </c>
    </row>
    <row r="11">
      <c r="A11" s="75" t="inlineStr">
        <is>
          <t>Bloc 2 — TVA, pe regimul declarat</t>
        </is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>
        <f>Declarații_IMOBILIZARI!B36</f>
        <v>4426</v>
      </c>
      <c r="C13" s="76">
        <f>IF(Declarații_IMOBILIZARI!B18="INTERN",Declarații_IMOBILIZARI!B25,0)</f>
        <v>21000</v>
      </c>
      <c r="D13" s="76" t="str">
        <f>"TVA deductibilă — achiziție internă " &amp; Declarații_IMOBILIZARI!B43</f>
        <v>TVA deductibilă — achiziție internă — Echipament tehnologic 2026-07</v>
      </c>
      <c r="E13" s="76" t="str">
        <f>Declarații_IMOBILIZARI!B35</f>
        <v>404</v>
      </c>
      <c r="F13" s="76">
        <f>IF(Declarații_IMOBILIZARI!B18="INTERN",Declarații_IMOBILIZARI!B25,0)</f>
        <v>21000</v>
      </c>
      <c r="G13" s="76" t="str">
        <f>"TVA pe factura furnizorului " &amp; Declarații_IMOBILIZARI!B43</f>
        <v>TVA pe factura furnizorului — Echipament tehnologic 2026-07</v>
      </c>
    </row>
    <row r="14">
      <c r="A14" s="76" t="n">
        <v>2</v>
      </c>
      <c r="B14" s="76">
        <f>Declarații_IMOBILIZARI!B36</f>
        <v>4426</v>
      </c>
      <c r="C14" s="76">
        <f>IF(Declarații_IMOBILIZARI!B18="TAXARE_INVERSA",Declarații_IMOBILIZARI!B25,0)</f>
        <v>0</v>
      </c>
      <c r="D14" s="76" t="str">
        <f>"TVA deductibilă — taxare inversă " &amp; Declarații_IMOBILIZARI!B43</f>
        <v>TVA deductibilă — taxare inversă — Echipament tehnologic 2026-07</v>
      </c>
      <c r="E14" s="76">
        <f>Declarații_IMOBILIZARI!B37</f>
        <v>4427</v>
      </c>
      <c r="F14" s="76">
        <f>IF(Declarații_IMOBILIZARI!B18="TAXARE_INVERSA",Declarații_IMOBILIZARI!B25,0)</f>
        <v>0</v>
      </c>
      <c r="G14" s="76" t="str">
        <f>"TVA colectată — autolichidare " &amp; Declarații_IMOBILIZARI!B43</f>
        <v>TVA colectată — autolichidare — Echipament tehnologic 2026-07</v>
      </c>
    </row>
    <row r="15">
      <c r="A15" s="76" t="n">
        <v>3</v>
      </c>
      <c r="B15" s="76">
        <f>Declarații_IMOBILIZARI!B36</f>
        <v>4426</v>
      </c>
      <c r="C15" s="76">
        <f>IF(Declarații_IMOBILIZARI!B18="IMPORT",Declarații_IMOBILIZARI!B25,0)</f>
        <v>0</v>
      </c>
      <c r="D15" s="76" t="str">
        <f>"TVA deductibilă plătită în vamă " &amp; Declarații_IMOBILIZARI!B43</f>
        <v>TVA deductibilă plătită în vamă — Echipament tehnologic 2026-07</v>
      </c>
      <c r="E15" s="76" t="str">
        <f>Declarații_IMOBILIZARI!B39</f>
        <v>5121</v>
      </c>
      <c r="F15" s="76">
        <f>IF(Declarații_IMOBILIZARI!B18="IMPORT",Declarații_IMOBILIZARI!B25,0)</f>
        <v>0</v>
      </c>
      <c r="G15" s="76" t="str">
        <f>"Plată TVA în vamă " &amp; Declarații_IMOBILIZARI!B43</f>
        <v>Plată TVA în vamă — Echipament tehnologic 2026-07</v>
      </c>
    </row>
    <row r="17">
      <c r="A17" s="75" t="inlineStr">
        <is>
          <t>Bloc 3 — Recepția, dacă intrarea a fost pe tranzit (F-207)</t>
        </is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 t="str">
        <f>Declarații_IMOBILIZARI!B32</f>
        <v>2131</v>
      </c>
      <c r="C19" s="76">
        <f>IF(Declarații_IMOBILIZARI!B19="NU",Declarații_IMOBILIZARI!B24,0)</f>
        <v>0</v>
      </c>
      <c r="D19" s="76" t="str">
        <f>"Recepție — stingere tranzit " &amp; Declarații_IMOBILIZARI!B43</f>
        <v>Recepție — stingere tranzit — Echipament tehnologic 2026-07</v>
      </c>
      <c r="E19" s="76" t="str">
        <f>Declarații_IMOBILIZARI!B34</f>
        <v>223</v>
      </c>
      <c r="F19" s="76">
        <f>IF(Declarații_IMOBILIZARI!B19="NU",Declarații_IMOBILIZARI!B24,0)</f>
        <v>0</v>
      </c>
      <c r="G19" s="76" t="str">
        <f>"Stingere 223/224 la recepție " &amp; Declarații_IMOBILIZARI!B43</f>
        <v>Stingere 223/224 la recepție — Echipament tehnologic 2026-07</v>
      </c>
    </row>
    <row r="21">
      <c r="A21" s="75" t="inlineStr">
        <is>
          <t>Bloc 4 — Amortizarea lunară (din luna următoare punerii în funcțiune)</t>
        </is>
      </c>
    </row>
    <row r="22">
      <c r="A22" s="78" t="inlineStr">
        <is>
          <t>Nr</t>
        </is>
      </c>
      <c r="B22" s="78" t="inlineStr">
        <is>
          <t>Cont Dr</t>
        </is>
      </c>
      <c r="C22" s="78" t="inlineStr">
        <is>
          <t>Sumă Dr</t>
        </is>
      </c>
      <c r="D22" s="78" t="inlineStr">
        <is>
          <t>Descriere Dr</t>
        </is>
      </c>
      <c r="E22" s="78" t="inlineStr">
        <is>
          <t>Cont Cr</t>
        </is>
      </c>
      <c r="F22" s="78" t="inlineStr">
        <is>
          <t>Sumă Cr</t>
        </is>
      </c>
      <c r="G22" s="78" t="inlineStr">
        <is>
          <t>Descriere Cr</t>
        </is>
      </c>
    </row>
    <row r="23">
      <c r="A23" s="76" t="n">
        <v>1</v>
      </c>
      <c r="B23" s="76">
        <f>Declarații_IMOBILIZARI!B40</f>
        <v>6811</v>
      </c>
      <c r="C23" s="76">
        <f>Declarații_IMOBILIZARI!B26</f>
        <v>833.33</v>
      </c>
      <c r="D23" s="76" t="str">
        <f>"Amortizare lunară " &amp; Declarații_IMOBILIZARI!B43</f>
        <v>Amortizare lunară — Echipament tehnologic 2026-07</v>
      </c>
      <c r="E23" s="76" t="str">
        <f>Declarații_IMOBILIZARI!B33</f>
        <v>2813</v>
      </c>
      <c r="F23" s="76">
        <f>Declarații_IMOBILIZARI!B26</f>
        <v>833.33</v>
      </c>
      <c r="G23" s="76" t="str">
        <f>"Amortizare cumulată " &amp; Declarații_IMOBILIZARI!B43</f>
        <v>Amortizare cumulată — Echipament tehnologic 2026-07</v>
      </c>
    </row>
    <row r="25">
      <c r="A25" s="75" t="inlineStr">
        <is>
          <t>Sumar și controale</t>
        </is>
      </c>
    </row>
    <row r="26">
      <c r="A26" s="76" t="inlineStr">
        <is>
          <t>Total Dr</t>
        </is>
      </c>
      <c r="B26" s="76">
        <f>C8+C9+C13+C14+C15+C19+C23</f>
        <v>121833.33</v>
      </c>
    </row>
    <row r="27">
      <c r="A27" s="76" t="inlineStr">
        <is>
          <t>Total Cr</t>
        </is>
      </c>
      <c r="B27" s="76">
        <f>F8+F9+F13+F14+F15+F19+F23</f>
        <v>121833.33</v>
      </c>
    </row>
    <row r="28">
      <c r="A28" s="76" t="inlineStr">
        <is>
          <t>Check Σ (structural)</t>
        </is>
      </c>
      <c r="B28" s="76">
        <f>B26-B27</f>
        <v>0</v>
      </c>
      <c r="C28" s="76" t="str">
        <f>IF(ABS(B26-B27)&lt;0.01,"OK — notele se închid","EROARE")</f>
        <v>OK — notele se închid</v>
      </c>
    </row>
    <row r="29">
      <c r="A29" s="76" t="inlineStr">
        <is>
          <t>Check exclusivitate regim TVA</t>
        </is>
      </c>
      <c r="B29" s="76">
        <f>COUNTIF(C13:C15,"&gt;0.001")</f>
        <v>1</v>
      </c>
      <c r="C29" s="76" t="str">
        <f>IF(COUNTIF(C13:C15,"&gt;0.001")&lt;=1,"OK — un singur regim activ","EROARE — mai multe regimuri simultan")</f>
        <v>OK — un singur regim activ</v>
      </c>
    </row>
    <row r="30">
      <c r="A30" s="76" t="inlineStr">
        <is>
          <t>Check valoare de intrare</t>
        </is>
      </c>
      <c r="B30" s="76">
        <f>C8+C9-Declarații_IMOBILIZARI!B24</f>
        <v>0</v>
      </c>
      <c r="C30" s="76" t="str">
        <f>IF(ABS(C8+C9-Declarații_IMOBILIZARI!B24)&lt;0.01,"OK — cost complet capitalizat","EROARE — taxe sau transport pierdute")</f>
        <v>OK — cost complet capitalizat</v>
      </c>
    </row>
    <row r="31">
      <c r="A31" s="76" t="inlineStr">
        <is>
          <t>Check amortizare vs. durată</t>
        </is>
      </c>
      <c r="B31" s="76">
        <f>Declarații_IMOBILIZARI!B26*Declarații_IMOBILIZARI!B21-Declarații_IMOBILIZARI!B24</f>
        <v>-0.39999999999417923</v>
      </c>
      <c r="C31" s="76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3" t="inlineStr">
        <is>
          <t>MOD_IMOBILIZARI — Notă pentru import (1 rând = 1 înregistrare)</t>
        </is>
      </c>
    </row>
    <row r="2">
      <c r="A2" s="74" t="inlineStr">
        <is>
          <t>Filtrează pe Include = DA. Rândurile cu sumă zero sunt blocuri inactive pe regimul ales.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Intrare</t>
        </is>
      </c>
      <c r="C5" s="76" t="str">
        <f>Declarații_IMOBILIZARI!B8</f>
        <v>2026-07-05</v>
      </c>
      <c r="D5" s="76" t="str">
        <f>Jurnale_IMOBILIZARI!B8</f>
        <v>2131</v>
      </c>
      <c r="E5" s="76" t="str">
        <f>Jurnale_IMOBILIZARI!E8</f>
        <v>404</v>
      </c>
      <c r="F5" s="76">
        <f>Jurnale_IMOBILIZARI!C8</f>
        <v>100000</v>
      </c>
      <c r="G5" s="76" t="str">
        <f>Jurnale_IMOBILIZARI!D8</f>
        <v>Intrare imobilizare — Echipament tehnologic 2026-07</v>
      </c>
      <c r="H5" s="76" t="inlineStr">
        <is>
          <t>Factură / DVI</t>
        </is>
      </c>
      <c r="I5" s="39" t="str">
        <f>IF(F5&gt;0.001,"DA","NU")</f>
        <v>DA</v>
      </c>
    </row>
    <row r="6">
      <c r="A6" s="76" t="n">
        <v>2</v>
      </c>
      <c r="B6" s="76" t="inlineStr">
        <is>
          <t>Bloc 1 — Costuri capitalizate</t>
        </is>
      </c>
      <c r="C6" s="76" t="str">
        <f>Declarații_IMOBILIZARI!B8</f>
        <v>2026-07-05</v>
      </c>
      <c r="D6" s="76" t="str">
        <f>Jurnale_IMOBILIZARI!B9</f>
        <v>2131</v>
      </c>
      <c r="E6" s="76" t="str">
        <f>Jurnale_IMOBILIZARI!E9</f>
        <v>446.VAMA</v>
      </c>
      <c r="F6" s="76">
        <f>Jurnale_IMOBILIZARI!C9</f>
        <v>0</v>
      </c>
      <c r="G6" s="76" t="str">
        <f>Jurnale_IMOBILIZARI!D9</f>
        <v>Taxe vamale și transport capitalizate — Echipament tehnologic 2026-07</v>
      </c>
      <c r="H6" s="76" t="inlineStr">
        <is>
          <t>DVI + factură transport</t>
        </is>
      </c>
      <c r="I6" s="39" t="str">
        <f>IF(F6&gt;0.001,"DA","NU")</f>
        <v>NU</v>
      </c>
    </row>
    <row r="7">
      <c r="A7" s="76" t="n">
        <v>3</v>
      </c>
      <c r="B7" s="76" t="inlineStr">
        <is>
          <t>Bloc 2 — TVA intern</t>
        </is>
      </c>
      <c r="C7" s="76" t="str">
        <f>Declarații_IMOBILIZARI!B8</f>
        <v>2026-07-05</v>
      </c>
      <c r="D7" s="76">
        <f>Jurnale_IMOBILIZARI!B13</f>
        <v>4426</v>
      </c>
      <c r="E7" s="76" t="str">
        <f>Jurnale_IMOBILIZARI!E13</f>
        <v>404</v>
      </c>
      <c r="F7" s="76">
        <f>Jurnale_IMOBILIZARI!C13</f>
        <v>21000</v>
      </c>
      <c r="G7" s="76" t="str">
        <f>Jurnale_IMOBILIZARI!D13</f>
        <v>TVA deductibilă — achiziție internă — Echipament tehnologic 2026-07</v>
      </c>
      <c r="H7" s="76" t="inlineStr">
        <is>
          <t>Factură furnizor</t>
        </is>
      </c>
      <c r="I7" s="39" t="str">
        <f>IF(F7&gt;0.001,"DA","NU")</f>
        <v>DA</v>
      </c>
    </row>
    <row r="8">
      <c r="A8" s="76" t="n">
        <v>4</v>
      </c>
      <c r="B8" s="76" t="inlineStr">
        <is>
          <t>Bloc 2 — TVA taxare inversă</t>
        </is>
      </c>
      <c r="C8" s="76" t="str">
        <f>Declarații_IMOBILIZARI!B8</f>
        <v>2026-07-05</v>
      </c>
      <c r="D8" s="76">
        <f>Jurnale_IMOBILIZARI!B14</f>
        <v>4426</v>
      </c>
      <c r="E8" s="76">
        <f>Jurnale_IMOBILIZARI!E14</f>
        <v>4427</v>
      </c>
      <c r="F8" s="76">
        <f>Jurnale_IMOBILIZARI!C14</f>
        <v>0</v>
      </c>
      <c r="G8" s="76" t="str">
        <f>Jurnale_IMOBILIZARI!D14</f>
        <v>TVA deductibilă — taxare inversă — Echipament tehnologic 2026-07</v>
      </c>
      <c r="H8" s="76" t="inlineStr">
        <is>
          <t>Autofactură / factură IC</t>
        </is>
      </c>
      <c r="I8" s="39" t="str">
        <f>IF(F8&gt;0.001,"DA","NU")</f>
        <v>NU</v>
      </c>
    </row>
    <row r="9">
      <c r="A9" s="76" t="n">
        <v>5</v>
      </c>
      <c r="B9" s="76" t="inlineStr">
        <is>
          <t>Bloc 2 — TVA în vamă</t>
        </is>
      </c>
      <c r="C9" s="76" t="str">
        <f>Declarații_IMOBILIZARI!B8</f>
        <v>2026-07-05</v>
      </c>
      <c r="D9" s="76">
        <f>Jurnale_IMOBILIZARI!B15</f>
        <v>4426</v>
      </c>
      <c r="E9" s="76" t="str">
        <f>Jurnale_IMOBILIZARI!E15</f>
        <v>5121</v>
      </c>
      <c r="F9" s="76">
        <f>Jurnale_IMOBILIZARI!C15</f>
        <v>0</v>
      </c>
      <c r="G9" s="76" t="str">
        <f>Jurnale_IMOBILIZARI!D15</f>
        <v>TVA deductibilă plătită în vamă — Echipament tehnologic 2026-07</v>
      </c>
      <c r="H9" s="76" t="inlineStr">
        <is>
          <t>DVI + extras</t>
        </is>
      </c>
      <c r="I9" s="39" t="str">
        <f>IF(F9&gt;0.001,"DA","NU")</f>
        <v>NU</v>
      </c>
    </row>
    <row r="10">
      <c r="A10" s="76" t="n">
        <v>6</v>
      </c>
      <c r="B10" s="76" t="inlineStr">
        <is>
          <t>Bloc 3 — Recepție</t>
        </is>
      </c>
      <c r="C10" s="76" t="str">
        <f>Declarații_IMOBILIZARI!B8</f>
        <v>2026-07-05</v>
      </c>
      <c r="D10" s="76" t="str">
        <f>Jurnale_IMOBILIZARI!B19</f>
        <v>2131</v>
      </c>
      <c r="E10" s="76" t="str">
        <f>Jurnale_IMOBILIZARI!E19</f>
        <v>223</v>
      </c>
      <c r="F10" s="76">
        <f>Jurnale_IMOBILIZARI!C19</f>
        <v>0</v>
      </c>
      <c r="G10" s="76" t="str">
        <f>Jurnale_IMOBILIZARI!D19</f>
        <v>Recepție — stingere tranzit — Echipament tehnologic 2026-07</v>
      </c>
      <c r="H10" s="76" t="inlineStr">
        <is>
          <t>Proces-verbal de recepție</t>
        </is>
      </c>
      <c r="I10" s="39" t="str">
        <f>IF(F10&gt;0.001,"DA","NU")</f>
        <v>NU</v>
      </c>
    </row>
    <row r="11">
      <c r="A11" s="76" t="n">
        <v>7</v>
      </c>
      <c r="B11" s="76" t="inlineStr">
        <is>
          <t>Bloc 4 — Amortizare</t>
        </is>
      </c>
      <c r="C11" s="76" t="str">
        <f>Declarații_IMOBILIZARI!B9</f>
        <v>2026-07-20</v>
      </c>
      <c r="D11" s="76">
        <f>Jurnale_IMOBILIZARI!B23</f>
        <v>6811</v>
      </c>
      <c r="E11" s="76" t="str">
        <f>Jurnale_IMOBILIZARI!E23</f>
        <v>2813</v>
      </c>
      <c r="F11" s="76">
        <f>Jurnale_IMOBILIZARI!C23</f>
        <v>833.33</v>
      </c>
      <c r="G11" s="76" t="str">
        <f>Jurnale_IMOBILIZARI!D23</f>
        <v>Amortizare lunară — Echipament tehnologic 2026-07</v>
      </c>
      <c r="H11" s="76" t="inlineStr">
        <is>
          <t>Notă de amortizare</t>
        </is>
      </c>
      <c r="I11" s="39" t="str">
        <f>IF(F11&gt;0.001,"DA","NU")</f>
        <v>DA</v>
      </c>
    </row>
    <row r="13">
      <c r="A13" s="76" t="inlineStr">
        <is>
          <t>Rânduri de importat (Include=DA)</t>
        </is>
      </c>
      <c r="B13" s="76">
        <f>COUNTIF(I5:I11,"DA")</f>
        <v>3</v>
      </c>
    </row>
    <row r="14">
      <c r="A14" s="76" t="inlineStr">
        <is>
          <t>Check global (trebuie 0)</t>
        </is>
      </c>
      <c r="B14" s="76">
        <f>Jurnale_IMOBILIZARI!B26-Jurnale_IMOBILIZARI!B27</f>
        <v>0</v>
      </c>
      <c r="C14" s="76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3" t="inlineStr">
        <is>
          <t>MOD_SUBVENTIE — Declarații (input)</t>
        </is>
      </c>
    </row>
    <row r="2">
      <c r="A2" s="74" t="inlineStr">
        <is>
          <t>Valorile implicite reproduc monografia din F-210 (utilaj 50.000, subvenție integrală, 60 de luni). Schimbă valoarea subvenției ca să vezi cazul parțial.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Activul finanțat</t>
        </is>
      </c>
      <c r="B6" s="77" t="inlineStr">
        <is>
          <t>Utilaj tehnologic</t>
        </is>
      </c>
    </row>
    <row r="7">
      <c r="A7" s="76" t="inlineStr">
        <is>
          <t>Contract / program de finanțare</t>
        </is>
      </c>
      <c r="B7" s="77" t="inlineStr">
        <is>
          <t>AFIR 2026-114</t>
        </is>
      </c>
    </row>
    <row r="8">
      <c r="A8" s="76" t="inlineStr">
        <is>
          <t>Data încasării subvenției</t>
        </is>
      </c>
      <c r="B8" s="77" t="inlineStr">
        <is>
          <t>2026-03-10</t>
        </is>
      </c>
    </row>
    <row r="9">
      <c r="A9" s="76" t="inlineStr">
        <is>
          <t>Data punerii în funcțiune</t>
        </is>
      </c>
      <c r="B9" s="77" t="inlineStr">
        <is>
          <t>2026-04-01</t>
        </is>
      </c>
    </row>
    <row r="10">
      <c r="A10" s="76" t="inlineStr">
        <is>
          <t>Luna curentă (AAAA-LL)</t>
        </is>
      </c>
      <c r="B10" s="77" t="inlineStr">
        <is>
          <t>2026-07</t>
        </is>
      </c>
    </row>
    <row r="11">
      <c r="A11" s="76" t="inlineStr">
        <is>
          <t>Data notei lunare (ultima zi a lunii)</t>
        </is>
      </c>
      <c r="B11" s="77" t="inlineStr">
        <is>
          <t>2026-07-31</t>
        </is>
      </c>
    </row>
    <row r="13">
      <c r="A13" s="75" t="inlineStr">
        <is>
          <t>2. Sumele</t>
        </is>
      </c>
    </row>
    <row r="14">
      <c r="A14" s="76" t="inlineStr">
        <is>
          <t>Valoarea subvenției încasate</t>
        </is>
      </c>
      <c r="B14" s="77" t="n">
        <v>50000</v>
      </c>
    </row>
    <row r="15">
      <c r="A15" s="76" t="inlineStr">
        <is>
          <t>Valoarea de intrare a activului</t>
        </is>
      </c>
      <c r="B15" s="77" t="n">
        <v>50000</v>
      </c>
    </row>
    <row r="16">
      <c r="A16" s="76" t="inlineStr">
        <is>
          <t>Durata de amortizare (luni)</t>
        </is>
      </c>
      <c r="B16" s="77" t="n">
        <v>60</v>
      </c>
    </row>
    <row r="17">
      <c r="A17" s="76" t="inlineStr">
        <is>
          <t>Luni de amortizare deja înregistrate</t>
        </is>
      </c>
      <c r="B17" s="77" t="n">
        <v>3</v>
      </c>
      <c r="C17" s="74" t="inlineStr">
        <is>
          <t>Fără luna curentă; se folosește la calculul soldului rămas</t>
        </is>
      </c>
    </row>
    <row r="19">
      <c r="A19" s="75" t="inlineStr">
        <is>
          <t>3. Calcul automat (nu edita)</t>
        </is>
      </c>
    </row>
    <row r="20">
      <c r="A20" s="76" t="inlineStr">
        <is>
          <t>Cota de finanțare din subvenție</t>
        </is>
      </c>
      <c r="B20" s="76">
        <f>IF(B15=0,0,MIN(1,B14/B15))</f>
        <v>1</v>
      </c>
      <c r="C20" s="74" t="inlineStr">
        <is>
          <t>1 = subvenția acoperă integral activul; sub 1 = finanțare parțială</t>
        </is>
      </c>
    </row>
    <row r="21">
      <c r="A21" s="76" t="inlineStr">
        <is>
          <t>Amortizare lunară</t>
        </is>
      </c>
      <c r="B21" s="76">
        <f>ROUND(B15/B16,2)</f>
        <v>833.33</v>
      </c>
    </row>
    <row r="22">
      <c r="A22" s="76" t="inlineStr">
        <is>
          <t>Subvenție eliberată lunar la venit</t>
        </is>
      </c>
      <c r="B22" s="76">
        <f>ROUND(B21*B20,2)</f>
        <v>833.33</v>
      </c>
      <c r="C22" s="74" t="inlineStr">
        <is>
          <t>Amortizarea × cota de finanțare — nu amortizarea întreagă</t>
        </is>
      </c>
    </row>
    <row r="23">
      <c r="A23" s="76" t="inlineStr">
        <is>
          <t>Amortizare rămasă pe cheltuiala firmei</t>
        </is>
      </c>
      <c r="B23" s="76">
        <f>B21-B22</f>
        <v>0</v>
      </c>
    </row>
    <row r="24">
      <c r="A24" s="76" t="inlineStr">
        <is>
          <t>Sold 475 după luna curentă</t>
        </is>
      </c>
      <c r="B24" s="76">
        <f>ROUND(B14-B22*(B17+1),2)</f>
        <v>46666.68</v>
      </c>
    </row>
    <row r="25">
      <c r="A25" s="76" t="inlineStr">
        <is>
          <t>Efect net pe rezultatul lunii</t>
        </is>
      </c>
      <c r="B25" s="76">
        <f>B22-B21</f>
        <v>0</v>
      </c>
      <c r="C25" s="74" t="inlineStr">
        <is>
          <t>Zero doar la finanțare integrală; altfel = partea proprie, cu minus</t>
        </is>
      </c>
    </row>
    <row r="27">
      <c r="A27" s="75" t="inlineStr">
        <is>
          <t>4. Conturi</t>
        </is>
      </c>
    </row>
    <row r="28">
      <c r="A28" s="76" t="inlineStr">
        <is>
          <t>Cont subvenții pentru investiții</t>
        </is>
      </c>
      <c r="B28" s="77" t="n">
        <v>475</v>
      </c>
    </row>
    <row r="29">
      <c r="A29" s="76" t="inlineStr">
        <is>
          <t>Cont creanță din subvenție</t>
        </is>
      </c>
      <c r="B29" s="77" t="inlineStr">
        <is>
          <t>445</t>
        </is>
      </c>
      <c r="C29" s="74" t="inlineStr">
        <is>
          <t>Dacă subvenția e aprobată dar neîncasată încă</t>
        </is>
      </c>
    </row>
    <row r="30">
      <c r="A30" s="76" t="inlineStr">
        <is>
          <t>Cont trezorerie</t>
        </is>
      </c>
      <c r="B30" s="77" t="inlineStr">
        <is>
          <t>5121</t>
        </is>
      </c>
    </row>
    <row r="31">
      <c r="A31" s="76" t="inlineStr">
        <is>
          <t>Cont imobilizare</t>
        </is>
      </c>
      <c r="B31" s="77" t="inlineStr">
        <is>
          <t>2131</t>
        </is>
      </c>
    </row>
    <row r="32">
      <c r="A32" s="76" t="inlineStr">
        <is>
          <t>Cont furnizor de imobilizări</t>
        </is>
      </c>
      <c r="B32" s="77" t="inlineStr">
        <is>
          <t>404</t>
        </is>
      </c>
    </row>
    <row r="33">
      <c r="A33" s="76" t="inlineStr">
        <is>
          <t>Cont amortizare</t>
        </is>
      </c>
      <c r="B33" s="77" t="n">
        <v>2813</v>
      </c>
    </row>
    <row r="34">
      <c r="A34" s="76" t="inlineStr">
        <is>
          <t>Cont cheltuială cu amortizarea</t>
        </is>
      </c>
      <c r="B34" s="77" t="n">
        <v>6811</v>
      </c>
    </row>
    <row r="35">
      <c r="A35" s="76" t="inlineStr">
        <is>
          <t>Cont venit din subvenții pentru investiții</t>
        </is>
      </c>
      <c r="B35" s="77" t="n">
        <v>7584</v>
      </c>
    </row>
    <row r="37">
      <c r="A37" s="75" t="inlineStr">
        <is>
          <t>5. Controale</t>
        </is>
      </c>
    </row>
    <row r="38">
      <c r="A38" s="76" t="inlineStr">
        <is>
          <t>Check cota de finanțare</t>
        </is>
      </c>
      <c r="B38" s="76">
        <f>B20</f>
        <v>1</v>
      </c>
      <c r="C38" s="76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76" t="inlineStr">
        <is>
          <t>Check efect net pe rezultat</t>
        </is>
      </c>
      <c r="B39" s="76">
        <f>B25</f>
        <v>0</v>
      </c>
      <c r="C39" s="76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76" t="inlineStr">
        <is>
          <t>Check sold 475 nu devine negativ</t>
        </is>
      </c>
      <c r="B40" s="76">
        <f>B24</f>
        <v>46666.68</v>
      </c>
      <c r="C40" s="76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76" t="inlineStr">
        <is>
          <t>Check durata eliberării = durata amortizării</t>
        </is>
      </c>
      <c r="B41" s="76">
        <f>IF(B22=0,0,ROUND(B14/B22,0))</f>
        <v>60</v>
      </c>
      <c r="C41" s="76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76" t="inlineStr">
        <is>
          <t>Reminder: NU e venit la încasare</t>
        </is>
      </c>
      <c r="B42" s="76">
        <f>B14</f>
        <v>50000</v>
      </c>
      <c r="C42" s="76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75" t="inlineStr">
        <is>
          <t>6. Sufix generat</t>
        </is>
      </c>
    </row>
    <row r="45">
      <c r="A45" s="76" t="inlineStr">
        <is>
          <t>Sufix</t>
        </is>
      </c>
      <c r="B45" s="76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3" t="inlineStr">
        <is>
          <t>MOD_SUBVENTIE — Reguli (tabele fixe)</t>
        </is>
      </c>
    </row>
    <row r="3">
      <c r="A3" s="75" t="inlineStr">
        <is>
          <t>Tabel A — Secvența</t>
        </is>
      </c>
    </row>
    <row r="4">
      <c r="A4" s="78" t="inlineStr">
        <is>
          <t>Moment</t>
        </is>
      </c>
      <c r="B4" s="78" t="inlineStr">
        <is>
          <t>Înregistrare</t>
        </is>
      </c>
      <c r="C4" s="78" t="inlineStr">
        <is>
          <t>Cont</t>
        </is>
      </c>
      <c r="D4" s="78" t="inlineStr">
        <is>
          <t>Sumă</t>
        </is>
      </c>
      <c r="E4" s="78" t="inlineStr">
        <is>
          <t>Condiție</t>
        </is>
      </c>
      <c r="F4" s="78" t="inlineStr">
        <is>
          <t>Observație</t>
        </is>
      </c>
    </row>
    <row r="5">
      <c r="A5" s="76" t="inlineStr">
        <is>
          <t>Aprobarea</t>
        </is>
      </c>
      <c r="B5" s="76" t="inlineStr">
        <is>
          <t>445 = 475</t>
        </is>
      </c>
      <c r="C5" s="76" t="inlineStr">
        <is>
          <t>445</t>
        </is>
      </c>
      <c r="D5" s="76" t="inlineStr">
        <is>
          <t>valoarea aprobată</t>
        </is>
      </c>
      <c r="E5" s="76" t="inlineStr">
        <is>
          <t>dacă e aprobată neîncasată</t>
        </is>
      </c>
      <c r="F5" s="76" t="inlineStr">
        <is>
          <t>Creanța față de finanțator; pasul se sare dacă încasarea e simultană</t>
        </is>
      </c>
    </row>
    <row r="6">
      <c r="A6" s="76" t="inlineStr">
        <is>
          <t>Încasarea</t>
        </is>
      </c>
      <c r="B6" s="76" t="inlineStr">
        <is>
          <t>5121 = 475 (sau 445)</t>
        </is>
      </c>
      <c r="C6" s="76" t="inlineStr">
        <is>
          <t>475</t>
        </is>
      </c>
      <c r="D6" s="76" t="inlineStr">
        <is>
          <t>valoarea încasată</t>
        </is>
      </c>
      <c r="E6" s="76" t="inlineStr">
        <is>
          <t>întotdeauna</t>
        </is>
      </c>
      <c r="F6" s="76" t="inlineStr">
        <is>
          <t>475 e cont de REGULARIZARE TEMPORALĂ, nu de venit</t>
        </is>
      </c>
    </row>
    <row r="7">
      <c r="A7" s="76" t="inlineStr">
        <is>
          <t>Achiziția activului</t>
        </is>
      </c>
      <c r="B7" s="76" t="inlineStr">
        <is>
          <t>21x = 404</t>
        </is>
      </c>
      <c r="C7" s="76" t="inlineStr">
        <is>
          <t>21x</t>
        </is>
      </c>
      <c r="D7" s="76" t="inlineStr">
        <is>
          <t>valoarea de intrare</t>
        </is>
      </c>
      <c r="E7" s="76" t="inlineStr">
        <is>
          <t>întotdeauna</t>
        </is>
      </c>
      <c r="F7" s="76" t="inlineStr">
        <is>
          <t>Independentă de subvenție; activul se înregistrează la valoarea lui completă</t>
        </is>
      </c>
    </row>
    <row r="8">
      <c r="A8" s="76" t="inlineStr">
        <is>
          <t>Amortizarea lunară</t>
        </is>
      </c>
      <c r="B8" s="76" t="inlineStr">
        <is>
          <t>6811 = 28x</t>
        </is>
      </c>
      <c r="C8" s="76" t="inlineStr">
        <is>
          <t>6811</t>
        </is>
      </c>
      <c r="D8" s="76" t="inlineStr">
        <is>
          <t>valoare / durată</t>
        </is>
      </c>
      <c r="E8" s="76" t="inlineStr">
        <is>
          <t>lunar</t>
        </is>
      </c>
      <c r="F8" s="76" t="inlineStr">
        <is>
          <t>Pe valoarea INTEGRALĂ a activului, nu pe partea nesubvenționată</t>
        </is>
      </c>
    </row>
    <row r="9">
      <c r="A9" s="76" t="inlineStr">
        <is>
          <t>Eliberarea subvenției</t>
        </is>
      </c>
      <c r="B9" s="76" t="inlineStr">
        <is>
          <t>475 = 7584</t>
        </is>
      </c>
      <c r="C9" s="76" t="inlineStr">
        <is>
          <t>475</t>
        </is>
      </c>
      <c r="D9" s="76" t="inlineStr">
        <is>
          <t>amortizare × cota</t>
        </is>
      </c>
      <c r="E9" s="76" t="inlineStr">
        <is>
          <t>lunar, CONCOMITENT</t>
        </is>
      </c>
      <c r="F9" s="76" t="inlineStr">
        <is>
          <t>Pas revelator: eliberarea urmează amortizarea, nu calendarul</t>
        </is>
      </c>
    </row>
    <row r="11">
      <c r="A11" s="75" t="inlineStr">
        <is>
          <t>Tabel B — Cota de finanțare</t>
        </is>
      </c>
    </row>
    <row r="12">
      <c r="A12" s="78" t="inlineStr">
        <is>
          <t>Situație</t>
        </is>
      </c>
      <c r="B12" s="78" t="inlineStr">
        <is>
          <t>Cota</t>
        </is>
      </c>
      <c r="C12" s="78" t="inlineStr">
        <is>
          <t>Eliberare lunară</t>
        </is>
      </c>
      <c r="D12" s="78" t="inlineStr">
        <is>
          <t>Efect net pe rezultat</t>
        </is>
      </c>
      <c r="E12" s="78" t="inlineStr"/>
      <c r="F12" s="78" t="inlineStr">
        <is>
          <t>Observație</t>
        </is>
      </c>
    </row>
    <row r="13">
      <c r="A13" s="76" t="inlineStr">
        <is>
          <t>Subvenția acoperă integral activul</t>
        </is>
      </c>
      <c r="B13" s="76" t="inlineStr">
        <is>
          <t>1</t>
        </is>
      </c>
      <c r="C13" s="76" t="inlineStr">
        <is>
          <t>cât amortizarea lunară</t>
        </is>
      </c>
      <c r="D13" s="76" t="inlineStr">
        <is>
          <t>zero</t>
        </is>
      </c>
      <c r="E13" s="76" t="inlineStr"/>
      <c r="F13" s="76" t="inlineStr">
        <is>
          <t>Cazul din monografia F-210</t>
        </is>
      </c>
    </row>
    <row r="14">
      <c r="A14" s="76" t="inlineStr">
        <is>
          <t>Subvenția acoperă parțial</t>
        </is>
      </c>
      <c r="B14" s="76" t="inlineStr">
        <is>
          <t>subvenție / activ</t>
        </is>
      </c>
      <c r="C14" s="76" t="inlineStr">
        <is>
          <t>amortizare × cota</t>
        </is>
      </c>
      <c r="D14" s="76" t="inlineStr">
        <is>
          <t>negativ, egal cu partea proprie</t>
        </is>
      </c>
      <c r="E14" s="76" t="inlineStr"/>
      <c r="F14" s="76" t="inlineStr">
        <is>
          <t>Cazul frecvent în practică — cofinanțare</t>
        </is>
      </c>
    </row>
    <row r="15">
      <c r="A15" s="76" t="inlineStr">
        <is>
          <t>Subvenția depășește valoarea activului</t>
        </is>
      </c>
      <c r="B15" s="76" t="inlineStr">
        <is>
          <t>plafonat la 1</t>
        </is>
      </c>
      <c r="C15" s="76" t="inlineStr">
        <is>
          <t>cât amortizarea lunară</t>
        </is>
      </c>
      <c r="D15" s="76" t="inlineStr">
        <is>
          <t>zero</t>
        </is>
      </c>
      <c r="E15" s="76" t="inlineStr"/>
      <c r="F15" s="76" t="inlineStr">
        <is>
          <t>Verifică încadrarea: excedentul nu e subvenție pentru investiții</t>
        </is>
      </c>
    </row>
    <row r="17">
      <c r="A17" s="75" t="inlineStr">
        <is>
          <t>Tabel C — LIMITĂRI DECLARATE ale modulului</t>
        </is>
      </c>
    </row>
    <row r="18">
      <c r="A18" s="78" t="inlineStr">
        <is>
          <t>Ce NU tratează</t>
        </is>
      </c>
      <c r="B18" s="78" t="inlineStr">
        <is>
          <t>De ce</t>
        </is>
      </c>
      <c r="C18" s="78" t="inlineStr">
        <is>
          <t>Ce faci</t>
        </is>
      </c>
      <c r="D18" s="78" t="inlineStr"/>
      <c r="E18" s="78" t="inlineStr"/>
      <c r="F18" s="78" t="inlineStr">
        <is>
          <t>Efect dacă îl ignori</t>
        </is>
      </c>
    </row>
    <row r="19">
      <c r="A19" s="76" t="inlineStr">
        <is>
          <t>Subvenții pentru exploatare (741)</t>
        </is>
      </c>
      <c r="B19" s="76" t="inlineStr">
        <is>
          <t>Acelea sunt venit în perioada în care se produce cheltuiala acoperită, nu se eșalonează pe amortizare.</t>
        </is>
      </c>
      <c r="C19" s="76" t="inlineStr">
        <is>
          <t>Folosește 741, nu 475/7584.</t>
        </is>
      </c>
      <c r="D19" s="76" t="inlineStr"/>
      <c r="E19" s="76" t="inlineStr"/>
      <c r="F19" s="76" t="inlineStr">
        <is>
          <t>Venitul e amânat pe ani, când ar trebui recunoscut imediat</t>
        </is>
      </c>
    </row>
    <row r="20">
      <c r="A20" s="76" t="inlineStr">
        <is>
          <t>Restituirea subvenției</t>
        </is>
      </c>
      <c r="B20" s="76" t="inlineStr">
        <is>
          <t>Neîndeplinirea condițiilor din contract obligă la restituire, cu tratament propriu.</t>
        </is>
      </c>
      <c r="C20" s="76" t="inlineStr">
        <is>
          <t>Stornează partea neeliberată din 475 și tratează restul pe cheltuială.</t>
        </is>
      </c>
      <c r="D20" s="76" t="inlineStr"/>
      <c r="E20" s="76" t="inlineStr"/>
      <c r="F20" s="76" t="inlineStr">
        <is>
          <t>475 rămâne cu sold pentru o subvenție care nu mai există</t>
        </is>
      </c>
    </row>
    <row r="21">
      <c r="A21" s="76" t="inlineStr">
        <is>
          <t>Cedarea activului înainte de finalul amortizării</t>
        </is>
      </c>
      <c r="B21" s="76" t="inlineStr">
        <is>
          <t>Soldul rămas din 475 se reia integral la venit la data ieșirii.</t>
        </is>
      </c>
      <c r="C21" s="76" t="inlineStr">
        <is>
          <t>Reia soldul 475 în 7584 odată cu descărcarea activului (vezi MOD_IESIRE_MF).</t>
        </is>
      </c>
      <c r="D21" s="76" t="inlineStr"/>
      <c r="E21" s="76" t="inlineStr"/>
      <c r="F21" s="76" t="inlineStr">
        <is>
          <t>475 rămâne cu sold pentru un activ care nu mai e în patrimoniu</t>
        </is>
      </c>
    </row>
    <row r="22">
      <c r="A22" s="76" t="inlineStr">
        <is>
          <t>Ajustarea planului de amortizare</t>
        </is>
      </c>
      <c r="B22" s="76" t="inlineStr">
        <is>
          <t>O modificare de durată schimbă și ritmul eliberării subvenției.</t>
        </is>
      </c>
      <c r="C22" s="76" t="inlineStr">
        <is>
          <t>Recalculează ambele; cota rămâne aceeași, amortizarea lunară se schimbă.</t>
        </is>
      </c>
      <c r="D22" s="76" t="inlineStr"/>
      <c r="E22" s="76" t="inlineStr"/>
      <c r="F22" s="76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MOD_SUBVENTIE — Jurnale (generate automat)</t>
        </is>
      </c>
    </row>
    <row r="2">
      <c r="A2" s="74" t="inlineStr">
        <is>
          <t>Blocul 3 se repetă lunar, pe toată durata de amortizare. Cele două înregistrări din el se fac CONCOMITENT — asta e tot mecanismul.</t>
        </is>
      </c>
    </row>
    <row r="4">
      <c r="A4" s="75" t="inlineStr">
        <is>
          <t>Bloc 1 — Încasarea subvenției</t>
        </is>
      </c>
    </row>
    <row r="5">
      <c r="A5" s="76" t="inlineStr">
        <is>
          <t>Data jurnal:</t>
        </is>
      </c>
      <c r="B5" s="76" t="str">
        <f>Declarații_SUBVENTIE!B8</f>
        <v>2026-03-10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Declarații_SUBVENTIE!B30</f>
        <v>5121</v>
      </c>
      <c r="C8" s="76">
        <f>Declarații_SUBVENTIE!B14</f>
        <v>50000</v>
      </c>
      <c r="D8" s="76" t="str">
        <f>"Încasarea subvenției pentru investiții" &amp; Declarații_SUBVENTIE!B45</f>
        <v>Încasarea subvenției pentru investiții - Utilaj tehnologic - 2026-07</v>
      </c>
      <c r="E8" s="76">
        <f>Declarații_SUBVENTIE!B28</f>
        <v>475</v>
      </c>
      <c r="F8" s="76">
        <f>Declarații_SUBVENTIE!B14</f>
        <v>50000</v>
      </c>
      <c r="G8" s="76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Check: nu atinge clasa 7</t>
        </is>
      </c>
      <c r="B11" s="76">
        <f>Declarații_SUBVENTIE!B28</f>
        <v>475</v>
      </c>
      <c r="C11" s="76" t="str">
        <f>"Corect — 475 e regularizare temporală. Venitul apare abia în blocul 3, lunar."</f>
        <v>Corect — 475 e regularizare temporală. Venitul apare abia în blocul 3, lunar.</v>
      </c>
    </row>
    <row r="13">
      <c r="A13" s="75" t="inlineStr">
        <is>
          <t>Bloc 2 — Achiziția activului</t>
        </is>
      </c>
    </row>
    <row r="14">
      <c r="A14" s="76" t="inlineStr">
        <is>
          <t>Data jurnal:</t>
        </is>
      </c>
      <c r="B14" s="76" t="str">
        <f>Declarații_SUBVENTIE!B9</f>
        <v>2026-04-01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 t="str">
        <f>Declarații_SUBVENTIE!B31</f>
        <v>2131</v>
      </c>
      <c r="C17" s="76">
        <f>Declarații_SUBVENTIE!B15</f>
        <v>50000</v>
      </c>
      <c r="D17" s="76" t="str">
        <f>"Achiziția activului finanțat, la valoarea integrală" &amp; Declarații_SUBVENTIE!B45</f>
        <v>Achiziția activului finanțat, la valoarea integrală - Utilaj tehnologic - 2026-07</v>
      </c>
      <c r="E17" s="76" t="str">
        <f>Declarații_SUBVENTIE!B32</f>
        <v>404</v>
      </c>
      <c r="F17" s="76">
        <f>Declarații_SUBVENTIE!B15</f>
        <v>50000</v>
      </c>
      <c r="G17" s="76" t="str">
        <f>"Datorie față de furnizorul de imobilizări" &amp; Declarații_SUBVENTIE!B45</f>
        <v>Datorie față de furnizorul de imobilizări - Utilaj tehnologic - 2026-07</v>
      </c>
    </row>
    <row r="19">
      <c r="A19" s="76" t="inlineStr">
        <is>
          <t>Check Σ (structural)</t>
        </is>
      </c>
      <c r="B19" s="76">
        <f>C17-F17</f>
        <v>0</v>
      </c>
      <c r="C19" s="76" t="str">
        <f>IF(ABS(B19)&lt;0.01,"OK — nota se închide","EROARE")</f>
        <v>OK — nota se închide</v>
      </c>
    </row>
    <row r="21">
      <c r="A21" s="75" t="inlineStr">
        <is>
          <t>Bloc 3 — Amortizare + eliberare (LUNAR, concomitent)</t>
        </is>
      </c>
    </row>
    <row r="22">
      <c r="A22" s="76" t="inlineStr">
        <is>
          <t>Data jurnal:</t>
        </is>
      </c>
      <c r="B22" s="76" t="str">
        <f>Declarații_SUBVENTIE!B11</f>
        <v>2026-07-31</v>
      </c>
    </row>
    <row r="24">
      <c r="A24" s="78" t="inlineStr">
        <is>
          <t>Nr</t>
        </is>
      </c>
      <c r="B24" s="78" t="inlineStr">
        <is>
          <t>Cont Dr</t>
        </is>
      </c>
      <c r="C24" s="78" t="inlineStr">
        <is>
          <t>Sumă Dr</t>
        </is>
      </c>
      <c r="D24" s="78" t="inlineStr">
        <is>
          <t>Descriere Dr</t>
        </is>
      </c>
      <c r="E24" s="78" t="inlineStr">
        <is>
          <t>Cont Cr</t>
        </is>
      </c>
      <c r="F24" s="78" t="inlineStr">
        <is>
          <t>Sumă Cr</t>
        </is>
      </c>
      <c r="G24" s="78" t="inlineStr">
        <is>
          <t>Descriere Cr</t>
        </is>
      </c>
    </row>
    <row r="25">
      <c r="A25" s="76" t="n">
        <v>1</v>
      </c>
      <c r="B25" s="76">
        <f>Declarații_SUBVENTIE!B34</f>
        <v>6811</v>
      </c>
      <c r="C25" s="76">
        <f>Declarații_SUBVENTIE!B21</f>
        <v>833.33</v>
      </c>
      <c r="D25" s="76" t="str">
        <f>"Amortizarea lunară a activului" &amp; Declarații_SUBVENTIE!B45</f>
        <v>Amortizarea lunară a activului - Utilaj tehnologic - 2026-07</v>
      </c>
      <c r="E25" s="76">
        <f>Declarații_SUBVENTIE!B33</f>
        <v>2813</v>
      </c>
      <c r="F25" s="76">
        <f>Declarații_SUBVENTIE!B21</f>
        <v>833.33</v>
      </c>
      <c r="G25" s="76" t="str">
        <f>"Amortizare cumulată" &amp; Declarații_SUBVENTIE!B45</f>
        <v>Amortizare cumulată - Utilaj tehnologic - 2026-07</v>
      </c>
    </row>
    <row r="26">
      <c r="A26" s="76" t="n">
        <v>2</v>
      </c>
      <c r="B26" s="76">
        <f>Declarații_SUBVENTIE!B28</f>
        <v>475</v>
      </c>
      <c r="C26" s="76">
        <f>Declarații_SUBVENTIE!B22</f>
        <v>833.33</v>
      </c>
      <c r="D26" s="76" t="str">
        <f>"Eliberarea subvenției pe măsura amortizării" &amp; Declarații_SUBVENTIE!B45</f>
        <v>Eliberarea subvenției pe măsura amortizării - Utilaj tehnologic - 2026-07</v>
      </c>
      <c r="E26" s="76">
        <f>Declarații_SUBVENTIE!B35</f>
        <v>7584</v>
      </c>
      <c r="F26" s="76">
        <f>Declarații_SUBVENTIE!B22</f>
        <v>833.33</v>
      </c>
      <c r="G26" s="76" t="str">
        <f>"Venit din subvenții pentru investiții" &amp; Declarații_SUBVENTIE!B45</f>
        <v>Venit din subvenții pentru investiții - Utilaj tehnologic - 2026-07</v>
      </c>
    </row>
    <row r="28">
      <c r="A28" s="76" t="inlineStr">
        <is>
          <t>Total Dr</t>
        </is>
      </c>
      <c r="B28" s="76">
        <f>SUM(C25:C26)</f>
        <v>1666.66</v>
      </c>
      <c r="C28" s="76" t="inlineStr"/>
    </row>
    <row r="29">
      <c r="A29" s="76" t="inlineStr">
        <is>
          <t>Total Cr</t>
        </is>
      </c>
      <c r="B29" s="76">
        <f>SUM(F25:F26)</f>
        <v>1666.66</v>
      </c>
      <c r="C29" s="76" t="inlineStr"/>
    </row>
    <row r="30">
      <c r="A30" s="76" t="inlineStr">
        <is>
          <t>Check Σ (structural)</t>
        </is>
      </c>
      <c r="B30" s="76">
        <f>SUM(C25:C26)-SUM(F25:F26)</f>
        <v>0</v>
      </c>
      <c r="C30" s="76" t="str">
        <f>IF(ABS(B30)&lt;0.01,"OK — notele se închid","EROARE")</f>
        <v>OK — notele se închid</v>
      </c>
    </row>
    <row r="31">
      <c r="A31" s="76" t="inlineStr">
        <is>
          <t>Check efect pe rezultat</t>
        </is>
      </c>
      <c r="B31" s="76">
        <f>Declarații_SUBVENTIE!B25</f>
        <v>0</v>
      </c>
      <c r="C31" s="76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3" t="inlineStr">
        <is>
          <t>MOD_SUBVENTIE — Notă pentru import (1 rând = 1 înregistrare)</t>
        </is>
      </c>
    </row>
    <row r="2">
      <c r="A2" s="74" t="inlineStr">
        <is>
          <t>Blocurile 1 și 2 se importă o singură dată; blocul 3 se repetă lunar.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Încasare (o dată)</t>
        </is>
      </c>
      <c r="C5" s="76" t="str">
        <f>Declarații_SUBVENTIE!B8</f>
        <v>2026-03-10</v>
      </c>
      <c r="D5" s="76" t="str">
        <f>Jurnale_SUBVENTIE!B8</f>
        <v>5121</v>
      </c>
      <c r="E5" s="76">
        <f>Jurnale_SUBVENTIE!E8</f>
        <v>475</v>
      </c>
      <c r="F5" s="76">
        <f>MAX(N(Jurnale_SUBVENTIE!C8),N(Jurnale_SUBVENTIE!F8))</f>
        <v>50000</v>
      </c>
      <c r="G5" s="76" t="str">
        <f>Jurnale_SUBVENTIE!D8</f>
        <v>Încasarea subvenției pentru investiții - Utilaj tehnologic - 2026-07</v>
      </c>
      <c r="H5" s="76" t="inlineStr">
        <is>
          <t>Contract + extras</t>
        </is>
      </c>
      <c r="I5" s="76" t="str">
        <f>IF(N(F5)&gt;0.005,"DA","NU")</f>
        <v>DA</v>
      </c>
    </row>
    <row r="6">
      <c r="A6" s="76" t="n">
        <v>2</v>
      </c>
      <c r="B6" s="76" t="inlineStr">
        <is>
          <t>Bloc 2 — Achiziție (o dată)</t>
        </is>
      </c>
      <c r="C6" s="76" t="str">
        <f>Declarații_SUBVENTIE!B9</f>
        <v>2026-04-01</v>
      </c>
      <c r="D6" s="76" t="str">
        <f>Jurnale_SUBVENTIE!B17</f>
        <v>2131</v>
      </c>
      <c r="E6" s="76" t="str">
        <f>Jurnale_SUBVENTIE!E17</f>
        <v>404</v>
      </c>
      <c r="F6" s="76">
        <f>MAX(N(Jurnale_SUBVENTIE!C17),N(Jurnale_SUBVENTIE!F17))</f>
        <v>50000</v>
      </c>
      <c r="G6" s="76" t="str">
        <f>Jurnale_SUBVENTIE!D17</f>
        <v>Achiziția activului finanțat, la valoarea integrală - Utilaj tehnologic - 2026-07</v>
      </c>
      <c r="H6" s="76" t="inlineStr">
        <is>
          <t>Factură + PV recepție</t>
        </is>
      </c>
      <c r="I6" s="76" t="str">
        <f>IF(N(F6)&gt;0.005,"DA","NU")</f>
        <v>DA</v>
      </c>
    </row>
    <row r="7">
      <c r="A7" s="76" t="n">
        <v>3</v>
      </c>
      <c r="B7" s="76" t="inlineStr">
        <is>
          <t>Bloc 3 — Lunar</t>
        </is>
      </c>
      <c r="C7" s="76" t="str">
        <f>Declarații_SUBVENTIE!B11</f>
        <v>2026-07-31</v>
      </c>
      <c r="D7" s="76">
        <f>Jurnale_SUBVENTIE!B25</f>
        <v>6811</v>
      </c>
      <c r="E7" s="76">
        <f>Jurnale_SUBVENTIE!E25</f>
        <v>2813</v>
      </c>
      <c r="F7" s="76">
        <f>MAX(N(Jurnale_SUBVENTIE!C25),N(Jurnale_SUBVENTIE!F25))</f>
        <v>833.33</v>
      </c>
      <c r="G7" s="76" t="str">
        <f>Jurnale_SUBVENTIE!D25</f>
        <v>Amortizarea lunară a activului - Utilaj tehnologic - 2026-07</v>
      </c>
      <c r="H7" s="76" t="inlineStr">
        <is>
          <t>Notă contabilă lunară</t>
        </is>
      </c>
      <c r="I7" s="76" t="str">
        <f>IF(N(F7)&gt;0.005,"DA","NU")</f>
        <v>DA</v>
      </c>
    </row>
    <row r="8">
      <c r="A8" s="76" t="n">
        <v>4</v>
      </c>
      <c r="B8" s="76" t="inlineStr">
        <is>
          <t>Bloc 3 — Lunar</t>
        </is>
      </c>
      <c r="C8" s="76" t="str">
        <f>Declarații_SUBVENTIE!B11</f>
        <v>2026-07-31</v>
      </c>
      <c r="D8" s="76">
        <f>Jurnale_SUBVENTIE!B26</f>
        <v>475</v>
      </c>
      <c r="E8" s="76">
        <f>Jurnale_SUBVENTIE!E26</f>
        <v>7584</v>
      </c>
      <c r="F8" s="76">
        <f>MAX(N(Jurnale_SUBVENTIE!C26),N(Jurnale_SUBVENTIE!F26))</f>
        <v>833.33</v>
      </c>
      <c r="G8" s="76" t="str">
        <f>Jurnale_SUBVENTIE!D26</f>
        <v>Eliberarea subvenției pe măsura amortizării - Utilaj tehnologic - 2026-07</v>
      </c>
      <c r="H8" s="76" t="inlineStr">
        <is>
          <t>Notă contabilă lunară</t>
        </is>
      </c>
      <c r="I8" s="76" t="str">
        <f>IF(N(F8)&gt;0.005,"DA","NU")</f>
        <v>DA</v>
      </c>
    </row>
    <row r="10">
      <c r="A10" s="76" t="inlineStr">
        <is>
          <t>Rânduri de importat (Include=DA)</t>
        </is>
      </c>
      <c r="B10" s="76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3" t="inlineStr">
        <is>
          <t>MOD_IESIRE_MF — Declarații (input)</t>
        </is>
      </c>
    </row>
    <row r="2">
      <c r="A2" s="74" t="inlineStr">
        <is>
          <t>Completează doar celulele galbene. Tipul ieșirii (VANZARE / CASARE) comandă blocurile.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Denumire mijloc fix</t>
        </is>
      </c>
      <c r="B6" s="77" t="inlineStr">
        <is>
          <t>Clădire administrativă</t>
        </is>
      </c>
    </row>
    <row r="7">
      <c r="A7" s="76" t="inlineStr">
        <is>
          <t>Data ieșirii</t>
        </is>
      </c>
      <c r="B7" s="77" t="inlineStr">
        <is>
          <t>2026-07-31</t>
        </is>
      </c>
    </row>
    <row r="8">
      <c r="A8" s="76" t="inlineStr">
        <is>
          <t>Tip ieșire (VANZARE / CASARE)</t>
        </is>
      </c>
      <c r="B8" s="77" t="inlineStr">
        <is>
          <t>VANZARE</t>
        </is>
      </c>
    </row>
    <row r="10">
      <c r="A10" s="75" t="inlineStr">
        <is>
          <t>2. Date din evidență</t>
        </is>
      </c>
    </row>
    <row r="11">
      <c r="A11" s="76" t="inlineStr">
        <is>
          <t>Valoare de intrare (sold 21x)</t>
        </is>
      </c>
      <c r="B11" s="77" t="n">
        <v>100000</v>
      </c>
    </row>
    <row r="12">
      <c r="A12" s="76" t="inlineStr">
        <is>
          <t>Amortizare cumulată (sold 28x)</t>
        </is>
      </c>
      <c r="B12" s="77" t="n">
        <v>30000</v>
      </c>
    </row>
    <row r="13">
      <c r="A13" s="76" t="inlineStr">
        <is>
          <t>Preț de vânzare, fără TVA (0 la casare)</t>
        </is>
      </c>
      <c r="B13" s="77" t="n">
        <v>50000</v>
      </c>
    </row>
    <row r="14">
      <c r="A14" s="76" t="inlineStr">
        <is>
          <t>Cotă TVA</t>
        </is>
      </c>
      <c r="B14" s="76">
        <f>Parametri!B10</f>
        <v>0.21</v>
      </c>
    </row>
    <row r="15">
      <c r="A15" s="76" t="inlineStr">
        <is>
          <t>Valoare piese recuperate din casare</t>
        </is>
      </c>
      <c r="B15" s="77" t="n">
        <v>0</v>
      </c>
      <c r="C15" s="74" t="inlineStr">
        <is>
          <t>Evaluate de comisia tehnică, pe listă</t>
        </is>
      </c>
    </row>
    <row r="16">
      <c r="A16" s="76" t="inlineStr">
        <is>
          <t>Prețul este documentat? (DA / NU)</t>
        </is>
      </c>
      <c r="B16" s="77" t="inlineStr">
        <is>
          <t>NU</t>
        </is>
      </c>
      <c r="C16" s="74" t="inlineStr">
        <is>
          <t>Raport de evaluare / referință de piață / deviz de service</t>
        </is>
      </c>
    </row>
    <row r="18">
      <c r="A18" s="75" t="inlineStr">
        <is>
          <t>3. Calcul automat (nu edita)</t>
        </is>
      </c>
    </row>
    <row r="19">
      <c r="A19" s="76" t="inlineStr">
        <is>
          <t>Valoare rămasă neamortizată</t>
        </is>
      </c>
      <c r="B19" s="76">
        <f>B11-B12</f>
        <v>70000</v>
      </c>
    </row>
    <row r="20">
      <c r="A20" s="76" t="inlineStr">
        <is>
          <t>TVA colectată</t>
        </is>
      </c>
      <c r="B20" s="76">
        <f>B13*B14</f>
        <v>10500</v>
      </c>
    </row>
    <row r="21">
      <c r="A21" s="76" t="inlineStr">
        <is>
          <t>Total de încasat</t>
        </is>
      </c>
      <c r="B21" s="76">
        <f>B13+B20</f>
        <v>60500</v>
      </c>
    </row>
    <row r="22">
      <c r="A22" s="76" t="inlineStr">
        <is>
          <t>Cheltuială deductibilă (în limita venitului)</t>
        </is>
      </c>
      <c r="B22" s="76">
        <f>MIN(B19,B13)</f>
        <v>50000</v>
      </c>
    </row>
    <row r="23">
      <c r="A23" s="76" t="inlineStr">
        <is>
          <t>Cheltuială NEdeductibilă</t>
        </is>
      </c>
      <c r="B23" s="76">
        <f>MAX(0,B19-B13)</f>
        <v>20000</v>
      </c>
    </row>
    <row r="24">
      <c r="A24" s="76" t="inlineStr">
        <is>
          <t>Rezultat din cedare (venit − valoare rămasă)</t>
        </is>
      </c>
      <c r="B24" s="76">
        <f>B13-B19</f>
        <v>-20000</v>
      </c>
    </row>
    <row r="26">
      <c r="A26" s="75" t="inlineStr">
        <is>
          <t>4. Controale</t>
        </is>
      </c>
    </row>
    <row r="27">
      <c r="A27" s="76" t="inlineStr">
        <is>
          <t>Check C-13: amortizarea nu poate depăși valoarea de intrare</t>
        </is>
      </c>
      <c r="B27" s="76">
        <f>B11-B12</f>
        <v>70000</v>
      </c>
      <c r="C27" s="76" t="str">
        <f>IF(B12&lt;=B11+0.001,"OK — 28x ≤ 21x","EROARE — amortizare mai mare decât valoarea de intrare")</f>
        <v>OK — 28x ≤ 21x</v>
      </c>
    </row>
    <row r="28">
      <c r="A28" s="76" t="inlineStr">
        <is>
          <t>Test deductibilitate</t>
        </is>
      </c>
      <c r="B28" s="76">
        <f>B23</f>
        <v>20000</v>
      </c>
      <c r="C28" s="76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76" t="inlineStr">
        <is>
          <t>Test preț minim</t>
        </is>
      </c>
      <c r="B29" s="76">
        <f>B13</f>
        <v>50000</v>
      </c>
      <c r="C29" s="76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76" t="inlineStr">
        <is>
          <t>Reminder modul de imobilizări</t>
        </is>
      </c>
      <c r="B30" s="76" t="str">
        <f>B8</f>
        <v>VANZARE</v>
      </c>
      <c r="C30" s="76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75" t="inlineStr">
        <is>
          <t>5. Conturi</t>
        </is>
      </c>
    </row>
    <row r="33">
      <c r="A33" s="76" t="inlineStr">
        <is>
          <t>Cont imobilizare (21x)</t>
        </is>
      </c>
      <c r="B33" s="77" t="inlineStr">
        <is>
          <t>212</t>
        </is>
      </c>
    </row>
    <row r="34">
      <c r="A34" s="76" t="inlineStr">
        <is>
          <t>Cont amortizare (28x)</t>
        </is>
      </c>
      <c r="B34" s="77" t="inlineStr">
        <is>
          <t>2812</t>
        </is>
      </c>
    </row>
    <row r="35">
      <c r="A35" s="76" t="inlineStr">
        <is>
          <t>Cont cheltuială din cedare</t>
        </is>
      </c>
      <c r="B35" s="77" t="n">
        <v>6583</v>
      </c>
    </row>
    <row r="36">
      <c r="A36" s="76" t="inlineStr">
        <is>
          <t>Cont venit din cedare</t>
        </is>
      </c>
      <c r="B36" s="77" t="n">
        <v>7583</v>
      </c>
    </row>
    <row r="37">
      <c r="A37" s="76" t="inlineStr">
        <is>
          <t>Cont creanță</t>
        </is>
      </c>
      <c r="B37" s="77" t="inlineStr">
        <is>
          <t>461</t>
        </is>
      </c>
    </row>
    <row r="38">
      <c r="A38" s="76" t="inlineStr">
        <is>
          <t>Cont TVA colectată</t>
        </is>
      </c>
      <c r="B38" s="77" t="n">
        <v>4427</v>
      </c>
    </row>
    <row r="39">
      <c r="A39" s="76" t="inlineStr">
        <is>
          <t>Cont stoc piese recuperate</t>
        </is>
      </c>
      <c r="B39" s="77" t="n">
        <v>3024</v>
      </c>
    </row>
    <row r="40">
      <c r="A40" s="76" t="inlineStr">
        <is>
          <t>Cont venit din piese recuperate</t>
        </is>
      </c>
      <c r="B40" s="77" t="n">
        <v>7588</v>
      </c>
    </row>
    <row r="42">
      <c r="A42" s="75" t="inlineStr">
        <is>
          <t>6. Sufix generat</t>
        </is>
      </c>
    </row>
    <row r="43">
      <c r="A43" s="76" t="inlineStr">
        <is>
          <t>Sufix</t>
        </is>
      </c>
      <c r="B43" s="76" t="str">
        <f>"— " &amp; B6 &amp; " " &amp; B7</f>
        <v>— Clădire administrativă 2026-07-31</v>
      </c>
    </row>
    <row r="45">
      <c r="A45" s="76" t="inlineStr">
        <is>
          <t>Modul activ în CatalogModule?</t>
        </is>
      </c>
      <c r="B45" s="76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3" t="inlineStr">
        <is>
          <t>MOD_IESIRE_MF — Reguli (tabele fixe)</t>
        </is>
      </c>
    </row>
    <row r="2">
      <c r="A2" s="74" t="inlineStr">
        <is>
          <t>Se editează doar când se schimbă legea sau practica documentată a cabinetului.</t>
        </is>
      </c>
    </row>
    <row r="4">
      <c r="A4" s="75" t="inlineStr">
        <is>
          <t>Tabel A — Secvența de ieșire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inlineStr">
        <is>
          <t>1</t>
        </is>
      </c>
      <c r="B6" s="76" t="inlineStr">
        <is>
          <t>28x</t>
        </is>
      </c>
      <c r="C6" s="76" t="inlineStr">
        <is>
          <t>21x</t>
        </is>
      </c>
      <c r="D6" s="76" t="inlineStr">
        <is>
          <t>amortizarea cumulată</t>
        </is>
      </c>
      <c r="E6" s="76" t="inlineStr">
        <is>
          <t>Întotdeauna</t>
        </is>
      </c>
      <c r="F6" s="76" t="inlineStr">
        <is>
          <t>28x e pur rectificativ — nu ține nimic real</t>
        </is>
      </c>
    </row>
    <row r="7">
      <c r="A7" s="76" t="inlineStr">
        <is>
          <t>2</t>
        </is>
      </c>
      <c r="B7" s="76" t="inlineStr">
        <is>
          <t>6583</t>
        </is>
      </c>
      <c r="C7" s="76" t="inlineStr">
        <is>
          <t>21x</t>
        </is>
      </c>
      <c r="D7" s="76" t="inlineStr">
        <is>
          <t>valoarea rămasă neamortizată</t>
        </is>
      </c>
      <c r="E7" s="76" t="inlineStr">
        <is>
          <t>Dacă valoarea rămasă &gt; 0</t>
        </is>
      </c>
      <c r="F7" s="76" t="inlineStr">
        <is>
          <t>La bun integral amortizat, pasul lipsește</t>
        </is>
      </c>
    </row>
    <row r="8">
      <c r="A8" s="76" t="inlineStr">
        <is>
          <t>3</t>
        </is>
      </c>
      <c r="B8" s="76" t="inlineStr">
        <is>
          <t>461/411</t>
        </is>
      </c>
      <c r="C8" s="76" t="inlineStr">
        <is>
          <t>7583 + 4427</t>
        </is>
      </c>
      <c r="D8" s="76" t="inlineStr">
        <is>
          <t>preț + TVA</t>
        </is>
      </c>
      <c r="E8" s="76" t="inlineStr">
        <is>
          <t>Doar la VANZARE</t>
        </is>
      </c>
      <c r="F8" s="76" t="inlineStr">
        <is>
          <t>La casare nu există venit din cedare</t>
        </is>
      </c>
    </row>
    <row r="9">
      <c r="A9" s="76" t="inlineStr">
        <is>
          <t>4</t>
        </is>
      </c>
      <c r="B9" s="76" t="inlineStr">
        <is>
          <t>3024</t>
        </is>
      </c>
      <c r="C9" s="76" t="inlineStr">
        <is>
          <t>7588</t>
        </is>
      </c>
      <c r="D9" s="76" t="inlineStr">
        <is>
          <t>valoarea pieselor recuperate</t>
        </is>
      </c>
      <c r="E9" s="76" t="inlineStr">
        <is>
          <t>Doar la CASARE cu recuperări</t>
        </is>
      </c>
      <c r="F9" s="76" t="inlineStr">
        <is>
          <t>Lista vine de la comisia tehnică; dacă se revând, transfer în 371 (F-308)</t>
        </is>
      </c>
    </row>
    <row r="11">
      <c r="A11" s="75" t="inlineStr">
        <is>
          <t>Tabel B — Testul de deductibilitate</t>
        </is>
      </c>
    </row>
    <row r="12">
      <c r="A12" s="78" t="inlineStr">
        <is>
          <t>Situație</t>
        </is>
      </c>
      <c r="B12" s="78" t="inlineStr">
        <is>
          <t>Tratament</t>
        </is>
      </c>
      <c r="C12" s="78" t="inlineStr"/>
      <c r="D12" s="78" t="inlineStr"/>
      <c r="E12" s="78" t="inlineStr"/>
      <c r="F12" s="78" t="inlineStr">
        <is>
          <t>Observație</t>
        </is>
      </c>
    </row>
    <row r="13">
      <c r="A13" s="76" t="inlineStr">
        <is>
          <t>Preț ≥ valoarea rămasă</t>
        </is>
      </c>
      <c r="B13" s="76" t="inlineStr">
        <is>
          <t>6583 integral deductibil</t>
        </is>
      </c>
      <c r="C13" s="76" t="inlineStr"/>
      <c r="D13" s="76" t="inlineStr"/>
      <c r="E13" s="76" t="inlineStr"/>
      <c r="F13" s="76" t="inlineStr">
        <is>
          <t>Rezultatul din cedare e câștig</t>
        </is>
      </c>
    </row>
    <row r="14">
      <c r="A14" s="76" t="inlineStr">
        <is>
          <t>Preț &lt; valoarea rămasă, preț DOCUMENTAT</t>
        </is>
      </c>
      <c r="B14" s="76" t="inlineStr">
        <is>
          <t>deductibil în limita venitului; diferența e discutabilă</t>
        </is>
      </c>
      <c r="C14" s="76" t="inlineStr"/>
      <c r="D14" s="76" t="inlineStr"/>
      <c r="E14" s="76" t="inlineStr"/>
      <c r="F14" s="76" t="inlineStr">
        <is>
          <t>❓ De cerut formatorului baza legală exactă. Art. 28 alin. (17) CF, citit strict, include pierderea în rezultatul fiscal</t>
        </is>
      </c>
    </row>
    <row r="15">
      <c r="A15" s="76" t="inlineStr">
        <is>
          <t>Preț &lt; valoarea rămasă, preț NEdocumentat</t>
        </is>
      </c>
      <c r="B15" s="76" t="inlineStr">
        <is>
          <t>diferența — nedeductibilă; risc de reîncadrare</t>
        </is>
      </c>
      <c r="C15" s="76" t="inlineStr"/>
      <c r="D15" s="76" t="inlineStr"/>
      <c r="E15" s="76" t="inlineStr"/>
      <c r="F15" s="76" t="inlineStr">
        <is>
          <t>art. 11 CF (reîncadrare) + art. 25 alin. (1) CF (scopul activității economice)</t>
        </is>
      </c>
    </row>
    <row r="16">
      <c r="A16" s="76" t="inlineStr">
        <is>
          <t>Bun integral amortizat, vândut sub piață</t>
        </is>
      </c>
      <c r="B16" s="76" t="inlineStr">
        <is>
          <t>risc de reîncadrare</t>
        </is>
      </c>
      <c r="C16" s="76" t="inlineStr"/>
      <c r="D16" s="76" t="inlineStr"/>
      <c r="E16" s="76" t="inlineStr"/>
      <c r="F16" s="76" t="inlineStr">
        <is>
          <t>Reper minim: valoare de piață sau valoare de fier vechi, documentat</t>
        </is>
      </c>
    </row>
    <row r="18">
      <c r="A18" s="75" t="inlineStr">
        <is>
          <t>Tabel C — Porți de calitate</t>
        </is>
      </c>
    </row>
    <row r="19">
      <c r="A19" s="76" t="inlineStr">
        <is>
          <t>• ΣDr = ΣCr pe fiecare bloc</t>
        </is>
      </c>
    </row>
    <row r="20">
      <c r="A20" s="76" t="inlineStr">
        <is>
          <t>• Sold 21x = 0 și sold 28x = 0 pentru bunul ieșit</t>
        </is>
      </c>
    </row>
    <row r="21">
      <c r="A21" s="76" t="inlineStr">
        <is>
          <t>• Amortizarea descărcată = soldul 28x din evidență, nu o estimare (C-13)</t>
        </is>
      </c>
    </row>
    <row r="22">
      <c r="A22" s="76" t="inlineStr">
        <is>
          <t>• Starea mijlocului fix schimbată în modul: vândut / casat</t>
        </is>
      </c>
    </row>
    <row r="23">
      <c r="A23" s="76" t="inlineStr">
        <is>
          <t>• Ieșirea din nota contabilă corelată cu modulul de imobilizări (C-15)</t>
        </is>
      </c>
    </row>
    <row r="24">
      <c r="A24" s="76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MOD_IESIRE_MF — Jurnale (generate automat)</t>
        </is>
      </c>
    </row>
    <row r="2">
      <c r="A2" s="74" t="inlineStr">
        <is>
          <t>Blocul de vânzare rămâne pe zero la casare, și invers pentru piesele recuperate.</t>
        </is>
      </c>
    </row>
    <row r="4">
      <c r="A4" s="75" t="inlineStr">
        <is>
          <t>Bloc 1 — Descărcarea amortizării cumulate</t>
        </is>
      </c>
    </row>
    <row r="5">
      <c r="A5" s="76" t="inlineStr">
        <is>
          <t>Data jurnal:</t>
        </is>
      </c>
      <c r="B5" s="76" t="str">
        <f>Declarații_IESIRE_MF!B7</f>
        <v>2026-07-31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Declarații_IESIRE_MF!B34</f>
        <v>2812</v>
      </c>
      <c r="C8" s="76">
        <f>Declarații_IESIRE_MF!B12</f>
        <v>30000</v>
      </c>
      <c r="D8" s="76" t="str">
        <f>"Descărcare amortizare cumulată " &amp; Declarații_IESIRE_MF!B43</f>
        <v>Descărcare amortizare cumulată — Clădire administrativă 2026-07-31</v>
      </c>
      <c r="E8" s="76" t="str">
        <f>Declarații_IESIRE_MF!B33</f>
        <v>212</v>
      </c>
      <c r="F8" s="76">
        <f>Declarații_IESIRE_MF!B12</f>
        <v>30000</v>
      </c>
      <c r="G8" s="76" t="str">
        <f>"Scoatere din evidență — partea amortizată " &amp; Declarații_IESIRE_MF!B43</f>
        <v>Scoatere din evidență — partea amortizată — Clădire administrativă 2026-07-31</v>
      </c>
    </row>
    <row r="10">
      <c r="A10" s="75" t="inlineStr">
        <is>
          <t>Bloc 2 — Valoarea rămasă pe cheltuială</t>
        </is>
      </c>
    </row>
    <row r="11">
      <c r="A11" s="78" t="inlineStr">
        <is>
          <t>Nr</t>
        </is>
      </c>
      <c r="B11" s="78" t="inlineStr">
        <is>
          <t>Cont Dr</t>
        </is>
      </c>
      <c r="C11" s="78" t="inlineStr">
        <is>
          <t>Sumă Dr</t>
        </is>
      </c>
      <c r="D11" s="78" t="inlineStr">
        <is>
          <t>Descriere Dr</t>
        </is>
      </c>
      <c r="E11" s="78" t="inlineStr">
        <is>
          <t>Cont Cr</t>
        </is>
      </c>
      <c r="F11" s="78" t="inlineStr">
        <is>
          <t>Sumă Cr</t>
        </is>
      </c>
      <c r="G11" s="78" t="inlineStr">
        <is>
          <t>Descriere Cr</t>
        </is>
      </c>
    </row>
    <row r="12">
      <c r="A12" s="76" t="n">
        <v>1</v>
      </c>
      <c r="B12" s="76">
        <f>Declarații_IESIRE_MF!B35</f>
        <v>6583</v>
      </c>
      <c r="C12" s="76">
        <f>Declarații_IESIRE_MF!B19</f>
        <v>70000</v>
      </c>
      <c r="D12" s="76" t="str">
        <f>"Valoare rămasă neamortizată " &amp; Declarații_IESIRE_MF!B43</f>
        <v>Valoare rămasă neamortizată — Clădire administrativă 2026-07-31</v>
      </c>
      <c r="E12" s="76" t="str">
        <f>Declarații_IESIRE_MF!B33</f>
        <v>212</v>
      </c>
      <c r="F12" s="76">
        <f>Declarații_IESIRE_MF!B19</f>
        <v>70000</v>
      </c>
      <c r="G12" s="76" t="str">
        <f>"Scoatere din evidență — partea neamortizată " &amp; Declarații_IESIRE_MF!B43</f>
        <v>Scoatere din evidență — partea neamortizată — Clădire administrativă 2026-07-31</v>
      </c>
    </row>
    <row r="14">
      <c r="A14" s="75" t="inlineStr">
        <is>
          <t>Bloc 3 — Vânzarea (doar la tip = VANZARE)</t>
        </is>
      </c>
    </row>
    <row r="15">
      <c r="A15" s="78" t="inlineStr">
        <is>
          <t>Nr</t>
        </is>
      </c>
      <c r="B15" s="78" t="inlineStr">
        <is>
          <t>Cont Dr</t>
        </is>
      </c>
      <c r="C15" s="78" t="inlineStr">
        <is>
          <t>Sumă Dr</t>
        </is>
      </c>
      <c r="D15" s="78" t="inlineStr">
        <is>
          <t>Descriere Dr</t>
        </is>
      </c>
      <c r="E15" s="78" t="inlineStr">
        <is>
          <t>Cont Cr</t>
        </is>
      </c>
      <c r="F15" s="78" t="inlineStr">
        <is>
          <t>Sumă Cr</t>
        </is>
      </c>
      <c r="G15" s="78" t="inlineStr">
        <is>
          <t>Descriere Cr</t>
        </is>
      </c>
    </row>
    <row r="16">
      <c r="A16" s="76" t="n">
        <v>1</v>
      </c>
      <c r="B16" s="76" t="str">
        <f>Declarații_IESIRE_MF!B37</f>
        <v>461</v>
      </c>
      <c r="C16" s="76">
        <f>IF(Declarații_IESIRE_MF!B8="VANZARE",Declarații_IESIRE_MF!B13,0)</f>
        <v>50000</v>
      </c>
      <c r="D16" s="76" t="str">
        <f>"Creanță din vânzare mijloc fix " &amp; Declarații_IESIRE_MF!B43</f>
        <v>Creanță din vânzare mijloc fix — Clădire administrativă 2026-07-31</v>
      </c>
      <c r="E16" s="76">
        <f>Declarații_IESIRE_MF!B36</f>
        <v>7583</v>
      </c>
      <c r="F16" s="76">
        <f>IF(Declarații_IESIRE_MF!B8="VANZARE",Declarații_IESIRE_MF!B13,0)</f>
        <v>50000</v>
      </c>
      <c r="G16" s="76" t="str">
        <f>"Venit din cedarea activelor " &amp; Declarații_IESIRE_MF!B43</f>
        <v>Venit din cedarea activelor — Clădire administrativă 2026-07-31</v>
      </c>
    </row>
    <row r="17">
      <c r="A17" s="76" t="n">
        <v>2</v>
      </c>
      <c r="B17" s="76" t="str">
        <f>Declarații_IESIRE_MF!B37</f>
        <v>461</v>
      </c>
      <c r="C17" s="76">
        <f>IF(Declarații_IESIRE_MF!B8="VANZARE",Declarații_IESIRE_MF!B20,0)</f>
        <v>10500</v>
      </c>
      <c r="D17" s="76" t="str">
        <f>"Creanță — TVA " &amp; Declarații_IESIRE_MF!B43</f>
        <v>Creanță — TVA — Clădire administrativă 2026-07-31</v>
      </c>
      <c r="E17" s="76">
        <f>Declarații_IESIRE_MF!B38</f>
        <v>4427</v>
      </c>
      <c r="F17" s="76">
        <f>IF(Declarații_IESIRE_MF!B8="VANZARE",Declarații_IESIRE_MF!B20,0)</f>
        <v>10500</v>
      </c>
      <c r="G17" s="76" t="str">
        <f>"TVA colectată " &amp; Declarații_IESIRE_MF!B43</f>
        <v>TVA colectată — Clădire administrativă 2026-07-31</v>
      </c>
    </row>
    <row r="19">
      <c r="A19" s="75" t="inlineStr">
        <is>
          <t>Bloc 4 — Piese recuperate din casare</t>
        </is>
      </c>
    </row>
    <row r="20">
      <c r="A20" s="78" t="inlineStr">
        <is>
          <t>Nr</t>
        </is>
      </c>
      <c r="B20" s="78" t="inlineStr">
        <is>
          <t>Cont Dr</t>
        </is>
      </c>
      <c r="C20" s="78" t="inlineStr">
        <is>
          <t>Sumă Dr</t>
        </is>
      </c>
      <c r="D20" s="78" t="inlineStr">
        <is>
          <t>Descriere Dr</t>
        </is>
      </c>
      <c r="E20" s="78" t="inlineStr">
        <is>
          <t>Cont Cr</t>
        </is>
      </c>
      <c r="F20" s="78" t="inlineStr">
        <is>
          <t>Sumă Cr</t>
        </is>
      </c>
      <c r="G20" s="78" t="inlineStr">
        <is>
          <t>Descriere Cr</t>
        </is>
      </c>
    </row>
    <row r="21">
      <c r="A21" s="76" t="n">
        <v>1</v>
      </c>
      <c r="B21" s="76">
        <f>Declarații_IESIRE_MF!B39</f>
        <v>3024</v>
      </c>
      <c r="C21" s="76">
        <f>Declarații_IESIRE_MF!B15</f>
        <v>0</v>
      </c>
      <c r="D21" s="76" t="str">
        <f>"Piese recuperate, evaluate de comisia tehnică " &amp; Declarații_IESIRE_MF!B43</f>
        <v>Piese recuperate, evaluate de comisia tehnică — Clădire administrativă 2026-07-31</v>
      </c>
      <c r="E21" s="76">
        <f>Declarații_IESIRE_MF!B40</f>
        <v>7588</v>
      </c>
      <c r="F21" s="76">
        <f>Declarații_IESIRE_MF!B15</f>
        <v>0</v>
      </c>
      <c r="G21" s="76" t="str">
        <f>"Venit din piese recuperate " &amp; Declarații_IESIRE_MF!B43</f>
        <v>Venit din piese recuperate — Clădire administrativă 2026-07-31</v>
      </c>
    </row>
    <row r="23">
      <c r="A23" s="75" t="inlineStr">
        <is>
          <t>Sumar și controale</t>
        </is>
      </c>
    </row>
    <row r="24">
      <c r="A24" s="76" t="inlineStr">
        <is>
          <t>Total Dr</t>
        </is>
      </c>
      <c r="B24" s="76">
        <f>C8+C12+C16+C17+C21</f>
        <v>160500</v>
      </c>
    </row>
    <row r="25">
      <c r="A25" s="76" t="inlineStr">
        <is>
          <t>Total Cr</t>
        </is>
      </c>
      <c r="B25" s="76">
        <f>F8+F12+F16+F17+F21</f>
        <v>160500</v>
      </c>
    </row>
    <row r="26">
      <c r="A26" s="76" t="inlineStr">
        <is>
          <t>Check Σ (structural)</t>
        </is>
      </c>
      <c r="B26" s="76">
        <f>B24-B25</f>
        <v>0</v>
      </c>
      <c r="C26" s="76" t="str">
        <f>IF(ABS(B24-B25)&lt;0.01,"OK — notele se închid","EROARE")</f>
        <v>OK — notele se închid</v>
      </c>
    </row>
    <row r="27">
      <c r="A27" s="76" t="inlineStr">
        <is>
          <t>Check stingere integrală 21x</t>
        </is>
      </c>
      <c r="B27" s="76">
        <f>F8+F12-Declarații_IESIRE_MF!B11</f>
        <v>0</v>
      </c>
      <c r="C27" s="76" t="str">
        <f>IF(ABS(F8+F12-Declarații_IESIRE_MF!B11)&lt;0.01,"OK — 21x se stinge integral","EROARE — rămâne sold pe mijlocul ieșit")</f>
        <v>OK — 21x se stinge integral</v>
      </c>
    </row>
    <row r="28">
      <c r="A28" s="76" t="inlineStr">
        <is>
          <t>Check deductibilitate (informativ, nu blochează)</t>
        </is>
      </c>
      <c r="B28" s="76">
        <f>Declarații_IESIRE_MF!B23</f>
        <v>20000</v>
      </c>
      <c r="C28" s="76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3" t="inlineStr">
        <is>
          <t>MOD_IESIRE_MF — Notă pentru import (1 rând = 1 înregistrare)</t>
        </is>
      </c>
    </row>
    <row r="2">
      <c r="A2" s="74" t="inlineStr">
        <is>
          <t>Filtrează pe Include = DA. Rândurile pe zero corespund blocului inactiv pentru tipul de ieșire ales.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Descărcare amortizare</t>
        </is>
      </c>
      <c r="C5" s="76" t="str">
        <f>Declarații_IESIRE_MF!B7</f>
        <v>2026-07-31</v>
      </c>
      <c r="D5" s="76" t="str">
        <f>Jurnale_IESIRE_MF!B8</f>
        <v>2812</v>
      </c>
      <c r="E5" s="76" t="str">
        <f>Jurnale_IESIRE_MF!E8</f>
        <v>212</v>
      </c>
      <c r="F5" s="76">
        <f>Jurnale_IESIRE_MF!C8</f>
        <v>30000</v>
      </c>
      <c r="G5" s="76" t="str">
        <f>Jurnale_IESIRE_MF!D8</f>
        <v>Descărcare amortizare cumulată — Clădire administrativă 2026-07-31</v>
      </c>
      <c r="H5" s="76" t="inlineStr">
        <is>
          <t>Notă de scoatere din evidență</t>
        </is>
      </c>
      <c r="I5" s="39" t="str">
        <f>IF(F5&gt;0.001,"DA","NU")</f>
        <v>DA</v>
      </c>
    </row>
    <row r="6">
      <c r="A6" s="76" t="n">
        <v>2</v>
      </c>
      <c r="B6" s="76" t="inlineStr">
        <is>
          <t>Bloc 2 — Valoare rămasă</t>
        </is>
      </c>
      <c r="C6" s="76" t="str">
        <f>Declarații_IESIRE_MF!B7</f>
        <v>2026-07-31</v>
      </c>
      <c r="D6" s="76">
        <f>Jurnale_IESIRE_MF!B12</f>
        <v>6583</v>
      </c>
      <c r="E6" s="76" t="str">
        <f>Jurnale_IESIRE_MF!E12</f>
        <v>212</v>
      </c>
      <c r="F6" s="76">
        <f>Jurnale_IESIRE_MF!C12</f>
        <v>70000</v>
      </c>
      <c r="G6" s="76" t="str">
        <f>Jurnale_IESIRE_MF!D12</f>
        <v>Valoare rămasă neamortizată — Clădire administrativă 2026-07-31</v>
      </c>
      <c r="H6" s="76" t="inlineStr">
        <is>
          <t>Notă de scoatere din evidență</t>
        </is>
      </c>
      <c r="I6" s="39" t="str">
        <f>IF(F6&gt;0.001,"DA","NU")</f>
        <v>DA</v>
      </c>
    </row>
    <row r="7">
      <c r="A7" s="76" t="n">
        <v>3</v>
      </c>
      <c r="B7" s="76" t="inlineStr">
        <is>
          <t>Bloc 3 — Vânzare</t>
        </is>
      </c>
      <c r="C7" s="76" t="str">
        <f>Declarații_IESIRE_MF!B7</f>
        <v>2026-07-31</v>
      </c>
      <c r="D7" s="76" t="str">
        <f>Jurnale_IESIRE_MF!B16</f>
        <v>461</v>
      </c>
      <c r="E7" s="76">
        <f>Jurnale_IESIRE_MF!E16</f>
        <v>7583</v>
      </c>
      <c r="F7" s="76">
        <f>Jurnale_IESIRE_MF!C16</f>
        <v>50000</v>
      </c>
      <c r="G7" s="76" t="str">
        <f>Jurnale_IESIRE_MF!D16</f>
        <v>Creanță din vânzare mijloc fix — Clădire administrativă 2026-07-31</v>
      </c>
      <c r="H7" s="76" t="inlineStr">
        <is>
          <t>Factură de vânzare</t>
        </is>
      </c>
      <c r="I7" s="39" t="str">
        <f>IF(F7&gt;0.001,"DA","NU")</f>
        <v>DA</v>
      </c>
    </row>
    <row r="8">
      <c r="A8" s="76" t="n">
        <v>4</v>
      </c>
      <c r="B8" s="76" t="inlineStr">
        <is>
          <t>Bloc 3 — TVA</t>
        </is>
      </c>
      <c r="C8" s="76" t="str">
        <f>Declarații_IESIRE_MF!B7</f>
        <v>2026-07-31</v>
      </c>
      <c r="D8" s="76" t="str">
        <f>Jurnale_IESIRE_MF!B17</f>
        <v>461</v>
      </c>
      <c r="E8" s="76">
        <f>Jurnale_IESIRE_MF!E17</f>
        <v>4427</v>
      </c>
      <c r="F8" s="76">
        <f>Jurnale_IESIRE_MF!C17</f>
        <v>10500</v>
      </c>
      <c r="G8" s="76" t="str">
        <f>Jurnale_IESIRE_MF!D17</f>
        <v>Creanță — TVA — Clădire administrativă 2026-07-31</v>
      </c>
      <c r="H8" s="76" t="inlineStr">
        <is>
          <t>Factură de vânzare</t>
        </is>
      </c>
      <c r="I8" s="39" t="str">
        <f>IF(F8&gt;0.001,"DA","NU")</f>
        <v>DA</v>
      </c>
    </row>
    <row r="9">
      <c r="A9" s="76" t="n">
        <v>5</v>
      </c>
      <c r="B9" s="76" t="inlineStr">
        <is>
          <t>Bloc 4 — Piese recuperate</t>
        </is>
      </c>
      <c r="C9" s="76" t="str">
        <f>Declarații_IESIRE_MF!B7</f>
        <v>2026-07-31</v>
      </c>
      <c r="D9" s="76">
        <f>Jurnale_IESIRE_MF!B21</f>
        <v>3024</v>
      </c>
      <c r="E9" s="76">
        <f>Jurnale_IESIRE_MF!E21</f>
        <v>7588</v>
      </c>
      <c r="F9" s="76">
        <f>Jurnale_IESIRE_MF!C21</f>
        <v>0</v>
      </c>
      <c r="G9" s="76" t="str">
        <f>Jurnale_IESIRE_MF!D21</f>
        <v>Piese recuperate, evaluate de comisia tehnică — Clădire administrativă 2026-07-31</v>
      </c>
      <c r="H9" s="76" t="inlineStr">
        <is>
          <t>PV scoatere din funcțiune + listă comisie</t>
        </is>
      </c>
      <c r="I9" s="39" t="str">
        <f>IF(F9&gt;0.001,"DA","NU")</f>
        <v>NU</v>
      </c>
    </row>
    <row r="11">
      <c r="A11" s="76" t="inlineStr">
        <is>
          <t>Rânduri de importat (Include=DA)</t>
        </is>
      </c>
      <c r="B11" s="76">
        <f>COUNTIF(I5:I9,"DA")</f>
        <v>4</v>
      </c>
    </row>
    <row r="12">
      <c r="A12" s="76" t="inlineStr">
        <is>
          <t>Check global (trebuie 0)</t>
        </is>
      </c>
      <c r="B12" s="76">
        <f>Jurnale_IESIRE_MF!B24-Jurnale_IESIRE_MF!B25</f>
        <v>0</v>
      </c>
      <c r="C12" s="76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3" t="inlineStr">
        <is>
          <t>MOD_SALARII — Declarații (input)</t>
        </is>
      </c>
    </row>
    <row r="2">
      <c r="A2" s="7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notei de costuri (ultima zi a lunii)</t>
        </is>
      </c>
      <c r="B8" s="77" t="inlineStr">
        <is>
          <t>2026-07-31</t>
        </is>
      </c>
      <c r="C8" s="74" t="inlineStr">
        <is>
          <t>Costurile se înregistrează la închiderea lunii</t>
        </is>
      </c>
    </row>
    <row r="9">
      <c r="A9" s="76" t="inlineStr">
        <is>
          <t>Data plăților (din extras)</t>
        </is>
      </c>
      <c r="B9" s="77" t="inlineStr">
        <is>
          <t>2026-08-10</t>
        </is>
      </c>
      <c r="C9" s="74" t="inlineStr">
        <is>
          <t>Netul și taxele se plătesc în luna următoare</t>
        </is>
      </c>
    </row>
    <row r="10">
      <c r="A10" s="76" t="inlineStr">
        <is>
          <t>Data plății avansului</t>
        </is>
      </c>
      <c r="B10" s="77" t="inlineStr">
        <is>
          <t>2026-07-20</t>
        </is>
      </c>
    </row>
    <row r="12">
      <c r="A12" s="75" t="inlineStr">
        <is>
          <t>2. Cote (din Parametri — se schimbă doar când se schimbă legea)</t>
        </is>
      </c>
    </row>
    <row r="13">
      <c r="A13" s="76" t="inlineStr">
        <is>
          <t>CAS (pensie), pe brut</t>
        </is>
      </c>
      <c r="B13" s="76">
        <f>param_cota_cas</f>
        <v>0.25</v>
      </c>
    </row>
    <row r="14">
      <c r="A14" s="76" t="inlineStr">
        <is>
          <t>CASS (sănătate), pe brut + tichete</t>
        </is>
      </c>
      <c r="B14" s="76">
        <f>param_cota_cass</f>
        <v>0.1</v>
      </c>
    </row>
    <row r="15">
      <c r="A15" s="76" t="inlineStr">
        <is>
          <t>Impozit pe venit, pe venit net + tichete</t>
        </is>
      </c>
      <c r="B15" s="76">
        <f>param_cota_impozit</f>
        <v>0.1</v>
      </c>
    </row>
    <row r="16">
      <c r="A16" s="76" t="inlineStr">
        <is>
          <t>CAM (asigurare de muncă), pe brut</t>
        </is>
      </c>
      <c r="B16" s="76">
        <f>param_cota_cam</f>
        <v>0.0225</v>
      </c>
    </row>
    <row r="18">
      <c r="A18" s="75" t="inlineStr">
        <is>
          <t>3. Registrul angajaților</t>
        </is>
      </c>
    </row>
    <row r="19">
      <c r="A19" s="7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78" t="inlineStr">
        <is>
          <t>Nr.</t>
        </is>
      </c>
      <c r="B20" s="78" t="inlineStr">
        <is>
          <t>Angajat</t>
        </is>
      </c>
      <c r="C20" s="78" t="inlineStr">
        <is>
          <t>Brut</t>
        </is>
      </c>
      <c r="D20" s="78" t="inlineStr">
        <is>
          <t>Tichete</t>
        </is>
      </c>
      <c r="E20" s="78" t="inlineStr">
        <is>
          <t>Avans</t>
        </is>
      </c>
      <c r="F20" s="78" t="inlineStr">
        <is>
          <t>CAS</t>
        </is>
      </c>
      <c r="G20" s="78" t="inlineStr">
        <is>
          <t>CASS</t>
        </is>
      </c>
      <c r="H20" s="78" t="inlineStr">
        <is>
          <t>Venit net</t>
        </is>
      </c>
      <c r="I20" s="78" t="inlineStr">
        <is>
          <t>Impozit</t>
        </is>
      </c>
      <c r="J20" s="78" t="inlineStr">
        <is>
          <t>Salariu net</t>
        </is>
      </c>
      <c r="K20" s="78" t="inlineStr">
        <is>
          <t>Total de plată</t>
        </is>
      </c>
      <c r="L20" s="78" t="inlineStr">
        <is>
          <t>CAM</t>
        </is>
      </c>
    </row>
    <row r="21">
      <c r="A21" s="76" t="n">
        <v>1</v>
      </c>
      <c r="B21" s="77" t="inlineStr">
        <is>
          <t>CHIRIACESCU DIANA-ELENA</t>
        </is>
      </c>
      <c r="C21" s="77" t="n">
        <v>24610</v>
      </c>
      <c r="D21" s="77" t="n">
        <v>690</v>
      </c>
      <c r="E21" s="77" t="n">
        <v>0</v>
      </c>
      <c r="F21" s="76">
        <f>IF($C21="","",ROUND($C21*B13,0))</f>
        <v>6153</v>
      </c>
      <c r="G21" s="76">
        <f>IF($C21="","",ROUND(($C21+$D21)*B14,0))</f>
        <v>2530</v>
      </c>
      <c r="H21" s="76">
        <f>IF($C21="","",$C21-$F21-$G21)</f>
        <v>15927</v>
      </c>
      <c r="I21" s="76">
        <f>IF($C21="","",ROUND(($H21+$D21)*B15,0))</f>
        <v>1662</v>
      </c>
      <c r="J21" s="76">
        <f>IF($C21="","",$H21-$I21)</f>
        <v>14265</v>
      </c>
      <c r="K21" s="76">
        <f>IF($C21="","",$J21-$E21)</f>
        <v>14265</v>
      </c>
      <c r="L21" s="76">
        <f>IF($C21="","",ROUND($C21*B16,0))</f>
        <v>554</v>
      </c>
    </row>
    <row r="22">
      <c r="A22" s="76" t="n">
        <v>2</v>
      </c>
      <c r="B22" s="77" t="inlineStr">
        <is>
          <t>NEAGU VLAD-FLORIAN</t>
        </is>
      </c>
      <c r="C22" s="77" t="n">
        <v>12513</v>
      </c>
      <c r="D22" s="77" t="n">
        <v>480</v>
      </c>
      <c r="E22" s="77" t="n">
        <v>0</v>
      </c>
      <c r="F22" s="76">
        <f>IF($C22="","",ROUND($C22*B13,0))</f>
        <v>3128</v>
      </c>
      <c r="G22" s="76">
        <f>IF($C22="","",ROUND(($C22+$D22)*B14,0))</f>
        <v>1299</v>
      </c>
      <c r="H22" s="76">
        <f>IF($C22="","",$C22-$F22-$G22)</f>
        <v>8086</v>
      </c>
      <c r="I22" s="76">
        <f>IF($C22="","",ROUND(($H22+$D22)*B15,0))</f>
        <v>857</v>
      </c>
      <c r="J22" s="76">
        <f>IF($C22="","",$H22-$I22)</f>
        <v>7229</v>
      </c>
      <c r="K22" s="76">
        <f>IF($C22="","",$J22-$E22)</f>
        <v>7229</v>
      </c>
      <c r="L22" s="76">
        <f>IF($C22="","",ROUND($C22*B16,0))</f>
        <v>282</v>
      </c>
    </row>
    <row r="23">
      <c r="A23" s="76" t="n">
        <v>3</v>
      </c>
      <c r="B23" s="77" t="inlineStr">
        <is>
          <t>POPESCU IOANA-GABRIELA</t>
        </is>
      </c>
      <c r="C23" s="77" t="n">
        <v>9627</v>
      </c>
      <c r="D23" s="77" t="n">
        <v>690</v>
      </c>
      <c r="E23" s="77" t="n">
        <v>0</v>
      </c>
      <c r="F23" s="76">
        <f>IF($C23="","",ROUND($C23*B13,0))</f>
        <v>2407</v>
      </c>
      <c r="G23" s="76">
        <f>IF($C23="","",ROUND(($C23+$D23)*B14,0))</f>
        <v>1032</v>
      </c>
      <c r="H23" s="76">
        <f>IF($C23="","",$C23-$F23-$G23)</f>
        <v>6188</v>
      </c>
      <c r="I23" s="76">
        <f>IF($C23="","",ROUND(($H23+$D23)*B15,0))</f>
        <v>688</v>
      </c>
      <c r="J23" s="76">
        <f>IF($C23="","",$H23-$I23)</f>
        <v>5500</v>
      </c>
      <c r="K23" s="76">
        <f>IF($C23="","",$J23-$E23)</f>
        <v>5500</v>
      </c>
      <c r="L23" s="76">
        <f>IF($C23="","",ROUND($C23*B16,0))</f>
        <v>217</v>
      </c>
    </row>
    <row r="24">
      <c r="A24" s="76" t="n">
        <v>4</v>
      </c>
      <c r="B24" s="77" t="inlineStr">
        <is>
          <t>SASCAU COSMIN-BOGDAN</t>
        </is>
      </c>
      <c r="C24" s="77" t="n">
        <v>24127</v>
      </c>
      <c r="D24" s="77" t="n">
        <v>690</v>
      </c>
      <c r="E24" s="77" t="n">
        <v>0</v>
      </c>
      <c r="F24" s="76">
        <f>IF($C24="","",ROUND($C24*B13,0))</f>
        <v>6032</v>
      </c>
      <c r="G24" s="76">
        <f>IF($C24="","",ROUND(($C24+$D24)*B14,0))</f>
        <v>2482</v>
      </c>
      <c r="H24" s="76">
        <f>IF($C24="","",$C24-$F24-$G24)</f>
        <v>15613</v>
      </c>
      <c r="I24" s="76">
        <f>IF($C24="","",ROUND(($H24+$D24)*B15,0))</f>
        <v>1630</v>
      </c>
      <c r="J24" s="76">
        <f>IF($C24="","",$H24-$I24)</f>
        <v>13983</v>
      </c>
      <c r="K24" s="76">
        <f>IF($C24="","",$J24-$E24)</f>
        <v>13983</v>
      </c>
      <c r="L24" s="76">
        <f>IF($C24="","",ROUND($C24*B16,0))</f>
        <v>543</v>
      </c>
    </row>
    <row r="25">
      <c r="A25" s="76" t="n">
        <v>5</v>
      </c>
      <c r="B25" s="77" t="inlineStr"/>
      <c r="C25" s="77" t="n"/>
      <c r="D25" s="77" t="n"/>
      <c r="E25" s="77" t="n"/>
      <c r="F25" s="76">
        <f>IF($C25="","",ROUND($C25*B13,0))</f>
        <v/>
      </c>
      <c r="G25" s="76">
        <f>IF($C25="","",ROUND(($C25+$D25)*B14,0))</f>
        <v/>
      </c>
      <c r="H25" s="76">
        <f>IF($C25="","",$C25-$F25-$G25)</f>
        <v/>
      </c>
      <c r="I25" s="76">
        <f>IF($C25="","",ROUND(($H25+$D25)*B15,0))</f>
        <v/>
      </c>
      <c r="J25" s="76">
        <f>IF($C25="","",$H25-$I25)</f>
        <v/>
      </c>
      <c r="K25" s="76">
        <f>IF($C25="","",$J25-$E25)</f>
        <v/>
      </c>
      <c r="L25" s="76">
        <f>IF($C25="","",ROUND($C25*B16,0))</f>
        <v/>
      </c>
    </row>
    <row r="26">
      <c r="A26" s="76" t="n">
        <v>6</v>
      </c>
      <c r="B26" s="77" t="inlineStr"/>
      <c r="C26" s="77" t="n"/>
      <c r="D26" s="77" t="n"/>
      <c r="E26" s="77" t="n"/>
      <c r="F26" s="76">
        <f>IF($C26="","",ROUND($C26*B13,0))</f>
        <v/>
      </c>
      <c r="G26" s="76">
        <f>IF($C26="","",ROUND(($C26+$D26)*B14,0))</f>
        <v/>
      </c>
      <c r="H26" s="76">
        <f>IF($C26="","",$C26-$F26-$G26)</f>
        <v/>
      </c>
      <c r="I26" s="76">
        <f>IF($C26="","",ROUND(($H26+$D26)*B15,0))</f>
        <v/>
      </c>
      <c r="J26" s="76">
        <f>IF($C26="","",$H26-$I26)</f>
        <v/>
      </c>
      <c r="K26" s="76">
        <f>IF($C26="","",$J26-$E26)</f>
        <v/>
      </c>
      <c r="L26" s="76">
        <f>IF($C26="","",ROUND($C26*B16,0))</f>
        <v/>
      </c>
    </row>
    <row r="27">
      <c r="A27" s="76" t="n">
        <v>7</v>
      </c>
      <c r="B27" s="77" t="inlineStr"/>
      <c r="C27" s="77" t="n"/>
      <c r="D27" s="77" t="n"/>
      <c r="E27" s="77" t="n"/>
      <c r="F27" s="76">
        <f>IF($C27="","",ROUND($C27*B13,0))</f>
        <v/>
      </c>
      <c r="G27" s="76">
        <f>IF($C27="","",ROUND(($C27+$D27)*B14,0))</f>
        <v/>
      </c>
      <c r="H27" s="76">
        <f>IF($C27="","",$C27-$F27-$G27)</f>
        <v/>
      </c>
      <c r="I27" s="76">
        <f>IF($C27="","",ROUND(($H27+$D27)*B15,0))</f>
        <v/>
      </c>
      <c r="J27" s="76">
        <f>IF($C27="","",$H27-$I27)</f>
        <v/>
      </c>
      <c r="K27" s="76">
        <f>IF($C27="","",$J27-$E27)</f>
        <v/>
      </c>
      <c r="L27" s="76">
        <f>IF($C27="","",ROUND($C27*B16,0))</f>
        <v/>
      </c>
    </row>
    <row r="28">
      <c r="A28" s="76" t="n">
        <v>8</v>
      </c>
      <c r="B28" s="77" t="inlineStr"/>
      <c r="C28" s="77" t="n"/>
      <c r="D28" s="77" t="n"/>
      <c r="E28" s="77" t="n"/>
      <c r="F28" s="76">
        <f>IF($C28="","",ROUND($C28*B13,0))</f>
        <v/>
      </c>
      <c r="G28" s="76">
        <f>IF($C28="","",ROUND(($C28+$D28)*B14,0))</f>
        <v/>
      </c>
      <c r="H28" s="76">
        <f>IF($C28="","",$C28-$F28-$G28)</f>
        <v/>
      </c>
      <c r="I28" s="76">
        <f>IF($C28="","",ROUND(($H28+$D28)*B15,0))</f>
        <v/>
      </c>
      <c r="J28" s="76">
        <f>IF($C28="","",$H28-$I28)</f>
        <v/>
      </c>
      <c r="K28" s="76">
        <f>IF($C28="","",$J28-$E28)</f>
        <v/>
      </c>
      <c r="L28" s="76">
        <f>IF($C28="","",ROUND($C28*B16,0))</f>
        <v/>
      </c>
    </row>
    <row r="29">
      <c r="A29" s="78" t="inlineStr"/>
      <c r="B29" s="78" t="inlineStr">
        <is>
          <t>TOTAL</t>
        </is>
      </c>
      <c r="C29" s="78">
        <f>SUM(C21:C28)</f>
        <v>70877</v>
      </c>
      <c r="D29" s="78">
        <f>SUM(D21:D28)</f>
        <v>2550</v>
      </c>
      <c r="E29" s="78">
        <f>SUM(E21:E28)</f>
        <v>0</v>
      </c>
      <c r="F29" s="78">
        <f>SUM(F21:F28)</f>
        <v>17720</v>
      </c>
      <c r="G29" s="78">
        <f>SUM(G21:G28)</f>
        <v>7343</v>
      </c>
      <c r="H29" s="78">
        <f>SUM(H21:H28)</f>
        <v>45814</v>
      </c>
      <c r="I29" s="78">
        <f>SUM(I21:I28)</f>
        <v>4837</v>
      </c>
      <c r="J29" s="78">
        <f>SUM(J21:J28)</f>
        <v>40977</v>
      </c>
      <c r="K29" s="78">
        <f>SUM(K21:K28)</f>
        <v>40977</v>
      </c>
      <c r="L29" s="78">
        <f>SUM(L21:L28)</f>
        <v>1596</v>
      </c>
    </row>
    <row r="31">
      <c r="A31" s="75" t="inlineStr">
        <is>
          <t>4. Conturi</t>
        </is>
      </c>
    </row>
    <row r="32">
      <c r="A32" s="76" t="inlineStr">
        <is>
          <t>Cont cheltuieli cu salariile</t>
        </is>
      </c>
      <c r="B32" s="77" t="n">
        <v>641</v>
      </c>
    </row>
    <row r="33">
      <c r="A33" s="76" t="inlineStr">
        <is>
          <t>Cont personal — salarii datorate</t>
        </is>
      </c>
      <c r="B33" s="77" t="n">
        <v>421</v>
      </c>
    </row>
    <row r="34">
      <c r="A34" s="76" t="inlineStr">
        <is>
          <t>Cont avansuri acordate personalului</t>
        </is>
      </c>
      <c r="B34" s="77" t="n">
        <v>425</v>
      </c>
    </row>
    <row r="35">
      <c r="A35" s="76" t="inlineStr">
        <is>
          <t>Cont CAS reținut</t>
        </is>
      </c>
      <c r="B35" s="77" t="n">
        <v>4315</v>
      </c>
    </row>
    <row r="36">
      <c r="A36" s="76" t="inlineStr">
        <is>
          <t>Cont CASS reținut</t>
        </is>
      </c>
      <c r="B36" s="77" t="n">
        <v>4316</v>
      </c>
    </row>
    <row r="37">
      <c r="A37" s="76" t="inlineStr">
        <is>
          <t>Cont impozit pe venit reținut</t>
        </is>
      </c>
      <c r="B37" s="77" t="n">
        <v>444</v>
      </c>
    </row>
    <row r="38">
      <c r="A38" s="76" t="inlineStr">
        <is>
          <t>Cont cheltuieli cu CAM</t>
        </is>
      </c>
      <c r="B38" s="77" t="n">
        <v>646</v>
      </c>
    </row>
    <row r="39">
      <c r="A39" s="76" t="inlineStr">
        <is>
          <t>Cont CAM datorat bugetului</t>
        </is>
      </c>
      <c r="B39" s="77" t="n">
        <v>436</v>
      </c>
    </row>
    <row r="40">
      <c r="A40" s="76" t="inlineStr">
        <is>
          <t>Cont cheltuieli cu tichetele</t>
        </is>
      </c>
      <c r="B40" s="77" t="n">
        <v>642</v>
      </c>
    </row>
    <row r="41">
      <c r="A41" s="76" t="inlineStr">
        <is>
          <t>Cont tichete în gestiune</t>
        </is>
      </c>
      <c r="B41" s="77" t="n">
        <v>5328</v>
      </c>
    </row>
    <row r="42">
      <c r="A42" s="76" t="inlineStr">
        <is>
          <t>Cont trezorerie</t>
        </is>
      </c>
      <c r="B42" s="77" t="inlineStr">
        <is>
          <t>5121</t>
        </is>
      </c>
    </row>
    <row r="44">
      <c r="A44" s="75" t="inlineStr">
        <is>
          <t>5. Controale</t>
        </is>
      </c>
    </row>
    <row r="45">
      <c r="A45" s="76" t="inlineStr">
        <is>
          <t>Check brut = net + rețineri</t>
        </is>
      </c>
      <c r="B45" s="76">
        <f>$C$29-($J$29+$F$29+$G$29+$I$29)</f>
        <v>0</v>
      </c>
      <c r="C45" s="76" t="str">
        <f>IF(ABS(B45)&lt;0.51,"OK — brutul se descompune integral","EROARE — rotunjirile nu se închid")</f>
        <v>OK — brutul se descompune integral</v>
      </c>
    </row>
    <row r="46">
      <c r="A46" s="76" t="inlineStr">
        <is>
          <t>Check total de plată = net − avans</t>
        </is>
      </c>
      <c r="B46" s="76">
        <f>$K$29-($J$29-$E$29)</f>
        <v>0</v>
      </c>
      <c r="C46" s="76" t="str">
        <f>IF(ABS(B46)&lt;0.01,"OK","EROARE")</f>
        <v>OK</v>
      </c>
    </row>
    <row r="47">
      <c r="A47" s="76" t="inlineStr">
        <is>
          <t>Reminder bază CASS</t>
        </is>
      </c>
      <c r="B47" s="76">
        <f>$D$29</f>
        <v>2550</v>
      </c>
      <c r="C47" s="76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76" t="inlineStr">
        <is>
          <t>Reminder deducere personală</t>
        </is>
      </c>
      <c r="B48" s="76" t="str">
        <f>"—"</f>
        <v>—</v>
      </c>
      <c r="C48" s="76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75" t="inlineStr">
        <is>
          <t>6. Sufix generat</t>
        </is>
      </c>
    </row>
    <row r="51">
      <c r="A51" s="76" t="inlineStr">
        <is>
          <t>Sufix</t>
        </is>
      </c>
      <c r="B51" s="76" t="str">
        <f>" - " &amp; B7</f>
        <v> - 2026-07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3" t="inlineStr">
        <is>
          <t>MOD_SALARII — Reguli (tabele fixe)</t>
        </is>
      </c>
    </row>
    <row r="2">
      <c r="A2" s="74" t="inlineStr">
        <is>
          <t>Regula fiscală e dată, nu formulă. Se editează doar când se schimbă legea.</t>
        </is>
      </c>
    </row>
    <row r="4">
      <c r="A4" s="75" t="inlineStr">
        <is>
          <t>Tabel A — Contribuții și baze</t>
        </is>
      </c>
    </row>
    <row r="5">
      <c r="A5" s="78" t="inlineStr">
        <is>
          <t>Element</t>
        </is>
      </c>
      <c r="B5" s="78" t="inlineStr">
        <is>
          <t>Bază de calcul</t>
        </is>
      </c>
      <c r="C5" s="78" t="inlineStr">
        <is>
          <t>Cotă</t>
        </is>
      </c>
      <c r="D5" s="78" t="inlineStr">
        <is>
          <t>Cine suportă</t>
        </is>
      </c>
      <c r="E5" s="78" t="inlineStr">
        <is>
          <t>Cont</t>
        </is>
      </c>
      <c r="F5" s="78" t="inlineStr">
        <is>
          <t>Temei</t>
        </is>
      </c>
    </row>
    <row r="6">
      <c r="A6" s="76" t="inlineStr">
        <is>
          <t>CAS — pensie</t>
        </is>
      </c>
      <c r="B6" s="76" t="inlineStr">
        <is>
          <t>salariul brut</t>
        </is>
      </c>
      <c r="C6" s="76" t="inlineStr">
        <is>
          <t>25%</t>
        </is>
      </c>
      <c r="D6" s="76" t="inlineStr">
        <is>
          <t>angajatul (reținut)</t>
        </is>
      </c>
      <c r="E6" s="76" t="inlineStr">
        <is>
          <t>4315</t>
        </is>
      </c>
      <c r="F6" s="76" t="inlineStr">
        <is>
          <t>art. 138 Cod fiscal</t>
        </is>
      </c>
    </row>
    <row r="7">
      <c r="A7" s="76" t="inlineStr">
        <is>
          <t>CASS — sănătate</t>
        </is>
      </c>
      <c r="B7" s="76" t="inlineStr">
        <is>
          <t>brut + tichete de masă</t>
        </is>
      </c>
      <c r="C7" s="76" t="inlineStr">
        <is>
          <t>10%</t>
        </is>
      </c>
      <c r="D7" s="76" t="inlineStr">
        <is>
          <t>angajatul (reținut)</t>
        </is>
      </c>
      <c r="E7" s="76" t="inlineStr">
        <is>
          <t>4316</t>
        </is>
      </c>
      <c r="F7" s="76" t="inlineStr">
        <is>
          <t>art. 156 CF; tichetele intră în bază din 2024</t>
        </is>
      </c>
    </row>
    <row r="8">
      <c r="A8" s="76" t="inlineStr">
        <is>
          <t>Impozit pe venit</t>
        </is>
      </c>
      <c r="B8" s="76" t="inlineStr">
        <is>
          <t>venit net + tichete</t>
        </is>
      </c>
      <c r="C8" s="76" t="inlineStr">
        <is>
          <t>10%</t>
        </is>
      </c>
      <c r="D8" s="76" t="inlineStr">
        <is>
          <t>angajatul (reținut)</t>
        </is>
      </c>
      <c r="E8" s="76" t="inlineStr">
        <is>
          <t>444</t>
        </is>
      </c>
      <c r="F8" s="76" t="inlineStr">
        <is>
          <t>art. 78 CF</t>
        </is>
      </c>
    </row>
    <row r="9">
      <c r="A9" s="76" t="inlineStr">
        <is>
          <t>CAM — asigurare de muncă</t>
        </is>
      </c>
      <c r="B9" s="76" t="inlineStr">
        <is>
          <t>salariul brut</t>
        </is>
      </c>
      <c r="C9" s="76" t="inlineStr">
        <is>
          <t>2,25%</t>
        </is>
      </c>
      <c r="D9" s="76" t="inlineStr">
        <is>
          <t>angajatorul (cheltuială)</t>
        </is>
      </c>
      <c r="E9" s="76" t="inlineStr">
        <is>
          <t>436</t>
        </is>
      </c>
      <c r="F9" s="76" t="inlineStr">
        <is>
          <t>art. 220^3 CF</t>
        </is>
      </c>
    </row>
    <row r="10">
      <c r="A10" s="76" t="inlineStr">
        <is>
          <t>Tichete de masă</t>
        </is>
      </c>
      <c r="B10" s="76" t="inlineStr">
        <is>
          <t>valoare nominală</t>
        </is>
      </c>
      <c r="C10" s="76" t="inlineStr">
        <is>
          <t>—</t>
        </is>
      </c>
      <c r="D10" s="76" t="inlineStr">
        <is>
          <t>angajatorul (cheltuială)</t>
        </is>
      </c>
      <c r="E10" s="76" t="inlineStr">
        <is>
          <t>642 / 5328</t>
        </is>
      </c>
      <c r="F10" s="76" t="inlineStr">
        <is>
          <t>nu intră în baza CAS; intră în CASS și impozit</t>
        </is>
      </c>
    </row>
    <row r="12">
      <c r="A12" s="75" t="inlineStr">
        <is>
          <t>Tabel B — Ordinea înregistrărilor</t>
        </is>
      </c>
    </row>
    <row r="13">
      <c r="A13" s="78" t="inlineStr">
        <is>
          <t>Moment</t>
        </is>
      </c>
      <c r="B13" s="78" t="inlineStr">
        <is>
          <t>Ce se înregistrează</t>
        </is>
      </c>
      <c r="C13" s="78" t="inlineStr">
        <is>
          <t>Data</t>
        </is>
      </c>
      <c r="D13" s="78" t="inlineStr"/>
      <c r="E13" s="78" t="inlineStr"/>
      <c r="F13" s="78" t="inlineStr">
        <is>
          <t>Observație</t>
        </is>
      </c>
    </row>
    <row r="14">
      <c r="A14" s="76" t="inlineStr">
        <is>
          <t>Avans</t>
        </is>
      </c>
      <c r="B14" s="76" t="inlineStr">
        <is>
          <t>425 = 5121</t>
        </is>
      </c>
      <c r="C14" s="76" t="inlineStr">
        <is>
          <t>în cursul lunii</t>
        </is>
      </c>
      <c r="D14" s="76" t="inlineStr"/>
      <c r="E14" s="76" t="inlineStr"/>
      <c r="F14" s="76" t="inlineStr">
        <is>
          <t>Doar dacă există avans acordat</t>
        </is>
      </c>
    </row>
    <row r="15">
      <c r="A15" s="76" t="inlineStr">
        <is>
          <t>Închiderea lunii</t>
        </is>
      </c>
      <c r="B15" s="76" t="inlineStr">
        <is>
          <t>641 = 421; 421 = 4315/4316/444; 646 = 436; 642 = 5328</t>
        </is>
      </c>
      <c r="C15" s="76" t="inlineStr">
        <is>
          <t>ultima zi a lunii</t>
        </is>
      </c>
      <c r="D15" s="76" t="inlineStr"/>
      <c r="E15" s="76" t="inlineStr"/>
      <c r="F15" s="76" t="inlineStr">
        <is>
          <t>Costul aparține lunii lucrate</t>
        </is>
      </c>
    </row>
    <row r="16">
      <c r="A16" s="76" t="inlineStr">
        <is>
          <t>Stingerea avansului</t>
        </is>
      </c>
      <c r="B16" s="76" t="inlineStr">
        <is>
          <t>421 = 425</t>
        </is>
      </c>
      <c r="C16" s="76" t="inlineStr">
        <is>
          <t>ultima zi a lunii</t>
        </is>
      </c>
      <c r="D16" s="76" t="inlineStr"/>
      <c r="E16" s="76" t="inlineStr"/>
      <c r="F16" s="76" t="inlineStr">
        <is>
          <t>Diminuează datoria salarială cu avansul deja plătit</t>
        </is>
      </c>
    </row>
    <row r="17">
      <c r="A17" s="76" t="inlineStr">
        <is>
          <t>Plăți</t>
        </is>
      </c>
      <c r="B17" s="76" t="inlineStr">
        <is>
          <t>421 = 5121; 4315/4316/444 = 5121; 436 = 5121</t>
        </is>
      </c>
      <c r="C17" s="76" t="inlineStr">
        <is>
          <t>luna următoare</t>
        </is>
      </c>
      <c r="D17" s="76" t="inlineStr"/>
      <c r="E17" s="76" t="inlineStr"/>
      <c r="F17" s="76" t="inlineStr">
        <is>
          <t>Termenul legal: 25 a lunii următoare</t>
        </is>
      </c>
    </row>
    <row r="19">
      <c r="A19" s="75" t="inlineStr">
        <is>
          <t>Tabel C — LIMITĂRI DECLARATE ale modulului</t>
        </is>
      </c>
    </row>
    <row r="20">
      <c r="A20" s="74" t="inlineStr">
        <is>
          <t>Enumerate explicit ca să nu fie luate drept acoperite. Fiecare cere ajustare manuală înainte de folosire la un client căruia i se aplică.</t>
        </is>
      </c>
    </row>
    <row r="21">
      <c r="A21" s="78" t="inlineStr">
        <is>
          <t>Ce NU tratează</t>
        </is>
      </c>
      <c r="B21" s="78" t="inlineStr">
        <is>
          <t>De ce</t>
        </is>
      </c>
      <c r="C21" s="78" t="inlineStr">
        <is>
          <t>Ce faci</t>
        </is>
      </c>
      <c r="D21" s="78" t="inlineStr"/>
      <c r="E21" s="78" t="inlineStr"/>
      <c r="F21" s="78" t="inlineStr">
        <is>
          <t>Efect dacă îl ignori</t>
        </is>
      </c>
    </row>
    <row r="22">
      <c r="A22" s="76" t="inlineStr">
        <is>
          <t>Deducerea personală</t>
        </is>
      </c>
      <c r="B22" s="76" t="inlineStr">
        <is>
          <t>Cei 4 angajați din statul-sursă sunt peste plafonul de acordare, deci mecanismul nu apare în fișier și nu a fost inventat.</t>
        </is>
      </c>
      <c r="C22" s="76" t="inlineStr">
        <is>
          <t>La salarii mici: calculează deducerea și scade-o din baza impozitului.</t>
        </is>
      </c>
      <c r="D22" s="76" t="inlineStr"/>
      <c r="E22" s="76" t="inlineStr"/>
      <c r="F22" s="76" t="inlineStr">
        <is>
          <t>Impozit supraevaluat, net subevaluat</t>
        </is>
      </c>
    </row>
    <row r="23">
      <c r="A23" s="76" t="inlineStr">
        <is>
          <t>Facilități sectoriale (construcții, IT, agricultură, alimentar)</t>
        </is>
      </c>
      <c r="B23" s="76" t="inlineStr">
        <is>
          <t>Cotele și scutirile diferă pe sector și se schimbă des.</t>
        </is>
      </c>
      <c r="C23" s="76" t="inlineStr">
        <is>
          <t>Ajustează cotele din Parametri și verifică scutirea de CASS/impozit.</t>
        </is>
      </c>
      <c r="D23" s="76" t="inlineStr"/>
      <c r="E23" s="76" t="inlineStr"/>
      <c r="F23" s="76" t="inlineStr">
        <is>
          <t>Contribuții calculate greșit în ambele sensuri</t>
        </is>
      </c>
    </row>
    <row r="24">
      <c r="A24" s="76" t="inlineStr">
        <is>
          <t>Scutiri (handicap, studenți)</t>
        </is>
      </c>
      <c r="B24" s="76" t="inlineStr">
        <is>
          <t>Regim special, pe document justificativ.</t>
        </is>
      </c>
      <c r="C24" s="76" t="inlineStr">
        <is>
          <t>Tratează separat angajatul respectiv.</t>
        </is>
      </c>
      <c r="D24" s="76" t="inlineStr"/>
      <c r="E24" s="76" t="inlineStr"/>
      <c r="F24" s="76" t="inlineStr">
        <is>
          <t>Impozit reținut nedatorat</t>
        </is>
      </c>
    </row>
    <row r="25">
      <c r="A25" s="76" t="inlineStr">
        <is>
          <t>Pilonul II / pensii facultative</t>
        </is>
      </c>
      <c r="B25" s="76" t="inlineStr">
        <is>
          <t>Rețineri opționale, pe cerere.</t>
        </is>
      </c>
      <c r="C25" s="76" t="inlineStr">
        <is>
          <t>Adaugă coloană de reținere și cont 4315 analitic.</t>
        </is>
      </c>
      <c r="D25" s="76" t="inlineStr"/>
      <c r="E25" s="76" t="inlineStr"/>
      <c r="F25" s="76" t="inlineStr">
        <is>
          <t>Netul plătit nu corespunde statului</t>
        </is>
      </c>
    </row>
    <row r="26">
      <c r="A26" s="76" t="inlineStr">
        <is>
          <t>Concedii medicale (FNUASS)</t>
        </is>
      </c>
      <c r="B26" s="76" t="inlineStr">
        <is>
          <t>Recuperarea de la buget are mecanism propriu.</t>
        </is>
      </c>
      <c r="C26" s="76" t="inlineStr">
        <is>
          <t>Tratează prin 4382 / 4315 analitic.</t>
        </is>
      </c>
      <c r="D26" s="76" t="inlineStr"/>
      <c r="E26" s="76" t="inlineStr"/>
      <c r="F26" s="76" t="inlineStr">
        <is>
          <t>Cheltuiala rămâne umflată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MOD_SALARII — Jurnale (generate automat)</t>
        </is>
      </c>
    </row>
    <row r="2">
      <c r="A2" s="74" t="inlineStr">
        <is>
          <t>Notele sunt agregate pe lună. Fișele individuale rămân în registrul din Declarații. Fiecare bloc are rând de Check.</t>
        </is>
      </c>
    </row>
    <row r="4">
      <c r="A4" s="75" t="inlineStr">
        <is>
          <t>Bloc 1 — Plata avansului</t>
        </is>
      </c>
    </row>
    <row r="5">
      <c r="A5" s="76" t="inlineStr">
        <is>
          <t>Data jurnal:</t>
        </is>
      </c>
      <c r="B5" s="76" t="str">
        <f>Declarații_SALARII!B10</f>
        <v>2026-07-20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Declarații_SALARII!B34</f>
        <v>425</v>
      </c>
      <c r="C8" s="76">
        <f>Declarații_SALARII!$E$29</f>
        <v>0</v>
      </c>
      <c r="D8" s="76" t="str">
        <f>"Avans acordat personalului" &amp; Declarații_SALARII!B51</f>
        <v>Avans acordat personalului - 2026-07</v>
      </c>
      <c r="E8" s="76" t="str">
        <f>Declarații_SALARII!B42</f>
        <v>5121</v>
      </c>
      <c r="F8" s="76">
        <f>Declarații_SALARII!$E$29</f>
        <v>0</v>
      </c>
      <c r="G8" s="76" t="str">
        <f>"Plata avansului din bancă" &amp; Declarații_SALARII!B51</f>
        <v>Plata avansului din bancă - 2026-07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Bloc activ?</t>
        </is>
      </c>
      <c r="B11" s="76">
        <f>Declarații_SALARII!$E$29</f>
        <v>0</v>
      </c>
      <c r="C11" s="76" t="str">
        <f>IF(B11&gt;0,"ACTIV — există avans","INACTIV — fără avans în această lună")</f>
        <v>INACTIV — fără avans în această lună</v>
      </c>
    </row>
    <row r="13">
      <c r="A13" s="75" t="inlineStr">
        <is>
          <t>Bloc 2 — Costurile lunii</t>
        </is>
      </c>
    </row>
    <row r="14">
      <c r="A14" s="76" t="inlineStr">
        <is>
          <t>Data jurnal:</t>
        </is>
      </c>
      <c r="B14" s="76" t="str">
        <f>Declarații_SALARII!B8</f>
        <v>2026-07-31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>
        <f>Declarații_SALARII!B32</f>
        <v>641</v>
      </c>
      <c r="C17" s="76">
        <f>Declarații_SALARII!$C$29</f>
        <v>70877</v>
      </c>
      <c r="D17" s="76" t="str">
        <f>"Cheltuieli cu salariile" &amp; Declarații_SALARII!B51</f>
        <v>Cheltuieli cu salariile - 2026-07</v>
      </c>
      <c r="E17" s="76">
        <f>Declarații_SALARII!B33</f>
        <v>421</v>
      </c>
      <c r="F17" s="76">
        <f>Declarații_SALARII!$C$29</f>
        <v>70877</v>
      </c>
      <c r="G17" s="76" t="str">
        <f>"Salarii brute datorate personalului" &amp; Declarații_SALARII!B51</f>
        <v>Salarii brute datorate personalului - 2026-07</v>
      </c>
    </row>
    <row r="18">
      <c r="A18" s="76" t="n">
        <v>2</v>
      </c>
      <c r="B18" s="76">
        <f>Declarații_SALARII!B33</f>
        <v>421</v>
      </c>
      <c r="C18" s="76">
        <f>Declarații_SALARII!$F$29+Declarații_SALARII!$G$29+Declarații_SALARII!$I$29</f>
        <v>29900</v>
      </c>
      <c r="D18" s="76" t="str">
        <f>"Rețineri din salarii: CAS, CASS, impozit" &amp; Declarații_SALARII!B51</f>
        <v>Rețineri din salarii: CAS, CASS, impozit - 2026-07</v>
      </c>
      <c r="E18" s="76">
        <f>Declarații_SALARII!B35</f>
        <v>4315</v>
      </c>
      <c r="F18" s="76">
        <f>Declarații_SALARII!$F$29</f>
        <v>17720</v>
      </c>
      <c r="G18" s="76" t="str">
        <f>"CAS reținut, datorat bugetului" &amp; Declarații_SALARII!B51</f>
        <v>CAS reținut, datorat bugetului - 2026-07</v>
      </c>
    </row>
    <row r="19">
      <c r="A19" s="76" t="n">
        <v>3</v>
      </c>
      <c r="E19" s="76">
        <f>Declarații_SALARII!B36</f>
        <v>4316</v>
      </c>
      <c r="F19" s="76">
        <f>Declarații_SALARII!$G$29</f>
        <v>7343</v>
      </c>
      <c r="G19" s="76" t="str">
        <f>"CASS reținut, datorat bugetului" &amp; Declarații_SALARII!B51</f>
        <v>CASS reținut, datorat bugetului - 2026-07</v>
      </c>
    </row>
    <row r="20">
      <c r="A20" s="76" t="n">
        <v>4</v>
      </c>
      <c r="E20" s="76">
        <f>Declarații_SALARII!B37</f>
        <v>444</v>
      </c>
      <c r="F20" s="76">
        <f>Declarații_SALARII!$I$29</f>
        <v>4837</v>
      </c>
      <c r="G20" s="76" t="str">
        <f>"Impozit pe venit reținut, datorat bugetului" &amp; Declarații_SALARII!B51</f>
        <v>Impozit pe venit reținut, datorat bugetului - 2026-07</v>
      </c>
    </row>
    <row r="21">
      <c r="A21" s="76" t="n">
        <v>5</v>
      </c>
      <c r="B21" s="76">
        <f>Declarații_SALARII!B38</f>
        <v>646</v>
      </c>
      <c r="C21" s="76">
        <f>Declarații_SALARII!$L$29</f>
        <v>1596</v>
      </c>
      <c r="D21" s="76" t="str">
        <f>"Cheltuieli cu CAM" &amp; Declarații_SALARII!B51</f>
        <v>Cheltuieli cu CAM - 2026-07</v>
      </c>
      <c r="E21" s="76">
        <f>Declarații_SALARII!B39</f>
        <v>436</v>
      </c>
      <c r="F21" s="76">
        <f>Declarații_SALARII!$L$29</f>
        <v>1596</v>
      </c>
      <c r="G21" s="76" t="str">
        <f>"CAM datorat bugetului" &amp; Declarații_SALARII!B51</f>
        <v>CAM datorat bugetului - 2026-07</v>
      </c>
    </row>
    <row r="22">
      <c r="A22" s="76" t="n">
        <v>6</v>
      </c>
      <c r="B22" s="76">
        <f>Declarații_SALARII!B40</f>
        <v>642</v>
      </c>
      <c r="C22" s="76">
        <f>Declarații_SALARII!$D$29</f>
        <v>2550</v>
      </c>
      <c r="D22" s="76" t="str">
        <f>"Cheltuieli cu tichetele de masă" &amp; Declarații_SALARII!B51</f>
        <v>Cheltuieli cu tichetele de masă - 2026-07</v>
      </c>
      <c r="E22" s="76">
        <f>Declarații_SALARII!B41</f>
        <v>5328</v>
      </c>
      <c r="F22" s="76">
        <f>Declarații_SALARII!$D$29</f>
        <v>2550</v>
      </c>
      <c r="G22" s="76" t="str">
        <f>"Descărcarea tichetelor din gestiune" &amp; Declarații_SALARII!B51</f>
        <v>Descărcarea tichetelor din gestiune - 2026-07</v>
      </c>
    </row>
    <row r="23">
      <c r="A23" s="76" t="n">
        <v>7</v>
      </c>
      <c r="B23" s="76">
        <f>Declarații_SALARII!B33</f>
        <v>421</v>
      </c>
      <c r="C23" s="76">
        <f>Declarații_SALARII!$E$29</f>
        <v>0</v>
      </c>
      <c r="D23" s="76" t="str">
        <f>"Diminuarea datoriei salariale cu avansul acordat" &amp; Declarații_SALARII!B51</f>
        <v>Diminuarea datoriei salariale cu avansul acordat - 2026-07</v>
      </c>
      <c r="E23" s="76">
        <f>Declarații_SALARII!B34</f>
        <v>425</v>
      </c>
      <c r="F23" s="76">
        <f>Declarații_SALARII!$E$29</f>
        <v>0</v>
      </c>
      <c r="G23" s="76" t="str">
        <f>"Stingerea avansului acordat personalului" &amp; Declarații_SALARII!B51</f>
        <v>Stingerea avansului acordat personalului - 2026-07</v>
      </c>
    </row>
    <row r="25">
      <c r="A25" s="76" t="inlineStr">
        <is>
          <t>Total Dr</t>
        </is>
      </c>
      <c r="B25" s="76">
        <f>SUM(C17:C23)</f>
        <v>104923</v>
      </c>
      <c r="C25" s="76" t="inlineStr"/>
    </row>
    <row r="26">
      <c r="A26" s="76" t="inlineStr">
        <is>
          <t>Total Cr</t>
        </is>
      </c>
      <c r="B26" s="76">
        <f>SUM(F17:F23)</f>
        <v>104923</v>
      </c>
      <c r="C26" s="76" t="inlineStr"/>
    </row>
    <row r="27">
      <c r="A27" s="76" t="inlineStr">
        <is>
          <t>Check Σ (structural)</t>
        </is>
      </c>
      <c r="B27" s="76">
        <f>SUM(C17:C23)-SUM(F17:F23)</f>
        <v>0</v>
      </c>
      <c r="C27" s="76" t="str">
        <f>IF(ABS(B27)&lt;0.01,"OK — notele se închid","EROARE")</f>
        <v>OK — notele se închid</v>
      </c>
    </row>
    <row r="28">
      <c r="A28" s="76" t="inlineStr">
        <is>
          <t>Check sold 421 după bloc</t>
        </is>
      </c>
      <c r="B28" s="76">
        <f>Declarații_SALARII!$C$29-(Declarații_SALARII!$F$29+Declarații_SALARII!$G$29+Declarații_SALARII!$I$29+Declarații_SALARII!$E$29)</f>
        <v>40977</v>
      </c>
      <c r="C28" s="76" t="str">
        <f>IF(ABS(B28-Declarații_SALARII!$K$29)&lt;0.51,"OK — soldul 421 = total de plată","EROARE — 421 nu corespunde netului")</f>
        <v>OK — soldul 421 = total de plată</v>
      </c>
    </row>
    <row r="30">
      <c r="A30" s="75" t="inlineStr">
        <is>
          <t>Bloc 3 — Plăți</t>
        </is>
      </c>
    </row>
    <row r="31">
      <c r="A31" s="76" t="inlineStr">
        <is>
          <t>Data jurnal:</t>
        </is>
      </c>
      <c r="B31" s="76" t="str">
        <f>Declarații_SALARII!B9</f>
        <v>2026-08-10</v>
      </c>
    </row>
    <row r="33">
      <c r="A33" s="78" t="inlineStr">
        <is>
          <t>Nr</t>
        </is>
      </c>
      <c r="B33" s="78" t="inlineStr">
        <is>
          <t>Cont Dr</t>
        </is>
      </c>
      <c r="C33" s="78" t="inlineStr">
        <is>
          <t>Sumă Dr</t>
        </is>
      </c>
      <c r="D33" s="78" t="inlineStr">
        <is>
          <t>Descriere Dr</t>
        </is>
      </c>
      <c r="E33" s="78" t="inlineStr">
        <is>
          <t>Cont Cr</t>
        </is>
      </c>
      <c r="F33" s="78" t="inlineStr">
        <is>
          <t>Sumă Cr</t>
        </is>
      </c>
      <c r="G33" s="78" t="inlineStr">
        <is>
          <t>Descriere Cr</t>
        </is>
      </c>
    </row>
    <row r="34">
      <c r="A34" s="76" t="n">
        <v>1</v>
      </c>
      <c r="B34" s="76">
        <f>Declarații_SALARII!B33</f>
        <v>421</v>
      </c>
      <c r="C34" s="76">
        <f>Declarații_SALARII!$K$29</f>
        <v>40977</v>
      </c>
      <c r="D34" s="76" t="str">
        <f>"Plata salariilor nete" &amp; Declarații_SALARII!B51</f>
        <v>Plata salariilor nete - 2026-07</v>
      </c>
      <c r="E34" s="76" t="str">
        <f>Declarații_SALARII!B42</f>
        <v>5121</v>
      </c>
      <c r="F34" s="76">
        <f>Declarații_SALARII!$K$29</f>
        <v>40977</v>
      </c>
      <c r="G34" s="76" t="str">
        <f>"Plata salariilor nete din bancă" &amp; Declarații_SALARII!B51</f>
        <v>Plata salariilor nete din bancă - 2026-07</v>
      </c>
    </row>
    <row r="35">
      <c r="A35" s="76" t="n">
        <v>2</v>
      </c>
      <c r="B35" s="76">
        <f>Declarații_SALARII!B35</f>
        <v>4315</v>
      </c>
      <c r="C35" s="76">
        <f>Declarații_SALARII!$F$29</f>
        <v>17720</v>
      </c>
      <c r="D35" s="76" t="str">
        <f>"Stingerea datoriei CAS" &amp; Declarații_SALARII!B51</f>
        <v>Stingerea datoriei CAS - 2026-07</v>
      </c>
      <c r="E35" s="76" t="str">
        <f>Declarații_SALARII!B42</f>
        <v>5121</v>
      </c>
      <c r="F35" s="76">
        <f>Declarații_SALARII!$F$29+Declarații_SALARII!$G$29+Declarații_SALARII!$I$29</f>
        <v>29900</v>
      </c>
      <c r="G35" s="76" t="str">
        <f>"Plata CAS, CASS și impozit din bancă" &amp; Declarații_SALARII!B51</f>
        <v>Plata CAS, CASS și impozit din bancă - 2026-07</v>
      </c>
    </row>
    <row r="36">
      <c r="A36" s="76" t="n">
        <v>3</v>
      </c>
      <c r="B36" s="76">
        <f>Declarații_SALARII!B36</f>
        <v>4316</v>
      </c>
      <c r="C36" s="76">
        <f>Declarații_SALARII!$G$29</f>
        <v>7343</v>
      </c>
      <c r="D36" s="76" t="str">
        <f>"Stingerea datoriei CASS" &amp; Declarații_SALARII!B51</f>
        <v>Stingerea datoriei CASS - 2026-07</v>
      </c>
    </row>
    <row r="37">
      <c r="A37" s="76" t="n">
        <v>4</v>
      </c>
      <c r="B37" s="76">
        <f>Declarații_SALARII!B37</f>
        <v>444</v>
      </c>
      <c r="C37" s="76">
        <f>Declarații_SALARII!$I$29</f>
        <v>4837</v>
      </c>
      <c r="D37" s="76" t="str">
        <f>"Stingerea datoriei de impozit" &amp; Declarații_SALARII!B51</f>
        <v>Stingerea datoriei de impozit - 2026-07</v>
      </c>
    </row>
    <row r="38">
      <c r="A38" s="76" t="n">
        <v>5</v>
      </c>
      <c r="B38" s="76">
        <f>Declarații_SALARII!B39</f>
        <v>436</v>
      </c>
      <c r="C38" s="76">
        <f>Declarații_SALARII!$L$29</f>
        <v>1596</v>
      </c>
      <c r="D38" s="76" t="str">
        <f>"Stingerea datoriei CAM" &amp; Declarații_SALARII!B51</f>
        <v>Stingerea datoriei CAM - 2026-07</v>
      </c>
      <c r="E38" s="76" t="str">
        <f>Declarații_SALARII!B42</f>
        <v>5121</v>
      </c>
      <c r="F38" s="76">
        <f>Declarații_SALARII!$L$29</f>
        <v>1596</v>
      </c>
      <c r="G38" s="76" t="str">
        <f>"Plata CAM din bancă" &amp; Declarații_SALARII!B51</f>
        <v>Plata CAM din bancă - 2026-07</v>
      </c>
    </row>
    <row r="40">
      <c r="A40" s="76" t="inlineStr">
        <is>
          <t>Total Dr</t>
        </is>
      </c>
      <c r="B40" s="76">
        <f>SUM(C34:C38)</f>
        <v>72473</v>
      </c>
      <c r="C40" s="76" t="inlineStr"/>
    </row>
    <row r="41">
      <c r="A41" s="76" t="inlineStr">
        <is>
          <t>Total Cr</t>
        </is>
      </c>
      <c r="B41" s="76">
        <f>SUM(F34:F38)</f>
        <v>72473</v>
      </c>
      <c r="C41" s="76" t="inlineStr"/>
    </row>
    <row r="42">
      <c r="A42" s="76" t="inlineStr">
        <is>
          <t>Check Σ (structural)</t>
        </is>
      </c>
      <c r="B42" s="76">
        <f>SUM(C34:C38)-SUM(F34:F38)</f>
        <v>0</v>
      </c>
      <c r="C42" s="76" t="str">
        <f>IF(ABS(B42)&lt;0.01,"OK — notele se închid","EROARE")</f>
        <v>OK — notele se închid</v>
      </c>
    </row>
    <row r="44">
      <c r="A44" s="7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3" t="inlineStr">
        <is>
          <t>MOD_SALARII — Notă pentru import (1 rând = 1 înregistrare)</t>
        </is>
      </c>
    </row>
    <row r="2">
      <c r="A2" s="74" t="inlineStr">
        <is>
          <t>Filtrează pe Include = DA. Echilibrul se verifică pe bloc în Jurnale, nu pe totalul listei.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Avans</t>
        </is>
      </c>
      <c r="C5" s="76" t="str">
        <f>Declarații_SALARII!B10</f>
        <v>2026-07-20</v>
      </c>
      <c r="D5" s="76">
        <f>Jurnale_SALARII!B8</f>
        <v>425</v>
      </c>
      <c r="E5" s="76" t="str">
        <f>Jurnale_SALARII!E8</f>
        <v>5121</v>
      </c>
      <c r="F5" s="76">
        <f>Jurnale_SALARII!C8</f>
        <v>0</v>
      </c>
      <c r="G5" s="76" t="str">
        <f>Jurnale_SALARII!D8</f>
        <v>Avans acordat personalului - 2026-07</v>
      </c>
      <c r="H5" s="76" t="inlineStr">
        <is>
          <t>Stat de plată</t>
        </is>
      </c>
      <c r="I5" s="76" t="str">
        <f>IF(N(F5)&gt;0,"DA","NU")</f>
        <v>NU</v>
      </c>
    </row>
    <row r="6">
      <c r="A6" s="76" t="n">
        <v>2</v>
      </c>
      <c r="B6" s="76" t="inlineStr">
        <is>
          <t>Bloc 2 — Costuri</t>
        </is>
      </c>
      <c r="C6" s="76" t="str">
        <f>Declarații_SALARII!B8</f>
        <v>2026-07-31</v>
      </c>
      <c r="D6" s="76">
        <f>Jurnale_SALARII!B17</f>
        <v>641</v>
      </c>
      <c r="E6" s="76">
        <f>Jurnale_SALARII!E17</f>
        <v>421</v>
      </c>
      <c r="F6" s="76">
        <f>Jurnale_SALARII!C17</f>
        <v>70877</v>
      </c>
      <c r="G6" s="76" t="str">
        <f>Jurnale_SALARII!D17</f>
        <v>Cheltuieli cu salariile - 2026-07</v>
      </c>
      <c r="H6" s="76" t="inlineStr">
        <is>
          <t>Stat de plată</t>
        </is>
      </c>
      <c r="I6" s="76" t="str">
        <f>IF(N(F6)&gt;0,"DA","NU")</f>
        <v>DA</v>
      </c>
    </row>
    <row r="7">
      <c r="A7" s="76" t="n">
        <v>3</v>
      </c>
      <c r="B7" s="76" t="inlineStr">
        <is>
          <t>Bloc 2 — Costuri</t>
        </is>
      </c>
      <c r="C7" s="76" t="str">
        <f>Declarații_SALARII!B8</f>
        <v>2026-07-31</v>
      </c>
      <c r="D7" s="76">
        <f>Jurnale_SALARII!B18</f>
        <v>421</v>
      </c>
      <c r="E7" s="76">
        <f>Jurnale_SALARII!E18</f>
        <v>4315</v>
      </c>
      <c r="F7" s="76">
        <f>Jurnale_SALARII!C18</f>
        <v>29900</v>
      </c>
      <c r="G7" s="76" t="str">
        <f>Jurnale_SALARII!D18</f>
        <v>Rețineri din salarii: CAS, CASS, impozit - 2026-07</v>
      </c>
      <c r="H7" s="76" t="inlineStr">
        <is>
          <t>Stat de plată</t>
        </is>
      </c>
      <c r="I7" s="76" t="str">
        <f>IF(N(F7)&gt;0,"DA","NU")</f>
        <v>DA</v>
      </c>
    </row>
    <row r="8">
      <c r="A8" s="76" t="n">
        <v>4</v>
      </c>
      <c r="B8" s="76" t="inlineStr">
        <is>
          <t>Bloc 2 — Costuri</t>
        </is>
      </c>
      <c r="C8" s="76" t="str">
        <f>Declarații_SALARII!B8</f>
        <v>2026-07-31</v>
      </c>
      <c r="D8" s="76">
        <f>Jurnale_SALARII!B19</f>
        <v>0</v>
      </c>
      <c r="E8" s="76">
        <f>Jurnale_SALARII!E19</f>
        <v>4316</v>
      </c>
      <c r="F8" s="76">
        <f>Jurnale_SALARII!C19</f>
        <v>0</v>
      </c>
      <c r="G8" s="76">
        <f>Jurnale_SALARII!D19</f>
        <v>0</v>
      </c>
      <c r="H8" s="76" t="inlineStr">
        <is>
          <t>Stat de plată</t>
        </is>
      </c>
      <c r="I8" s="76" t="str">
        <f>IF(N(F8)&gt;0,"DA","NU")</f>
        <v>NU</v>
      </c>
    </row>
    <row r="9">
      <c r="A9" s="76" t="n">
        <v>5</v>
      </c>
      <c r="B9" s="76" t="inlineStr">
        <is>
          <t>Bloc 2 — Costuri</t>
        </is>
      </c>
      <c r="C9" s="76" t="str">
        <f>Declarații_SALARII!B8</f>
        <v>2026-07-31</v>
      </c>
      <c r="D9" s="76">
        <f>Jurnale_SALARII!B20</f>
        <v>0</v>
      </c>
      <c r="E9" s="76">
        <f>Jurnale_SALARII!E20</f>
        <v>444</v>
      </c>
      <c r="F9" s="76">
        <f>Jurnale_SALARII!C20</f>
        <v>0</v>
      </c>
      <c r="G9" s="76">
        <f>Jurnale_SALARII!D20</f>
        <v>0</v>
      </c>
      <c r="H9" s="76" t="inlineStr">
        <is>
          <t>Stat de plată</t>
        </is>
      </c>
      <c r="I9" s="76" t="str">
        <f>IF(N(F9)&gt;0,"DA","NU")</f>
        <v>NU</v>
      </c>
    </row>
    <row r="10">
      <c r="A10" s="76" t="n">
        <v>6</v>
      </c>
      <c r="B10" s="76" t="inlineStr">
        <is>
          <t>Bloc 2 — Costuri</t>
        </is>
      </c>
      <c r="C10" s="76" t="str">
        <f>Declarații_SALARII!B8</f>
        <v>2026-07-31</v>
      </c>
      <c r="D10" s="76">
        <f>Jurnale_SALARII!B21</f>
        <v>646</v>
      </c>
      <c r="E10" s="76">
        <f>Jurnale_SALARII!E21</f>
        <v>436</v>
      </c>
      <c r="F10" s="76">
        <f>Jurnale_SALARII!C21</f>
        <v>1596</v>
      </c>
      <c r="G10" s="76" t="str">
        <f>Jurnale_SALARII!D21</f>
        <v>Cheltuieli cu CAM - 2026-07</v>
      </c>
      <c r="H10" s="76" t="inlineStr">
        <is>
          <t>Stat de plată</t>
        </is>
      </c>
      <c r="I10" s="76" t="str">
        <f>IF(N(F10)&gt;0,"DA","NU")</f>
        <v>DA</v>
      </c>
    </row>
    <row r="11">
      <c r="A11" s="76" t="n">
        <v>7</v>
      </c>
      <c r="B11" s="76" t="inlineStr">
        <is>
          <t>Bloc 2 — Costuri</t>
        </is>
      </c>
      <c r="C11" s="76" t="str">
        <f>Declarații_SALARII!B8</f>
        <v>2026-07-31</v>
      </c>
      <c r="D11" s="76">
        <f>Jurnale_SALARII!B22</f>
        <v>642</v>
      </c>
      <c r="E11" s="76">
        <f>Jurnale_SALARII!E22</f>
        <v>5328</v>
      </c>
      <c r="F11" s="76">
        <f>Jurnale_SALARII!C22</f>
        <v>2550</v>
      </c>
      <c r="G11" s="76" t="str">
        <f>Jurnale_SALARII!D22</f>
        <v>Cheltuieli cu tichetele de masă - 2026-07</v>
      </c>
      <c r="H11" s="76" t="inlineStr">
        <is>
          <t>Stat de plată</t>
        </is>
      </c>
      <c r="I11" s="76" t="str">
        <f>IF(N(F11)&gt;0,"DA","NU")</f>
        <v>DA</v>
      </c>
    </row>
    <row r="12">
      <c r="A12" s="76" t="n">
        <v>8</v>
      </c>
      <c r="B12" s="76" t="inlineStr">
        <is>
          <t>Bloc 2 — Costuri</t>
        </is>
      </c>
      <c r="C12" s="76" t="str">
        <f>Declarații_SALARII!B8</f>
        <v>2026-07-31</v>
      </c>
      <c r="D12" s="76">
        <f>Jurnale_SALARII!B23</f>
        <v>421</v>
      </c>
      <c r="E12" s="76">
        <f>Jurnale_SALARII!E23</f>
        <v>425</v>
      </c>
      <c r="F12" s="76">
        <f>Jurnale_SALARII!C23</f>
        <v>0</v>
      </c>
      <c r="G12" s="76" t="str">
        <f>Jurnale_SALARII!D23</f>
        <v>Diminuarea datoriei salariale cu avansul acordat - 2026-07</v>
      </c>
      <c r="H12" s="76" t="inlineStr">
        <is>
          <t>Stat de plată</t>
        </is>
      </c>
      <c r="I12" s="76" t="str">
        <f>IF(N(F12)&gt;0,"DA","NU")</f>
        <v>NU</v>
      </c>
    </row>
    <row r="13">
      <c r="A13" s="76" t="n">
        <v>9</v>
      </c>
      <c r="B13" s="76" t="inlineStr">
        <is>
          <t>Bloc 3 — Plăți</t>
        </is>
      </c>
      <c r="C13" s="76" t="str">
        <f>Declarații_SALARII!B9</f>
        <v>2026-08-10</v>
      </c>
      <c r="D13" s="76">
        <f>Jurnale_SALARII!B34</f>
        <v>421</v>
      </c>
      <c r="E13" s="76" t="str">
        <f>Jurnale_SALARII!E34</f>
        <v>5121</v>
      </c>
      <c r="F13" s="76">
        <f>Jurnale_SALARII!C34</f>
        <v>40977</v>
      </c>
      <c r="G13" s="76" t="str">
        <f>Jurnale_SALARII!D34</f>
        <v>Plata salariilor nete - 2026-07</v>
      </c>
      <c r="H13" s="76" t="inlineStr">
        <is>
          <t>Stat de plată</t>
        </is>
      </c>
      <c r="I13" s="76" t="str">
        <f>IF(N(F13)&gt;0,"DA","NU")</f>
        <v>DA</v>
      </c>
    </row>
    <row r="14">
      <c r="A14" s="76" t="n">
        <v>10</v>
      </c>
      <c r="B14" s="76" t="inlineStr">
        <is>
          <t>Bloc 3 — Plăți</t>
        </is>
      </c>
      <c r="C14" s="76" t="str">
        <f>Declarații_SALARII!B9</f>
        <v>2026-08-10</v>
      </c>
      <c r="D14" s="76">
        <f>Jurnale_SALARII!B35</f>
        <v>4315</v>
      </c>
      <c r="E14" s="76" t="str">
        <f>Jurnale_SALARII!E35</f>
        <v>5121</v>
      </c>
      <c r="F14" s="76">
        <f>Jurnale_SALARII!C35</f>
        <v>17720</v>
      </c>
      <c r="G14" s="76" t="str">
        <f>Jurnale_SALARII!D35</f>
        <v>Stingerea datoriei CAS - 2026-07</v>
      </c>
      <c r="H14" s="76" t="inlineStr">
        <is>
          <t>Stat de plată</t>
        </is>
      </c>
      <c r="I14" s="76" t="str">
        <f>IF(N(F14)&gt;0,"DA","NU")</f>
        <v>DA</v>
      </c>
    </row>
    <row r="15">
      <c r="A15" s="76" t="n">
        <v>11</v>
      </c>
      <c r="B15" s="76" t="inlineStr">
        <is>
          <t>Bloc 3 — Plăți</t>
        </is>
      </c>
      <c r="C15" s="76" t="str">
        <f>Declarații_SALARII!B9</f>
        <v>2026-08-10</v>
      </c>
      <c r="D15" s="76">
        <f>Jurnale_SALARII!B36</f>
        <v>4316</v>
      </c>
      <c r="E15" s="76">
        <f>Jurnale_SALARII!E36</f>
        <v>0</v>
      </c>
      <c r="F15" s="76">
        <f>Jurnale_SALARII!C36</f>
        <v>7343</v>
      </c>
      <c r="G15" s="76" t="str">
        <f>Jurnale_SALARII!D36</f>
        <v>Stingerea datoriei CASS - 2026-07</v>
      </c>
      <c r="H15" s="76" t="inlineStr">
        <is>
          <t>Stat de plată</t>
        </is>
      </c>
      <c r="I15" s="76" t="str">
        <f>IF(N(F15)&gt;0,"DA","NU")</f>
        <v>DA</v>
      </c>
    </row>
    <row r="16">
      <c r="A16" s="76" t="n">
        <v>12</v>
      </c>
      <c r="B16" s="76" t="inlineStr">
        <is>
          <t>Bloc 3 — Plăți</t>
        </is>
      </c>
      <c r="C16" s="76" t="str">
        <f>Declarații_SALARII!B9</f>
        <v>2026-08-10</v>
      </c>
      <c r="D16" s="76">
        <f>Jurnale_SALARII!B37</f>
        <v>444</v>
      </c>
      <c r="E16" s="76">
        <f>Jurnale_SALARII!E37</f>
        <v>0</v>
      </c>
      <c r="F16" s="76">
        <f>Jurnale_SALARII!C37</f>
        <v>4837</v>
      </c>
      <c r="G16" s="76" t="str">
        <f>Jurnale_SALARII!D37</f>
        <v>Stingerea datoriei de impozit - 2026-07</v>
      </c>
      <c r="H16" s="76" t="inlineStr">
        <is>
          <t>Stat de plată</t>
        </is>
      </c>
      <c r="I16" s="76" t="str">
        <f>IF(N(F16)&gt;0,"DA","NU")</f>
        <v>DA</v>
      </c>
    </row>
    <row r="17">
      <c r="A17" s="76" t="n">
        <v>13</v>
      </c>
      <c r="B17" s="76" t="inlineStr">
        <is>
          <t>Bloc 3 — Plăți</t>
        </is>
      </c>
      <c r="C17" s="76" t="str">
        <f>Declarații_SALARII!B9</f>
        <v>2026-08-10</v>
      </c>
      <c r="D17" s="76">
        <f>Jurnale_SALARII!B38</f>
        <v>436</v>
      </c>
      <c r="E17" s="76" t="str">
        <f>Jurnale_SALARII!E38</f>
        <v>5121</v>
      </c>
      <c r="F17" s="76">
        <f>Jurnale_SALARII!C38</f>
        <v>1596</v>
      </c>
      <c r="G17" s="76" t="str">
        <f>Jurnale_SALARII!D38</f>
        <v>Stingerea datoriei CAM - 2026-07</v>
      </c>
      <c r="H17" s="76" t="inlineStr">
        <is>
          <t>Stat de plată</t>
        </is>
      </c>
      <c r="I17" s="76" t="str">
        <f>IF(N(F17)&gt;0,"DA","NU")</f>
        <v>DA</v>
      </c>
    </row>
    <row r="19">
      <c r="A19" s="76" t="inlineStr">
        <is>
          <t>Rânduri de importat (Include=DA)</t>
        </is>
      </c>
      <c r="B19" s="76">
        <f>COUNTIF(I5:I17,"DA")</f>
        <v>9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3" t="inlineStr">
        <is>
          <t>MOD_DECONT — Declarații (input)</t>
        </is>
      </c>
    </row>
    <row r="2">
      <c r="A2" s="7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Titular decont</t>
        </is>
      </c>
      <c r="B6" s="77" t="inlineStr">
        <is>
          <t>CHIRIACESCU DIANA</t>
        </is>
      </c>
    </row>
    <row r="7">
      <c r="A7" s="76" t="inlineStr">
        <is>
          <t>Data decontului</t>
        </is>
      </c>
      <c r="B7" s="77" t="inlineStr">
        <is>
          <t>2026-07-31</t>
        </is>
      </c>
    </row>
    <row r="8">
      <c r="A8" s="76" t="inlineStr">
        <is>
          <t>Data plății / restituirii</t>
        </is>
      </c>
      <c r="B8" s="77" t="inlineStr">
        <is>
          <t>2026-08-05</t>
        </is>
      </c>
    </row>
    <row r="10">
      <c r="A10" s="75" t="inlineStr">
        <is>
          <t>2. Declarații fiscale</t>
        </is>
      </c>
    </row>
    <row r="11">
      <c r="A11" s="76" t="inlineStr">
        <is>
          <t>Societate plătitoare de TVA (DA / NU)</t>
        </is>
      </c>
      <c r="B11" s="77" t="inlineStr">
        <is>
          <t>DA</t>
        </is>
      </c>
    </row>
    <row r="12">
      <c r="A12" s="76" t="inlineStr">
        <is>
          <t>Cotă TVA standard</t>
        </is>
      </c>
      <c r="B12" s="76">
        <f>Parametri!B10</f>
        <v>0.21</v>
      </c>
    </row>
    <row r="13">
      <c r="A13" s="76" t="inlineStr">
        <is>
          <t>Cotă TVA redusă</t>
        </is>
      </c>
      <c r="B13" s="76">
        <f>Parametri!B11</f>
        <v>0.11</v>
      </c>
    </row>
    <row r="14">
      <c r="A14" s="76" t="inlineStr">
        <is>
          <t>Procent deducere TVA vehicule</t>
        </is>
      </c>
      <c r="B14" s="76">
        <f>param_proc_vehicul</f>
        <v>0.5</v>
      </c>
    </row>
    <row r="16">
      <c r="A16" s="75" t="inlineStr">
        <is>
          <t>3. Politica de conturi (comutatoare)</t>
        </is>
      </c>
    </row>
    <row r="17">
      <c r="A17" s="76" t="inlineStr">
        <is>
          <t>Cont datorie față de titular</t>
        </is>
      </c>
      <c r="B17" s="77" t="inlineStr">
        <is>
          <t>542</t>
        </is>
      </c>
      <c r="C17" s="74" t="inlineStr">
        <is>
          <t>542 avansuri de trezorerie / 462 creditori / 4281 alte datorii</t>
        </is>
      </c>
    </row>
    <row r="18">
      <c r="A18" s="76" t="inlineStr">
        <is>
          <t>Cont avans de trezorerie</t>
        </is>
      </c>
      <c r="B18" s="77" t="inlineStr">
        <is>
          <t>542</t>
        </is>
      </c>
      <c r="C18" s="74" t="inlineStr">
        <is>
          <t>542 / 425</t>
        </is>
      </c>
    </row>
    <row r="19">
      <c r="A19" s="76" t="inlineStr">
        <is>
          <t>Cont transport și parcare</t>
        </is>
      </c>
      <c r="B19" s="77" t="inlineStr">
        <is>
          <t>625</t>
        </is>
      </c>
      <c r="C19" s="74" t="inlineStr">
        <is>
          <t>624 / 625 — comutator; 625 e convenția din decontul-sursă</t>
        </is>
      </c>
    </row>
    <row r="20">
      <c r="A20" s="76" t="inlineStr">
        <is>
          <t>Cont masă în deplasare</t>
        </is>
      </c>
      <c r="B20" s="77" t="inlineStr">
        <is>
          <t>625</t>
        </is>
      </c>
      <c r="C20" s="74" t="inlineStr">
        <is>
          <t>625 / 6231 / 6588 — comutator</t>
        </is>
      </c>
    </row>
    <row r="21">
      <c r="A21" s="76" t="inlineStr">
        <is>
          <t>Cont TVA deductibilă</t>
        </is>
      </c>
      <c r="B21" s="77" t="n">
        <v>4426</v>
      </c>
    </row>
    <row r="22">
      <c r="A22" s="76" t="inlineStr">
        <is>
          <t>Cont trezorerie pentru plăți</t>
        </is>
      </c>
      <c r="B22" s="77" t="inlineStr">
        <is>
          <t>5121</t>
        </is>
      </c>
      <c r="C22" s="74" t="inlineStr">
        <is>
          <t>5121 / 5311</t>
        </is>
      </c>
    </row>
    <row r="24">
      <c r="A24" s="75" t="inlineStr">
        <is>
          <t>4. Avans și control</t>
        </is>
      </c>
    </row>
    <row r="25">
      <c r="A25" s="76" t="inlineStr">
        <is>
          <t>Avans primit (declarat în decont)</t>
        </is>
      </c>
      <c r="B25" s="77" t="n">
        <v>0</v>
      </c>
    </row>
    <row r="26">
      <c r="A26" s="76" t="inlineStr">
        <is>
          <t>Sold cont avans din balanță</t>
        </is>
      </c>
      <c r="B26" s="77" t="n">
        <v>0</v>
      </c>
      <c r="C26" s="74" t="inlineStr">
        <is>
          <t>Din fișa contului, la data decontului</t>
        </is>
      </c>
    </row>
    <row r="27">
      <c r="A27" s="76" t="inlineStr">
        <is>
          <t>Verdict control avans</t>
        </is>
      </c>
      <c r="B27" s="76">
        <f>B26-B25</f>
        <v>0</v>
      </c>
      <c r="C27" s="76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75" t="inlineStr">
        <is>
          <t>5. Sufix generat</t>
        </is>
      </c>
    </row>
    <row r="30">
      <c r="A30" s="76" t="inlineStr">
        <is>
          <t>Sufix</t>
        </is>
      </c>
      <c r="B30" s="76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3" t="inlineStr">
        <is>
          <t>MOD_DECONT — Reguli (tabele fixe)</t>
        </is>
      </c>
    </row>
    <row r="2">
      <c r="A2" s="74" t="inlineStr">
        <is>
          <t>Regula fiscală e dată, nu formulă. Motorul din Registru caută în tabelele astea; se editează doar când se schimbă legea sau politica firmei.</t>
        </is>
      </c>
    </row>
    <row r="4">
      <c r="A4" s="75" t="inlineStr">
        <is>
          <t>Tabel A — Natura cheltuielii</t>
        </is>
      </c>
    </row>
    <row r="5">
      <c r="A5" s="78" t="inlineStr">
        <is>
          <t>Cod</t>
        </is>
      </c>
      <c r="B5" s="78" t="inlineStr">
        <is>
          <t>Denumire</t>
        </is>
      </c>
      <c r="C5" s="78" t="inlineStr">
        <is>
          <t>Cont</t>
        </is>
      </c>
      <c r="D5" s="78" t="inlineStr">
        <is>
          <t>Cotă TVA</t>
        </is>
      </c>
      <c r="E5" s="78" t="inlineStr">
        <is>
          <t>Regim TVA</t>
        </is>
      </c>
      <c r="F5" s="78" t="inlineStr">
        <is>
          <t>% deducere</t>
        </is>
      </c>
      <c r="G5" s="78" t="inlineStr">
        <is>
          <t>Impozit pe profit</t>
        </is>
      </c>
      <c r="H5" s="78" t="inlineStr">
        <is>
          <t>Temei / observație</t>
        </is>
      </c>
    </row>
    <row r="6">
      <c r="A6" s="76" t="inlineStr">
        <is>
          <t>TRANSP_INT</t>
        </is>
      </c>
      <c r="B6" s="76" t="inlineStr">
        <is>
          <t>Transport aerian internațional de persoane</t>
        </is>
      </c>
      <c r="C6" s="76" t="str">
        <f>Declarații_DECONT!B19</f>
        <v>625</v>
      </c>
      <c r="D6" s="76" t="n">
        <v>0</v>
      </c>
      <c r="E6" s="76" t="inlineStr">
        <is>
          <t>Scutit cu drept de deducere</t>
        </is>
      </c>
      <c r="F6" s="76" t="n">
        <v>1</v>
      </c>
      <c r="G6" s="76" t="inlineStr">
        <is>
          <t>Deductibil</t>
        </is>
      </c>
      <c r="H6" s="76" t="inlineStr">
        <is>
          <t>art. 294 alin. (1) — scutire cu drept de deducere, TVA zero</t>
        </is>
      </c>
    </row>
    <row r="7">
      <c r="A7" s="76" t="inlineStr">
        <is>
          <t>TRANSP_INTERN</t>
        </is>
      </c>
      <c r="B7" s="76" t="inlineStr">
        <is>
          <t>Transport intern de persoane</t>
        </is>
      </c>
      <c r="C7" s="76" t="str">
        <f>Declarații_DECONT!B19</f>
        <v>625</v>
      </c>
      <c r="D7" s="76">
        <f>Declarații_DECONT!B13</f>
        <v>0.11</v>
      </c>
      <c r="E7" s="76" t="inlineStr">
        <is>
          <t>Taxabil</t>
        </is>
      </c>
      <c r="F7" s="76" t="n">
        <v>1</v>
      </c>
      <c r="G7" s="76" t="inlineStr">
        <is>
          <t>Deductibil</t>
        </is>
      </c>
      <c r="H7" s="76" t="inlineStr">
        <is>
          <t>cotă redusă pentru transportul de persoane</t>
        </is>
      </c>
    </row>
    <row r="8">
      <c r="A8" s="76" t="inlineStr">
        <is>
          <t>PARCARE</t>
        </is>
      </c>
      <c r="B8" s="76" t="inlineStr">
        <is>
          <t>Parcare, taxe de drum</t>
        </is>
      </c>
      <c r="C8" s="76" t="str">
        <f>Declarații_DECONT!B19</f>
        <v>625</v>
      </c>
      <c r="D8" s="76">
        <f>Declarații_DECONT!B12</f>
        <v>0.21</v>
      </c>
      <c r="E8" s="76" t="inlineStr">
        <is>
          <t>Taxabil</t>
        </is>
      </c>
      <c r="F8" s="76" t="n">
        <v>1</v>
      </c>
      <c r="G8" s="76" t="inlineStr">
        <is>
          <t>Deductibil</t>
        </is>
      </c>
      <c r="H8" s="76" t="inlineStr">
        <is>
          <t>cotă standard</t>
        </is>
      </c>
    </row>
    <row r="9">
      <c r="A9" s="76" t="inlineStr">
        <is>
          <t>TAXI</t>
        </is>
      </c>
      <c r="B9" s="76" t="inlineStr">
        <is>
          <t>Taxi, transfer aeroport</t>
        </is>
      </c>
      <c r="C9" s="76" t="str">
        <f>Declarații_DECONT!B19</f>
        <v>625</v>
      </c>
      <c r="D9" s="76">
        <f>Declarații_DECONT!B13</f>
        <v>0.11</v>
      </c>
      <c r="E9" s="76" t="inlineStr">
        <is>
          <t>Taxabil</t>
        </is>
      </c>
      <c r="F9" s="76" t="n">
        <v>1</v>
      </c>
      <c r="G9" s="76" t="inlineStr">
        <is>
          <t>Deductibil</t>
        </is>
      </c>
      <c r="H9" s="76" t="inlineStr">
        <is>
          <t>transport de persoane</t>
        </is>
      </c>
    </row>
    <row r="10">
      <c r="A10" s="76" t="inlineStr">
        <is>
          <t>CAZARE</t>
        </is>
      </c>
      <c r="B10" s="76" t="inlineStr">
        <is>
          <t>Cazare hotelieră</t>
        </is>
      </c>
      <c r="C10" s="76" t="str">
        <f>Declarații_DECONT!B20</f>
        <v>625</v>
      </c>
      <c r="D10" s="76">
        <f>Declarații_DECONT!B13</f>
        <v>0.11</v>
      </c>
      <c r="E10" s="76" t="inlineStr">
        <is>
          <t>Taxabil</t>
        </is>
      </c>
      <c r="F10" s="76" t="n">
        <v>1</v>
      </c>
      <c r="G10" s="76" t="inlineStr">
        <is>
          <t>Deductibil</t>
        </is>
      </c>
      <c r="H10" s="76" t="inlineStr">
        <is>
          <t>cotă redusă HoReCa</t>
        </is>
      </c>
    </row>
    <row r="11">
      <c r="A11" s="76" t="inlineStr">
        <is>
          <t>MASA</t>
        </is>
      </c>
      <c r="B11" s="76" t="inlineStr">
        <is>
          <t>Masă în deplasare</t>
        </is>
      </c>
      <c r="C11" s="76" t="str">
        <f>Declarații_DECONT!B20</f>
        <v>625</v>
      </c>
      <c r="D11" s="76">
        <f>Declarații_DECONT!B13</f>
        <v>0.11</v>
      </c>
      <c r="E11" s="76" t="inlineStr">
        <is>
          <t>Taxabil</t>
        </is>
      </c>
      <c r="F11" s="76" t="n">
        <v>1</v>
      </c>
      <c r="G11" s="76" t="inlineStr">
        <is>
          <t>Deductibil</t>
        </is>
      </c>
      <c r="H11" s="76" t="inlineStr">
        <is>
          <t>restaurant/catering; dacă se acordă diurnă, comută pe 6588</t>
        </is>
      </c>
    </row>
    <row r="12">
      <c r="A12" s="76" t="inlineStr">
        <is>
          <t>PROTOCOL</t>
        </is>
      </c>
      <c r="B12" s="76" t="inlineStr">
        <is>
          <t>Protocol cu partener / client</t>
        </is>
      </c>
      <c r="C12" s="76" t="inlineStr">
        <is>
          <t>6231</t>
        </is>
      </c>
      <c r="D12" s="76">
        <f>Declarații_DECONT!B13</f>
        <v>0.11</v>
      </c>
      <c r="E12" s="76" t="inlineStr">
        <is>
          <t>Taxabil</t>
        </is>
      </c>
      <c r="F12" s="76" t="n">
        <v>1</v>
      </c>
      <c r="G12" s="76" t="inlineStr">
        <is>
          <t>Deductibil limitat 2%</t>
        </is>
      </c>
      <c r="H12" s="76" t="inlineStr">
        <is>
          <t>limita de 2% din profitul contabil</t>
        </is>
      </c>
    </row>
    <row r="13">
      <c r="A13" s="76" t="inlineStr">
        <is>
          <t>COMBUSTIBIL</t>
        </is>
      </c>
      <c r="B13" s="76" t="inlineStr">
        <is>
          <t>Combustibil auto</t>
        </is>
      </c>
      <c r="C13" s="76" t="inlineStr">
        <is>
          <t>6022</t>
        </is>
      </c>
      <c r="D13" s="76">
        <f>Declarații_DECONT!B12</f>
        <v>0.21</v>
      </c>
      <c r="E13" s="76" t="inlineStr">
        <is>
          <t>Taxabil</t>
        </is>
      </c>
      <c r="F13" s="76">
        <f>Declarații_DECONT!B14</f>
        <v>0.5</v>
      </c>
      <c r="G13" s="76" t="inlineStr">
        <is>
          <t>Deductibil limitat 50%</t>
        </is>
      </c>
      <c r="H13" s="76" t="inlineStr">
        <is>
          <t>art. 298 — deducere TVA 50% fără utilizare exclusivă</t>
        </is>
      </c>
    </row>
    <row r="14">
      <c r="A14" s="76" t="inlineStr">
        <is>
          <t>SERVICII</t>
        </is>
      </c>
      <c r="B14" s="76" t="inlineStr">
        <is>
          <t>Alte servicii executate de terți</t>
        </is>
      </c>
      <c r="C14" s="76" t="inlineStr">
        <is>
          <t>628</t>
        </is>
      </c>
      <c r="D14" s="76">
        <f>Declarații_DECONT!B12</f>
        <v>0.21</v>
      </c>
      <c r="E14" s="76" t="inlineStr">
        <is>
          <t>Taxabil</t>
        </is>
      </c>
      <c r="F14" s="76" t="n">
        <v>1</v>
      </c>
      <c r="G14" s="76" t="inlineStr">
        <is>
          <t>Deductibil</t>
        </is>
      </c>
      <c r="H14" s="76" t="inlineStr">
        <is>
          <t>—</t>
        </is>
      </c>
    </row>
    <row r="15">
      <c r="A15" s="76" t="inlineStr">
        <is>
          <t>MATERIALE</t>
        </is>
      </c>
      <c r="B15" s="76" t="inlineStr">
        <is>
          <t>Materiale consumabile</t>
        </is>
      </c>
      <c r="C15" s="76" t="inlineStr">
        <is>
          <t>6028</t>
        </is>
      </c>
      <c r="D15" s="76">
        <f>Declarații_DECONT!B12</f>
        <v>0.21</v>
      </c>
      <c r="E15" s="76" t="inlineStr">
        <is>
          <t>Taxabil</t>
        </is>
      </c>
      <c r="F15" s="76" t="n">
        <v>1</v>
      </c>
      <c r="G15" s="76" t="inlineStr">
        <is>
          <t>Deductibil</t>
        </is>
      </c>
      <c r="H15" s="76" t="inlineStr">
        <is>
          <t>—</t>
        </is>
      </c>
    </row>
    <row r="16">
      <c r="A16" s="76" t="inlineStr">
        <is>
          <t>PERSONAL</t>
        </is>
      </c>
      <c r="B16" s="76" t="inlineStr">
        <is>
          <t>Cheltuială personală / nejustificată</t>
        </is>
      </c>
      <c r="C16" s="76" t="inlineStr">
        <is>
          <t>6588</t>
        </is>
      </c>
      <c r="D16" s="76" t="n">
        <v>0</v>
      </c>
      <c r="E16" s="76" t="inlineStr">
        <is>
          <t>Fără drept de deducere</t>
        </is>
      </c>
      <c r="F16" s="76" t="n">
        <v>0</v>
      </c>
      <c r="G16" s="76" t="inlineStr">
        <is>
          <t>Nedeductibil</t>
        </is>
      </c>
      <c r="H16" s="76" t="inlineStr">
        <is>
          <t>nu se acceptă la deducere fiscală</t>
        </is>
      </c>
    </row>
    <row r="18">
      <c r="A18" s="75" t="inlineStr">
        <is>
          <t>Tabel B — Matricea dreptului de deducere</t>
        </is>
      </c>
    </row>
    <row r="19">
      <c r="A19" s="74" t="inlineStr">
        <is>
          <t>Cheia e perechea „tip document | CUI pe document”. Aici se decide dacă TVA se deduce și dacă cheltuiala se acceptă la decont.</t>
        </is>
      </c>
    </row>
    <row r="20">
      <c r="A20" s="78" t="inlineStr">
        <is>
          <t>Cheie</t>
        </is>
      </c>
      <c r="B20" s="78" t="inlineStr">
        <is>
          <t>Tip document</t>
        </is>
      </c>
      <c r="C20" s="78" t="inlineStr">
        <is>
          <t>CUI pe document</t>
        </is>
      </c>
      <c r="D20" s="78" t="inlineStr">
        <is>
          <t>Deducere TVA</t>
        </is>
      </c>
      <c r="E20" s="78" t="inlineStr">
        <is>
          <t>Cheltuială acceptată</t>
        </is>
      </c>
      <c r="F20" s="78" t="inlineStr"/>
      <c r="G20" s="78" t="inlineStr"/>
      <c r="H20" s="78" t="inlineStr">
        <is>
          <t>Motivare</t>
        </is>
      </c>
    </row>
    <row r="21">
      <c r="A21" s="76" t="inlineStr">
        <is>
          <t>Factura|DA</t>
        </is>
      </c>
      <c r="B21" s="76" t="inlineStr">
        <is>
          <t>Factura</t>
        </is>
      </c>
      <c r="C21" s="76" t="inlineStr">
        <is>
          <t>DA</t>
        </is>
      </c>
      <c r="D21" s="76" t="inlineStr">
        <is>
          <t>DA</t>
        </is>
      </c>
      <c r="E21" s="76" t="inlineStr">
        <is>
          <t>DA</t>
        </is>
      </c>
      <c r="H21" s="76" t="inlineStr">
        <is>
          <t>Factură completă conform art. 319 — TVA deductibil</t>
        </is>
      </c>
    </row>
    <row r="22">
      <c r="A22" s="76" t="inlineStr">
        <is>
          <t>Factura|NU</t>
        </is>
      </c>
      <c r="B22" s="76" t="inlineStr">
        <is>
          <t>Factura</t>
        </is>
      </c>
      <c r="C22" s="76" t="inlineStr">
        <is>
          <t>NU</t>
        </is>
      </c>
      <c r="D22" s="76" t="inlineStr">
        <is>
          <t>NU</t>
        </is>
      </c>
      <c r="E22" s="76" t="inlineStr">
        <is>
          <t>DA</t>
        </is>
      </c>
      <c r="H22" s="76" t="inlineStr">
        <is>
          <t>Lipsesc datele cumpărătorului — TVA nedeductibil, cheltuiala rămâne acceptată</t>
        </is>
      </c>
    </row>
    <row r="23">
      <c r="A23" s="76" t="inlineStr">
        <is>
          <t>Bon fiscal|DA</t>
        </is>
      </c>
      <c r="B23" s="76" t="inlineStr">
        <is>
          <t>Bon fiscal</t>
        </is>
      </c>
      <c r="C23" s="76" t="inlineStr">
        <is>
          <t>DA</t>
        </is>
      </c>
      <c r="D23" s="76" t="inlineStr">
        <is>
          <t>DA</t>
        </is>
      </c>
      <c r="E23" s="76" t="inlineStr">
        <is>
          <t>DA</t>
        </is>
      </c>
      <c r="H23" s="76" t="inlineStr">
        <is>
          <t>Factură simplificată — deducere permisă sub plafonul de 100 EUR</t>
        </is>
      </c>
    </row>
    <row r="24">
      <c r="A24" s="76" t="inlineStr">
        <is>
          <t>Bon fiscal|NU</t>
        </is>
      </c>
      <c r="B24" s="76" t="inlineStr">
        <is>
          <t>Bon fiscal</t>
        </is>
      </c>
      <c r="C24" s="76" t="inlineStr">
        <is>
          <t>NU</t>
        </is>
      </c>
      <c r="D24" s="76" t="inlineStr">
        <is>
          <t>NU</t>
        </is>
      </c>
      <c r="E24" s="76" t="inlineStr">
        <is>
          <t>DA</t>
        </is>
      </c>
      <c r="H24" s="76" t="inlineStr">
        <is>
          <t>Bon fără CUI — TVA nedeductibil; justificare cu ordin de deplasare</t>
        </is>
      </c>
    </row>
    <row r="25">
      <c r="A25" s="76" t="inlineStr">
        <is>
          <t>Lipsa document|DA</t>
        </is>
      </c>
      <c r="B25" s="76" t="inlineStr">
        <is>
          <t>Lipsa document</t>
        </is>
      </c>
      <c r="C25" s="76" t="inlineStr">
        <is>
          <t>DA</t>
        </is>
      </c>
      <c r="D25" s="76" t="inlineStr">
        <is>
          <t>NU</t>
        </is>
      </c>
      <c r="E25" s="76" t="inlineStr">
        <is>
          <t>NU</t>
        </is>
      </c>
      <c r="H25" s="76" t="inlineStr">
        <is>
          <t>Fără document justificativ — decontul nu se acceptă</t>
        </is>
      </c>
    </row>
    <row r="26">
      <c r="A26" s="76" t="inlineStr">
        <is>
          <t>Lipsa document|NU</t>
        </is>
      </c>
      <c r="B26" s="76" t="inlineStr">
        <is>
          <t>Lipsa document</t>
        </is>
      </c>
      <c r="C26" s="76" t="inlineStr">
        <is>
          <t>NU</t>
        </is>
      </c>
      <c r="D26" s="76" t="inlineStr">
        <is>
          <t>NU</t>
        </is>
      </c>
      <c r="E26" s="76" t="inlineStr">
        <is>
          <t>NU</t>
        </is>
      </c>
      <c r="H26" s="76" t="inlineStr">
        <is>
          <t>Fără document justificativ — decontul nu se acceptă</t>
        </is>
      </c>
    </row>
    <row r="28">
      <c r="A28" s="75" t="inlineStr">
        <is>
          <t>Tabel C — Limitare cunoscută</t>
        </is>
      </c>
    </row>
    <row r="29">
      <c r="A29" s="76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3" t="inlineStr">
        <is>
          <t>MOD_DECONT — Registrul liniilor</t>
        </is>
      </c>
    </row>
    <row r="2">
      <c r="A2" s="7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78" t="inlineStr">
        <is>
          <t>Nr.</t>
        </is>
      </c>
      <c r="B4" s="78" t="inlineStr">
        <is>
          <t>Furnizor</t>
        </is>
      </c>
      <c r="C4" s="78" t="inlineStr">
        <is>
          <t>Data doc.</t>
        </is>
      </c>
      <c r="D4" s="78" t="inlineStr">
        <is>
          <t>Sumă brută</t>
        </is>
      </c>
      <c r="E4" s="78" t="inlineStr">
        <is>
          <t>Natura chelt.</t>
        </is>
      </c>
      <c r="F4" s="78" t="inlineStr">
        <is>
          <t>Tip document</t>
        </is>
      </c>
      <c r="G4" s="78" t="inlineStr">
        <is>
          <t>CUI pe doc.</t>
        </is>
      </c>
      <c r="H4" s="78" t="inlineStr">
        <is>
          <t>Cont</t>
        </is>
      </c>
      <c r="I4" s="78" t="inlineStr">
        <is>
          <t>Cotă</t>
        </is>
      </c>
      <c r="J4" s="78" t="inlineStr">
        <is>
          <t>% ded.</t>
        </is>
      </c>
      <c r="K4" s="78" t="inlineStr">
        <is>
          <t>Deducere TVA</t>
        </is>
      </c>
      <c r="L4" s="78" t="inlineStr">
        <is>
          <t>Acceptat</t>
        </is>
      </c>
      <c r="M4" s="78" t="inlineStr">
        <is>
          <t>Bază cheltuială</t>
        </is>
      </c>
      <c r="N4" s="78" t="inlineStr">
        <is>
          <t>TVA deductibil</t>
        </is>
      </c>
      <c r="O4" s="78" t="inlineStr">
        <is>
          <t>Impozit pe profit</t>
        </is>
      </c>
      <c r="P4" s="78" t="inlineStr">
        <is>
          <t>Regula aplicată</t>
        </is>
      </c>
    </row>
    <row r="5">
      <c r="A5" s="76" t="n">
        <v>1</v>
      </c>
      <c r="B5" s="77" t="inlineStr">
        <is>
          <t>WIZZ AIR MALTA LIMITED</t>
        </is>
      </c>
      <c r="C5" s="77" t="inlineStr">
        <is>
          <t>2026-07-20</t>
        </is>
      </c>
      <c r="D5" s="77" t="n">
        <v>1780.38</v>
      </c>
      <c r="E5" s="77" t="inlineStr">
        <is>
          <t>TRANSP_INT</t>
        </is>
      </c>
      <c r="F5" s="77" t="inlineStr">
        <is>
          <t>Factura</t>
        </is>
      </c>
      <c r="G5" s="77" t="inlineStr">
        <is>
          <t>DA</t>
        </is>
      </c>
      <c r="H5" s="76" t="str">
        <f>IF($D5="","",IFERROR(VLOOKUP($E5,Reguli_DECONT!$A$6:$H$16,3,FALSE),"?"))</f>
        <v>625</v>
      </c>
      <c r="I5" s="76">
        <f>IF($D5="","",IFERROR(VLOOKUP($E5,Reguli_DECONT!$A$6:$H$16,4,FALSE),0))</f>
        <v>0</v>
      </c>
      <c r="J5" s="76">
        <f>IF($D5="","",IFERROR(VLOOKUP($E5,Reguli_DECONT!$A$6:$H$16,6,FALSE),0))</f>
        <v>1</v>
      </c>
      <c r="K5" s="76" t="str">
        <f>IF($D5="","",IF(Declarații_DECONT!B11&lt;&gt;"DA","NU",IFERROR(VLOOKUP($F5&amp;"|"&amp;$G5,Reguli_DECONT!$A$21:$H$26,4,FALSE),"NU")))</f>
        <v>DA</v>
      </c>
      <c r="L5" s="76" t="str">
        <f>IF($D5="","",IFERROR(VLOOKUP($F5&amp;"|"&amp;$G5,Reguli_DECONT!$A$21:$H$26,5,FALSE),"NU"))</f>
        <v>DA</v>
      </c>
      <c r="M5" s="76">
        <f>IF($D5="","",IF($L5&lt;&gt;"DA",0,$D5-$N5))</f>
        <v>1780.38</v>
      </c>
      <c r="N5" s="76">
        <f>IF($D5="","",IF($L5&lt;&gt;"DA",0,IF($K5&lt;&gt;"DA",0,ROUND($D5*$I5/(1+$I5)*$J5,2))))</f>
        <v>0</v>
      </c>
      <c r="O5" s="76" t="str">
        <f>IF($D5="","",IFERROR(VLOOKUP($E5,Reguli_DECONT!$A$6:$H$16,7,FALSE),"?"))</f>
        <v>Deductibil</v>
      </c>
      <c r="P5" s="74" t="str">
        <f>IF($D5="","",IFERROR(VLOOKUP($F5&amp;"|"&amp;$G5,Reguli_DECONT!$A$21:$H$26,8,FALSE),"cod de natură necunoscut"))</f>
        <v>Factură completă conform art. 319 — TVA deductibil</v>
      </c>
    </row>
    <row r="6">
      <c r="A6" s="76" t="n">
        <v>2</v>
      </c>
      <c r="B6" s="77" t="inlineStr">
        <is>
          <t>WIZZ AIR MALTA LIMITED</t>
        </is>
      </c>
      <c r="C6" s="77" t="inlineStr">
        <is>
          <t>2026-07-29</t>
        </is>
      </c>
      <c r="D6" s="77" t="n">
        <v>1720.38</v>
      </c>
      <c r="E6" s="77" t="inlineStr">
        <is>
          <t>TRANSP_INT</t>
        </is>
      </c>
      <c r="F6" s="77" t="inlineStr">
        <is>
          <t>Factura</t>
        </is>
      </c>
      <c r="G6" s="77" t="inlineStr">
        <is>
          <t>DA</t>
        </is>
      </c>
      <c r="H6" s="76" t="str">
        <f>IF($D6="","",IFERROR(VLOOKUP($E6,Reguli_DECONT!$A$6:$H$16,3,FALSE),"?"))</f>
        <v>625</v>
      </c>
      <c r="I6" s="76">
        <f>IF($D6="","",IFERROR(VLOOKUP($E6,Reguli_DECONT!$A$6:$H$16,4,FALSE),0))</f>
        <v>0</v>
      </c>
      <c r="J6" s="76">
        <f>IF($D6="","",IFERROR(VLOOKUP($E6,Reguli_DECONT!$A$6:$H$16,6,FALSE),0))</f>
        <v>1</v>
      </c>
      <c r="K6" s="76" t="str">
        <f>IF($D6="","",IF(Declarații_DECONT!B11&lt;&gt;"DA","NU",IFERROR(VLOOKUP($F6&amp;"|"&amp;$G6,Reguli_DECONT!$A$21:$H$26,4,FALSE),"NU")))</f>
        <v>DA</v>
      </c>
      <c r="L6" s="76" t="str">
        <f>IF($D6="","",IFERROR(VLOOKUP($F6&amp;"|"&amp;$G6,Reguli_DECONT!$A$21:$H$26,5,FALSE),"NU"))</f>
        <v>DA</v>
      </c>
      <c r="M6" s="76">
        <f>IF($D6="","",IF($L6&lt;&gt;"DA",0,$D6-$N6))</f>
        <v>1720.38</v>
      </c>
      <c r="N6" s="76">
        <f>IF($D6="","",IF($L6&lt;&gt;"DA",0,IF($K6&lt;&gt;"DA",0,ROUND($D6*$I6/(1+$I6)*$J6,2))))</f>
        <v>0</v>
      </c>
      <c r="O6" s="76" t="str">
        <f>IF($D6="","",IFERROR(VLOOKUP($E6,Reguli_DECONT!$A$6:$H$16,7,FALSE),"?"))</f>
        <v>Deductibil</v>
      </c>
      <c r="P6" s="74" t="str">
        <f>IF($D6="","",IFERROR(VLOOKUP($F6&amp;"|"&amp;$G6,Reguli_DECONT!$A$21:$H$26,8,FALSE),"cod de natură necunoscut"))</f>
        <v>Factură completă conform art. 319 — TVA deductibil</v>
      </c>
    </row>
    <row r="7">
      <c r="A7" s="76" t="n">
        <v>3</v>
      </c>
      <c r="B7" s="77" t="inlineStr">
        <is>
          <t>CITY CAFÉ EXPRESS</t>
        </is>
      </c>
      <c r="C7" s="77" t="inlineStr">
        <is>
          <t>2026-07-14</t>
        </is>
      </c>
      <c r="D7" s="77" t="n">
        <v>38</v>
      </c>
      <c r="E7" s="77" t="inlineStr">
        <is>
          <t>MASA</t>
        </is>
      </c>
      <c r="F7" s="77" t="inlineStr">
        <is>
          <t>Bon fiscal</t>
        </is>
      </c>
      <c r="G7" s="77" t="inlineStr">
        <is>
          <t>NU</t>
        </is>
      </c>
      <c r="H7" s="76" t="str">
        <f>IF($D7="","",IFERROR(VLOOKUP($E7,Reguli_DECONT!$A$6:$H$16,3,FALSE),"?"))</f>
        <v>625</v>
      </c>
      <c r="I7" s="76">
        <f>IF($D7="","",IFERROR(VLOOKUP($E7,Reguli_DECONT!$A$6:$H$16,4,FALSE),0))</f>
        <v>0.11</v>
      </c>
      <c r="J7" s="76">
        <f>IF($D7="","",IFERROR(VLOOKUP($E7,Reguli_DECONT!$A$6:$H$16,6,FALSE),0))</f>
        <v>1</v>
      </c>
      <c r="K7" s="76" t="str">
        <f>IF($D7="","",IF(Declarații_DECONT!B11&lt;&gt;"DA","NU",IFERROR(VLOOKUP($F7&amp;"|"&amp;$G7,Reguli_DECONT!$A$21:$H$26,4,FALSE),"NU")))</f>
        <v>NU</v>
      </c>
      <c r="L7" s="76" t="str">
        <f>IF($D7="","",IFERROR(VLOOKUP($F7&amp;"|"&amp;$G7,Reguli_DECONT!$A$21:$H$26,5,FALSE),"NU"))</f>
        <v>DA</v>
      </c>
      <c r="M7" s="76">
        <f>IF($D7="","",IF($L7&lt;&gt;"DA",0,$D7-$N7))</f>
        <v>38</v>
      </c>
      <c r="N7" s="76">
        <f>IF($D7="","",IF($L7&lt;&gt;"DA",0,IF($K7&lt;&gt;"DA",0,ROUND($D7*$I7/(1+$I7)*$J7,2))))</f>
        <v>0</v>
      </c>
      <c r="O7" s="76" t="str">
        <f>IF($D7="","",IFERROR(VLOOKUP($E7,Reguli_DECONT!$A$6:$H$16,7,FALSE),"?"))</f>
        <v>Deductibil</v>
      </c>
      <c r="P7" s="7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76" t="n">
        <v>4</v>
      </c>
      <c r="B8" s="77" t="inlineStr">
        <is>
          <t>OLIMPIA PARKING</t>
        </is>
      </c>
      <c r="C8" s="77" t="inlineStr">
        <is>
          <t>2026-07-16</t>
        </is>
      </c>
      <c r="D8" s="77" t="n">
        <v>200</v>
      </c>
      <c r="E8" s="77" t="inlineStr">
        <is>
          <t>PARCARE</t>
        </is>
      </c>
      <c r="F8" s="77" t="inlineStr">
        <is>
          <t>Bon fiscal</t>
        </is>
      </c>
      <c r="G8" s="77" t="inlineStr">
        <is>
          <t>NU</t>
        </is>
      </c>
      <c r="H8" s="76" t="str">
        <f>IF($D8="","",IFERROR(VLOOKUP($E8,Reguli_DECONT!$A$6:$H$16,3,FALSE),"?"))</f>
        <v>625</v>
      </c>
      <c r="I8" s="76">
        <f>IF($D8="","",IFERROR(VLOOKUP($E8,Reguli_DECONT!$A$6:$H$16,4,FALSE),0))</f>
        <v>0.21</v>
      </c>
      <c r="J8" s="76">
        <f>IF($D8="","",IFERROR(VLOOKUP($E8,Reguli_DECONT!$A$6:$H$16,6,FALSE),0))</f>
        <v>1</v>
      </c>
      <c r="K8" s="76" t="str">
        <f>IF($D8="","",IF(Declarații_DECONT!B11&lt;&gt;"DA","NU",IFERROR(VLOOKUP($F8&amp;"|"&amp;$G8,Reguli_DECONT!$A$21:$H$26,4,FALSE),"NU")))</f>
        <v>NU</v>
      </c>
      <c r="L8" s="76" t="str">
        <f>IF($D8="","",IFERROR(VLOOKUP($F8&amp;"|"&amp;$G8,Reguli_DECONT!$A$21:$H$26,5,FALSE),"NU"))</f>
        <v>DA</v>
      </c>
      <c r="M8" s="76">
        <f>IF($D8="","",IF($L8&lt;&gt;"DA",0,$D8-$N8))</f>
        <v>200</v>
      </c>
      <c r="N8" s="76">
        <f>IF($D8="","",IF($L8&lt;&gt;"DA",0,IF($K8&lt;&gt;"DA",0,ROUND($D8*$I8/(1+$I8)*$J8,2))))</f>
        <v>0</v>
      </c>
      <c r="O8" s="76" t="str">
        <f>IF($D8="","",IFERROR(VLOOKUP($E8,Reguli_DECONT!$A$6:$H$16,7,FALSE),"?"))</f>
        <v>Deductibil</v>
      </c>
      <c r="P8" s="7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76" t="n">
        <v>5</v>
      </c>
      <c r="B9" s="77" t="inlineStr">
        <is>
          <t>OLIMPIA PARKING</t>
        </is>
      </c>
      <c r="C9" s="77" t="inlineStr">
        <is>
          <t>2026-07-30</t>
        </is>
      </c>
      <c r="D9" s="77" t="n">
        <v>200</v>
      </c>
      <c r="E9" s="77" t="inlineStr">
        <is>
          <t>PARCARE</t>
        </is>
      </c>
      <c r="F9" s="77" t="inlineStr">
        <is>
          <t>Bon fiscal</t>
        </is>
      </c>
      <c r="G9" s="77" t="inlineStr">
        <is>
          <t>NU</t>
        </is>
      </c>
      <c r="H9" s="76" t="str">
        <f>IF($D9="","",IFERROR(VLOOKUP($E9,Reguli_DECONT!$A$6:$H$16,3,FALSE),"?"))</f>
        <v>625</v>
      </c>
      <c r="I9" s="76">
        <f>IF($D9="","",IFERROR(VLOOKUP($E9,Reguli_DECONT!$A$6:$H$16,4,FALSE),0))</f>
        <v>0.21</v>
      </c>
      <c r="J9" s="76">
        <f>IF($D9="","",IFERROR(VLOOKUP($E9,Reguli_DECONT!$A$6:$H$16,6,FALSE),0))</f>
        <v>1</v>
      </c>
      <c r="K9" s="76" t="str">
        <f>IF($D9="","",IF(Declarații_DECONT!B11&lt;&gt;"DA","NU",IFERROR(VLOOKUP($F9&amp;"|"&amp;$G9,Reguli_DECONT!$A$21:$H$26,4,FALSE),"NU")))</f>
        <v>NU</v>
      </c>
      <c r="L9" s="76" t="str">
        <f>IF($D9="","",IFERROR(VLOOKUP($F9&amp;"|"&amp;$G9,Reguli_DECONT!$A$21:$H$26,5,FALSE),"NU"))</f>
        <v>DA</v>
      </c>
      <c r="M9" s="76">
        <f>IF($D9="","",IF($L9&lt;&gt;"DA",0,$D9-$N9))</f>
        <v>200</v>
      </c>
      <c r="N9" s="76">
        <f>IF($D9="","",IF($L9&lt;&gt;"DA",0,IF($K9&lt;&gt;"DA",0,ROUND($D9*$I9/(1+$I9)*$J9,2))))</f>
        <v>0</v>
      </c>
      <c r="O9" s="76" t="str">
        <f>IF($D9="","",IFERROR(VLOOKUP($E9,Reguli_DECONT!$A$6:$H$16,7,FALSE),"?"))</f>
        <v>Deductibil</v>
      </c>
      <c r="P9" s="7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76" t="n">
        <v>6</v>
      </c>
      <c r="B10" s="77" t="inlineStr"/>
      <c r="C10" s="77" t="n"/>
      <c r="D10" s="77" t="n"/>
      <c r="E10" s="77" t="inlineStr"/>
      <c r="F10" s="77" t="inlineStr"/>
      <c r="G10" s="77" t="inlineStr"/>
      <c r="H10" s="76">
        <f>IF($D10="","",IFERROR(VLOOKUP($E10,Reguli_DECONT!$A$6:$H$16,3,FALSE),"?"))</f>
        <v/>
      </c>
      <c r="I10" s="76">
        <f>IF($D10="","",IFERROR(VLOOKUP($E10,Reguli_DECONT!$A$6:$H$16,4,FALSE),0))</f>
        <v/>
      </c>
      <c r="J10" s="76">
        <f>IF($D10="","",IFERROR(VLOOKUP($E10,Reguli_DECONT!$A$6:$H$16,6,FALSE),0))</f>
        <v/>
      </c>
      <c r="K10" s="76">
        <f>IF($D10="","",IF(Declarații_DECONT!B11&lt;&gt;"DA","NU",IFERROR(VLOOKUP($F10&amp;"|"&amp;$G10,Reguli_DECONT!$A$21:$H$26,4,FALSE),"NU")))</f>
        <v/>
      </c>
      <c r="L10" s="76">
        <f>IF($D10="","",IFERROR(VLOOKUP($F10&amp;"|"&amp;$G10,Reguli_DECONT!$A$21:$H$26,5,FALSE),"NU"))</f>
        <v/>
      </c>
      <c r="M10" s="76">
        <f>IF($D10="","",IF($L10&lt;&gt;"DA",0,$D10-$N10))</f>
        <v/>
      </c>
      <c r="N10" s="76">
        <f>IF($D10="","",IF($L10&lt;&gt;"DA",0,IF($K10&lt;&gt;"DA",0,ROUND($D10*$I10/(1+$I10)*$J10,2))))</f>
        <v/>
      </c>
      <c r="O10" s="76">
        <f>IF($D10="","",IFERROR(VLOOKUP($E10,Reguli_DECONT!$A$6:$H$16,7,FALSE),"?"))</f>
        <v/>
      </c>
      <c r="P10" s="74">
        <f>IF($D10="","",IFERROR(VLOOKUP($F10&amp;"|"&amp;$G10,Reguli_DECONT!$A$21:$H$26,8,FALSE),"cod de natură necunoscut"))</f>
        <v/>
      </c>
    </row>
    <row r="11">
      <c r="A11" s="76" t="n">
        <v>7</v>
      </c>
      <c r="B11" s="77" t="inlineStr"/>
      <c r="C11" s="77" t="n"/>
      <c r="D11" s="77" t="n"/>
      <c r="E11" s="77" t="inlineStr"/>
      <c r="F11" s="77" t="inlineStr"/>
      <c r="G11" s="77" t="inlineStr"/>
      <c r="H11" s="76">
        <f>IF($D11="","",IFERROR(VLOOKUP($E11,Reguli_DECONT!$A$6:$H$16,3,FALSE),"?"))</f>
        <v/>
      </c>
      <c r="I11" s="76">
        <f>IF($D11="","",IFERROR(VLOOKUP($E11,Reguli_DECONT!$A$6:$H$16,4,FALSE),0))</f>
        <v/>
      </c>
      <c r="J11" s="76">
        <f>IF($D11="","",IFERROR(VLOOKUP($E11,Reguli_DECONT!$A$6:$H$16,6,FALSE),0))</f>
        <v/>
      </c>
      <c r="K11" s="76">
        <f>IF($D11="","",IF(Declarații_DECONT!B11&lt;&gt;"DA","NU",IFERROR(VLOOKUP($F11&amp;"|"&amp;$G11,Reguli_DECONT!$A$21:$H$26,4,FALSE),"NU")))</f>
        <v/>
      </c>
      <c r="L11" s="76">
        <f>IF($D11="","",IFERROR(VLOOKUP($F11&amp;"|"&amp;$G11,Reguli_DECONT!$A$21:$H$26,5,FALSE),"NU"))</f>
        <v/>
      </c>
      <c r="M11" s="76">
        <f>IF($D11="","",IF($L11&lt;&gt;"DA",0,$D11-$N11))</f>
        <v/>
      </c>
      <c r="N11" s="76">
        <f>IF($D11="","",IF($L11&lt;&gt;"DA",0,IF($K11&lt;&gt;"DA",0,ROUND($D11*$I11/(1+$I11)*$J11,2))))</f>
        <v/>
      </c>
      <c r="O11" s="76">
        <f>IF($D11="","",IFERROR(VLOOKUP($E11,Reguli_DECONT!$A$6:$H$16,7,FALSE),"?"))</f>
        <v/>
      </c>
      <c r="P11" s="74">
        <f>IF($D11="","",IFERROR(VLOOKUP($F11&amp;"|"&amp;$G11,Reguli_DECONT!$A$21:$H$26,8,FALSE),"cod de natură necunoscut"))</f>
        <v/>
      </c>
    </row>
    <row r="12">
      <c r="A12" s="76" t="n">
        <v>8</v>
      </c>
      <c r="B12" s="77" t="inlineStr"/>
      <c r="C12" s="77" t="n"/>
      <c r="D12" s="77" t="n"/>
      <c r="E12" s="77" t="inlineStr"/>
      <c r="F12" s="77" t="inlineStr"/>
      <c r="G12" s="77" t="inlineStr"/>
      <c r="H12" s="76">
        <f>IF($D12="","",IFERROR(VLOOKUP($E12,Reguli_DECONT!$A$6:$H$16,3,FALSE),"?"))</f>
        <v/>
      </c>
      <c r="I12" s="76">
        <f>IF($D12="","",IFERROR(VLOOKUP($E12,Reguli_DECONT!$A$6:$H$16,4,FALSE),0))</f>
        <v/>
      </c>
      <c r="J12" s="76">
        <f>IF($D12="","",IFERROR(VLOOKUP($E12,Reguli_DECONT!$A$6:$H$16,6,FALSE),0))</f>
        <v/>
      </c>
      <c r="K12" s="76">
        <f>IF($D12="","",IF(Declarații_DECONT!B11&lt;&gt;"DA","NU",IFERROR(VLOOKUP($F12&amp;"|"&amp;$G12,Reguli_DECONT!$A$21:$H$26,4,FALSE),"NU")))</f>
        <v/>
      </c>
      <c r="L12" s="76">
        <f>IF($D12="","",IFERROR(VLOOKUP($F12&amp;"|"&amp;$G12,Reguli_DECONT!$A$21:$H$26,5,FALSE),"NU"))</f>
        <v/>
      </c>
      <c r="M12" s="76">
        <f>IF($D12="","",IF($L12&lt;&gt;"DA",0,$D12-$N12))</f>
        <v/>
      </c>
      <c r="N12" s="76">
        <f>IF($D12="","",IF($L12&lt;&gt;"DA",0,IF($K12&lt;&gt;"DA",0,ROUND($D12*$I12/(1+$I12)*$J12,2))))</f>
        <v/>
      </c>
      <c r="O12" s="76">
        <f>IF($D12="","",IFERROR(VLOOKUP($E12,Reguli_DECONT!$A$6:$H$16,7,FALSE),"?"))</f>
        <v/>
      </c>
      <c r="P12" s="74">
        <f>IF($D12="","",IFERROR(VLOOKUP($F12&amp;"|"&amp;$G12,Reguli_DECONT!$A$21:$H$26,8,FALSE),"cod de natură necunoscut"))</f>
        <v/>
      </c>
    </row>
    <row r="13">
      <c r="A13" s="76" t="n">
        <v>9</v>
      </c>
      <c r="B13" s="77" t="inlineStr"/>
      <c r="C13" s="77" t="n"/>
      <c r="D13" s="77" t="n"/>
      <c r="E13" s="77" t="inlineStr"/>
      <c r="F13" s="77" t="inlineStr"/>
      <c r="G13" s="77" t="inlineStr"/>
      <c r="H13" s="76">
        <f>IF($D13="","",IFERROR(VLOOKUP($E13,Reguli_DECONT!$A$6:$H$16,3,FALSE),"?"))</f>
        <v/>
      </c>
      <c r="I13" s="76">
        <f>IF($D13="","",IFERROR(VLOOKUP($E13,Reguli_DECONT!$A$6:$H$16,4,FALSE),0))</f>
        <v/>
      </c>
      <c r="J13" s="76">
        <f>IF($D13="","",IFERROR(VLOOKUP($E13,Reguli_DECONT!$A$6:$H$16,6,FALSE),0))</f>
        <v/>
      </c>
      <c r="K13" s="76">
        <f>IF($D13="","",IF(Declarații_DECONT!B11&lt;&gt;"DA","NU",IFERROR(VLOOKUP($F13&amp;"|"&amp;$G13,Reguli_DECONT!$A$21:$H$26,4,FALSE),"NU")))</f>
        <v/>
      </c>
      <c r="L13" s="76">
        <f>IF($D13="","",IFERROR(VLOOKUP($F13&amp;"|"&amp;$G13,Reguli_DECONT!$A$21:$H$26,5,FALSE),"NU"))</f>
        <v/>
      </c>
      <c r="M13" s="76">
        <f>IF($D13="","",IF($L13&lt;&gt;"DA",0,$D13-$N13))</f>
        <v/>
      </c>
      <c r="N13" s="76">
        <f>IF($D13="","",IF($L13&lt;&gt;"DA",0,IF($K13&lt;&gt;"DA",0,ROUND($D13*$I13/(1+$I13)*$J13,2))))</f>
        <v/>
      </c>
      <c r="O13" s="76">
        <f>IF($D13="","",IFERROR(VLOOKUP($E13,Reguli_DECONT!$A$6:$H$16,7,FALSE),"?"))</f>
        <v/>
      </c>
      <c r="P13" s="74">
        <f>IF($D13="","",IFERROR(VLOOKUP($F13&amp;"|"&amp;$G13,Reguli_DECONT!$A$21:$H$26,8,FALSE),"cod de natură necunoscut"))</f>
        <v/>
      </c>
    </row>
    <row r="14">
      <c r="A14" s="76" t="n">
        <v>10</v>
      </c>
      <c r="B14" s="77" t="inlineStr"/>
      <c r="C14" s="77" t="n"/>
      <c r="D14" s="77" t="n"/>
      <c r="E14" s="77" t="inlineStr"/>
      <c r="F14" s="77" t="inlineStr"/>
      <c r="G14" s="77" t="inlineStr"/>
      <c r="H14" s="76">
        <f>IF($D14="","",IFERROR(VLOOKUP($E14,Reguli_DECONT!$A$6:$H$16,3,FALSE),"?"))</f>
        <v/>
      </c>
      <c r="I14" s="76">
        <f>IF($D14="","",IFERROR(VLOOKUP($E14,Reguli_DECONT!$A$6:$H$16,4,FALSE),0))</f>
        <v/>
      </c>
      <c r="J14" s="76">
        <f>IF($D14="","",IFERROR(VLOOKUP($E14,Reguli_DECONT!$A$6:$H$16,6,FALSE),0))</f>
        <v/>
      </c>
      <c r="K14" s="76">
        <f>IF($D14="","",IF(Declarații_DECONT!B11&lt;&gt;"DA","NU",IFERROR(VLOOKUP($F14&amp;"|"&amp;$G14,Reguli_DECONT!$A$21:$H$26,4,FALSE),"NU")))</f>
        <v/>
      </c>
      <c r="L14" s="76">
        <f>IF($D14="","",IFERROR(VLOOKUP($F14&amp;"|"&amp;$G14,Reguli_DECONT!$A$21:$H$26,5,FALSE),"NU"))</f>
        <v/>
      </c>
      <c r="M14" s="76">
        <f>IF($D14="","",IF($L14&lt;&gt;"DA",0,$D14-$N14))</f>
        <v/>
      </c>
      <c r="N14" s="76">
        <f>IF($D14="","",IF($L14&lt;&gt;"DA",0,IF($K14&lt;&gt;"DA",0,ROUND($D14*$I14/(1+$I14)*$J14,2))))</f>
        <v/>
      </c>
      <c r="O14" s="76">
        <f>IF($D14="","",IFERROR(VLOOKUP($E14,Reguli_DECONT!$A$6:$H$16,7,FALSE),"?"))</f>
        <v/>
      </c>
      <c r="P14" s="74">
        <f>IF($D14="","",IFERROR(VLOOKUP($F14&amp;"|"&amp;$G14,Reguli_DECONT!$A$21:$H$26,8,FALSE),"cod de natură necunoscut"))</f>
        <v/>
      </c>
    </row>
    <row r="15">
      <c r="A15" s="78" t="inlineStr"/>
      <c r="B15" s="78" t="inlineStr">
        <is>
          <t>TOTAL</t>
        </is>
      </c>
      <c r="C15" s="78" t="inlineStr"/>
      <c r="D15" s="78">
        <f>SUM(D5:D14)</f>
        <v>3938.76</v>
      </c>
      <c r="E15" s="78" t="inlineStr"/>
      <c r="F15" s="78" t="inlineStr"/>
      <c r="G15" s="78" t="inlineStr"/>
      <c r="H15" s="78" t="inlineStr"/>
      <c r="I15" s="78" t="inlineStr"/>
      <c r="J15" s="78" t="inlineStr"/>
      <c r="K15" s="78" t="inlineStr"/>
      <c r="L15" s="78" t="inlineStr"/>
      <c r="M15" s="78">
        <f>SUM(M5:M14)</f>
        <v>3938.76</v>
      </c>
      <c r="N15" s="78">
        <f>SUM(N5:N14)</f>
        <v>0</v>
      </c>
      <c r="O15" s="78" t="inlineStr"/>
      <c r="P15" s="78" t="inlineStr"/>
    </row>
    <row r="17">
      <c r="A17" s="75" t="inlineStr">
        <is>
          <t>Recapitulație</t>
        </is>
      </c>
    </row>
    <row r="18">
      <c r="A18" s="76" t="inlineStr">
        <is>
          <t>Total datorat titularului (bază + TVA dedus)</t>
        </is>
      </c>
      <c r="B18" s="76">
        <f>Registru_DECONT!$M$15+Registru_DECONT!$N$15</f>
        <v>3938.76</v>
      </c>
    </row>
    <row r="19">
      <c r="A19" s="76" t="inlineStr">
        <is>
          <t>Total neacceptat (fără document justificativ)</t>
        </is>
      </c>
      <c r="B19" s="76">
        <f>Registru_DECONT!$D$15-(Registru_DECONT!$M$15+Registru_DECONT!$N$15)</f>
        <v>0</v>
      </c>
    </row>
    <row r="20">
      <c r="A20" s="76" t="inlineStr">
        <is>
          <t>Avans acordat</t>
        </is>
      </c>
      <c r="B20" s="76">
        <f>Declarații_DECONT!B25</f>
        <v>0</v>
      </c>
    </row>
    <row r="21">
      <c r="A21" s="76" t="inlineStr">
        <is>
          <t>De plătit titularului (+) / de restituit (−)</t>
        </is>
      </c>
      <c r="B21" s="76">
        <f>Registru_DECONT!$B$18-Declarații_DECONT!B25</f>
        <v>3938.76</v>
      </c>
    </row>
    <row r="23">
      <c r="A23" s="76" t="inlineStr">
        <is>
          <t>Check Σ linii</t>
        </is>
      </c>
      <c r="B23" s="76">
        <f>Registru_DECONT!$D$15-(Registru_DECONT!$M$15+Registru_DECONT!$N$15)-Registru_DECONT!$B$19</f>
        <v>0</v>
      </c>
      <c r="C23" s="76" t="str">
        <f>IF(ABS(B23)&lt;0.01,"OK — brut = acceptat + neacceptat","EROARE")</f>
        <v>OK — brut = acceptat + neacceptat</v>
      </c>
    </row>
    <row r="24">
      <c r="A24" s="76" t="inlineStr">
        <is>
          <t>Check linii fără document</t>
        </is>
      </c>
      <c r="B24" s="76">
        <f>Registru_DECONT!$B$19</f>
        <v>0</v>
      </c>
      <c r="C24" s="76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MOD_DECONT — Jurnale (generate automat)</t>
        </is>
      </c>
    </row>
    <row r="2">
      <c r="A2" s="7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75" t="inlineStr">
        <is>
          <t>Bloc 1 — Acordarea avansului</t>
        </is>
      </c>
    </row>
    <row r="5">
      <c r="A5" s="76" t="inlineStr">
        <is>
          <t>Data jurnal:</t>
        </is>
      </c>
      <c r="B5" s="76" t="str">
        <f>Declarații_DECONT!B7</f>
        <v>2026-07-31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Declarații_DECONT!B18</f>
        <v>542</v>
      </c>
      <c r="C8" s="76">
        <f>Declarații_DECONT!B25</f>
        <v>0</v>
      </c>
      <c r="D8" s="76" t="str">
        <f>"Avans de trezorerie acordat" &amp; Declarații_DECONT!B30</f>
        <v>Avans de trezorerie acordat - decont CHIRIACESCU DIANA 2026-07-31</v>
      </c>
      <c r="E8" s="76" t="str">
        <f>Declarații_DECONT!B22</f>
        <v>5121</v>
      </c>
      <c r="F8" s="76">
        <f>Declarații_DECONT!B25</f>
        <v>0</v>
      </c>
      <c r="G8" s="76" t="str">
        <f>"Plata avansului de trezorerie" &amp; Declarații_DECONT!B30</f>
        <v>Plata avansului de trezorerie - decont CHIRIACESCU DIANA 2026-07-31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Bloc activ?</t>
        </is>
      </c>
      <c r="B11" s="76">
        <f>Declarații_DECONT!B25</f>
        <v>0</v>
      </c>
      <c r="C11" s="76" t="str">
        <f>IF(B11&gt;0,"ACTIV — există avans","INACTIV — decont fără avans")</f>
        <v>INACTIV — decont fără avans</v>
      </c>
    </row>
    <row r="13">
      <c r="A13" s="75" t="inlineStr">
        <is>
          <t>Bloc 2 — Cheltuielile din decont</t>
        </is>
      </c>
    </row>
    <row r="14">
      <c r="A14" s="76" t="inlineStr">
        <is>
          <t>Data jurnal:</t>
        </is>
      </c>
      <c r="B14" s="76" t="str">
        <f>Declarații_DECONT!B7</f>
        <v>2026-07-31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 t="str">
        <f>Declarații_DECONT!B19</f>
        <v>625</v>
      </c>
      <c r="C17" s="76">
        <f>Registru_DECONT!$M$15</f>
        <v>3938.76</v>
      </c>
      <c r="D17" s="76" t="str">
        <f>"Cheltuieli din decont, bază fără TVA dedus" &amp; Declarații_DECONT!B30</f>
        <v>Cheltuieli din decont, bază fără TVA dedus - decont CHIRIACESCU DIANA 2026-07-31</v>
      </c>
      <c r="E17" s="76" t="str">
        <f>Declarații_DECONT!B17</f>
        <v>542</v>
      </c>
      <c r="F17" s="76">
        <f>Registru_DECONT!$B$18</f>
        <v>3938.76</v>
      </c>
      <c r="G17" s="76" t="str">
        <f>"Datorie față de titularul de decont" &amp; Declarații_DECONT!B30</f>
        <v>Datorie față de titularul de decont - decont CHIRIACESCU DIANA 2026-07-31</v>
      </c>
    </row>
    <row r="18">
      <c r="A18" s="76" t="n">
        <v>2</v>
      </c>
      <c r="B18" s="76">
        <f>Declarații_DECONT!B21</f>
        <v>4426</v>
      </c>
      <c r="C18" s="76">
        <f>Registru_DECONT!$N$15</f>
        <v>0</v>
      </c>
      <c r="D18" s="76" t="str">
        <f>"TVA deductibilă din decont" &amp; Declarații_DECONT!B30</f>
        <v>TVA deductibilă din decont - decont CHIRIACESCU DIANA 2026-07-31</v>
      </c>
    </row>
    <row r="20">
      <c r="A20" s="76" t="inlineStr">
        <is>
          <t>Total Dr</t>
        </is>
      </c>
      <c r="B20" s="76">
        <f>SUM(C17:C18)</f>
        <v>3938.76</v>
      </c>
      <c r="C20" s="76" t="inlineStr"/>
    </row>
    <row r="21">
      <c r="A21" s="76" t="inlineStr">
        <is>
          <t>Total Cr</t>
        </is>
      </c>
      <c r="B21" s="76">
        <f>SUM(F17:F18)</f>
        <v>3938.76</v>
      </c>
      <c r="C21" s="76" t="inlineStr"/>
    </row>
    <row r="22">
      <c r="A22" s="76" t="inlineStr">
        <is>
          <t>Check Σ (structural)</t>
        </is>
      </c>
      <c r="B22" s="76">
        <f>SUM(C17:C18)-SUM(F17:F18)</f>
        <v>0</v>
      </c>
      <c r="C22" s="76" t="str">
        <f>IF(ABS(B22)&lt;0.01,"OK — nota se închide","EROARE")</f>
        <v>OK — nota se închide</v>
      </c>
    </row>
    <row r="23">
      <c r="A23" s="76" t="inlineStr">
        <is>
          <t>Check contul de cheltuială</t>
        </is>
      </c>
      <c r="B23" s="76" t="str">
        <f>Declarații_DECONT!B19</f>
        <v>625</v>
      </c>
      <c r="C23" s="76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75" t="inlineStr">
        <is>
          <t>Bloc 3 — Regularizarea avansului și plata</t>
        </is>
      </c>
    </row>
    <row r="26">
      <c r="A26" s="76" t="inlineStr">
        <is>
          <t>Data jurnal:</t>
        </is>
      </c>
      <c r="B26" s="76" t="str">
        <f>Declarații_DECONT!B8</f>
        <v>2026-08-05</v>
      </c>
    </row>
    <row r="28">
      <c r="A28" s="78" t="inlineStr">
        <is>
          <t>Nr</t>
        </is>
      </c>
      <c r="B28" s="78" t="inlineStr">
        <is>
          <t>Cont Dr</t>
        </is>
      </c>
      <c r="C28" s="78" t="inlineStr">
        <is>
          <t>Sumă Dr</t>
        </is>
      </c>
      <c r="D28" s="78" t="inlineStr">
        <is>
          <t>Descriere Dr</t>
        </is>
      </c>
      <c r="E28" s="78" t="inlineStr">
        <is>
          <t>Cont Cr</t>
        </is>
      </c>
      <c r="F28" s="78" t="inlineStr">
        <is>
          <t>Sumă Cr</t>
        </is>
      </c>
      <c r="G28" s="78" t="inlineStr">
        <is>
          <t>Descriere Cr</t>
        </is>
      </c>
    </row>
    <row r="29">
      <c r="A29" s="76" t="n">
        <v>1</v>
      </c>
      <c r="B29" s="76" t="str">
        <f>Declarații_DECONT!B17</f>
        <v>542</v>
      </c>
      <c r="C29" s="76">
        <f>Registru_DECONT!$B$21</f>
        <v>3938.76</v>
      </c>
      <c r="D29" s="76" t="str">
        <f>"Plata diferenței către titular" &amp; Declarații_DECONT!B30</f>
        <v>Plata diferenței către titular - decont CHIRIACESCU DIANA 2026-07-31</v>
      </c>
      <c r="E29" s="76" t="str">
        <f>Declarații_DECONT!B22</f>
        <v>5121</v>
      </c>
      <c r="F29" s="76">
        <f>Registru_DECONT!$B$21</f>
        <v>3938.76</v>
      </c>
      <c r="G29" s="76" t="str">
        <f>"Plata din trezorerie" &amp; Declarații_DECONT!B30</f>
        <v>Plata din trezorerie - decont CHIRIACESCU DIANA 2026-07-31</v>
      </c>
    </row>
    <row r="31">
      <c r="A31" s="76" t="inlineStr">
        <is>
          <t>Check Σ (structural)</t>
        </is>
      </c>
      <c r="B31" s="76">
        <f>SUM(C29:C29)-SUM(F29:F29)</f>
        <v>0</v>
      </c>
      <c r="C31" s="76" t="str">
        <f>IF(ABS(B31)&lt;0.01,"OK — nota se închide","EROARE")</f>
        <v>OK — nota se închide</v>
      </c>
    </row>
    <row r="32">
      <c r="A32" s="76" t="inlineStr">
        <is>
          <t>Sensul plății</t>
        </is>
      </c>
      <c r="B32" s="76">
        <f>Registru_DECONT!$B$21</f>
        <v>3938.76</v>
      </c>
      <c r="C32" s="76" t="str">
        <f>IF(B32&gt;=0,"Se plătește titularului","Titularul restituie diferența — inversează sensul notei")</f>
        <v>Se plătește titularului</v>
      </c>
    </row>
    <row r="34">
      <c r="A34" s="7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3" t="inlineStr">
        <is>
          <t>MOD_DECONT — Notă pentru import (1 rând = 1 înregistrare)</t>
        </is>
      </c>
    </row>
    <row r="2">
      <c r="A2" s="74" t="inlineStr">
        <is>
          <t>Aici fiecare linie de decont își păstrează contul propriu, spre deosebire de blocul agregat din Jurnale. Filtrează pe Include = DA.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2 — Cheltuieli pe linie</t>
        </is>
      </c>
      <c r="C5" s="76" t="str">
        <f>Declarații_DECONT!B7</f>
        <v>2026-07-31</v>
      </c>
      <c r="D5" s="76" t="str">
        <f>Registru_DECONT!$H$5</f>
        <v>625</v>
      </c>
      <c r="E5" s="76" t="str">
        <f>Declarații_DECONT!B17</f>
        <v>542</v>
      </c>
      <c r="F5" s="76">
        <f>Registru_DECONT!$M$5</f>
        <v>1780.38</v>
      </c>
      <c r="G5" s="76" t="str">
        <f>IF(Registru_DECONT!$B$5="","",Registru_DECONT!$B$5 &amp; " — " &amp; Registru_DECONT!$P$5)</f>
        <v>WIZZ AIR MALTA LIMITED — Factură completă conform art. 319 — TVA deductibil</v>
      </c>
      <c r="H5" s="76" t="inlineStr">
        <is>
          <t>Decont de cheltuieli</t>
        </is>
      </c>
      <c r="I5" s="76" t="str">
        <f>IF(N(F5)&gt;0,"DA","NU")</f>
        <v>DA</v>
      </c>
    </row>
    <row r="6">
      <c r="A6" s="76" t="n">
        <v>2</v>
      </c>
      <c r="B6" s="76" t="inlineStr">
        <is>
          <t>Bloc 2 — Cheltuieli pe linie</t>
        </is>
      </c>
      <c r="C6" s="76" t="str">
        <f>Declarații_DECONT!B7</f>
        <v>2026-07-31</v>
      </c>
      <c r="D6" s="76" t="str">
        <f>Registru_DECONT!$H$6</f>
        <v>625</v>
      </c>
      <c r="E6" s="76" t="str">
        <f>Declarații_DECONT!B17</f>
        <v>542</v>
      </c>
      <c r="F6" s="76">
        <f>Registru_DECONT!$M$6</f>
        <v>1720.38</v>
      </c>
      <c r="G6" s="76" t="str">
        <f>IF(Registru_DECONT!$B$6="","",Registru_DECONT!$B$6 &amp; " — " &amp; Registru_DECONT!$P$6)</f>
        <v>WIZZ AIR MALTA LIMITED — Factură completă conform art. 319 — TVA deductibil</v>
      </c>
      <c r="H6" s="76" t="inlineStr">
        <is>
          <t>Decont de cheltuieli</t>
        </is>
      </c>
      <c r="I6" s="76" t="str">
        <f>IF(N(F6)&gt;0,"DA","NU")</f>
        <v>DA</v>
      </c>
    </row>
    <row r="7">
      <c r="A7" s="76" t="n">
        <v>3</v>
      </c>
      <c r="B7" s="76" t="inlineStr">
        <is>
          <t>Bloc 2 — Cheltuieli pe linie</t>
        </is>
      </c>
      <c r="C7" s="76" t="str">
        <f>Declarații_DECONT!B7</f>
        <v>2026-07-31</v>
      </c>
      <c r="D7" s="76" t="str">
        <f>Registru_DECONT!$H$7</f>
        <v>625</v>
      </c>
      <c r="E7" s="76" t="str">
        <f>Declarații_DECONT!B17</f>
        <v>542</v>
      </c>
      <c r="F7" s="76">
        <f>Registru_DECONT!$M$7</f>
        <v>38</v>
      </c>
      <c r="G7" s="76" t="str">
        <f>IF(Registru_DECONT!$B$7="","",Registru_DECONT!$B$7 &amp; " — " &amp; Registru_DECONT!$P$7)</f>
        <v>CITY CAFÉ EXPRESS — Bon fără CUI — TVA nedeductibil; justificare cu ordin de deplasare</v>
      </c>
      <c r="H7" s="76" t="inlineStr">
        <is>
          <t>Decont de cheltuieli</t>
        </is>
      </c>
      <c r="I7" s="76" t="str">
        <f>IF(N(F7)&gt;0,"DA","NU")</f>
        <v>DA</v>
      </c>
    </row>
    <row r="8">
      <c r="A8" s="76" t="n">
        <v>4</v>
      </c>
      <c r="B8" s="76" t="inlineStr">
        <is>
          <t>Bloc 2 — Cheltuieli pe linie</t>
        </is>
      </c>
      <c r="C8" s="76" t="str">
        <f>Declarații_DECONT!B7</f>
        <v>2026-07-31</v>
      </c>
      <c r="D8" s="76" t="str">
        <f>Registru_DECONT!$H$8</f>
        <v>625</v>
      </c>
      <c r="E8" s="76" t="str">
        <f>Declarații_DECONT!B17</f>
        <v>542</v>
      </c>
      <c r="F8" s="76">
        <f>Registru_DECONT!$M$8</f>
        <v>200</v>
      </c>
      <c r="G8" s="76" t="str">
        <f>IF(Registru_DECONT!$B$8="","",Registru_DECONT!$B$8 &amp; " — " &amp; Registru_DECONT!$P$8)</f>
        <v>OLIMPIA PARKING — Bon fără CUI — TVA nedeductibil; justificare cu ordin de deplasare</v>
      </c>
      <c r="H8" s="76" t="inlineStr">
        <is>
          <t>Decont de cheltuieli</t>
        </is>
      </c>
      <c r="I8" s="76" t="str">
        <f>IF(N(F8)&gt;0,"DA","NU")</f>
        <v>DA</v>
      </c>
    </row>
    <row r="9">
      <c r="A9" s="76" t="n">
        <v>5</v>
      </c>
      <c r="B9" s="76" t="inlineStr">
        <is>
          <t>Bloc 2 — Cheltuieli pe linie</t>
        </is>
      </c>
      <c r="C9" s="76" t="str">
        <f>Declarații_DECONT!B7</f>
        <v>2026-07-31</v>
      </c>
      <c r="D9" s="76" t="str">
        <f>Registru_DECONT!$H$9</f>
        <v>625</v>
      </c>
      <c r="E9" s="76" t="str">
        <f>Declarații_DECONT!B17</f>
        <v>542</v>
      </c>
      <c r="F9" s="76">
        <f>Registru_DECONT!$M$9</f>
        <v>200</v>
      </c>
      <c r="G9" s="76" t="str">
        <f>IF(Registru_DECONT!$B$9="","",Registru_DECONT!$B$9 &amp; " — " &amp; Registru_DECONT!$P$9)</f>
        <v>OLIMPIA PARKING — Bon fără CUI — TVA nedeductibil; justificare cu ordin de deplasare</v>
      </c>
      <c r="H9" s="76" t="inlineStr">
        <is>
          <t>Decont de cheltuieli</t>
        </is>
      </c>
      <c r="I9" s="76" t="str">
        <f>IF(N(F9)&gt;0,"DA","NU")</f>
        <v>DA</v>
      </c>
    </row>
    <row r="10">
      <c r="A10" s="76" t="n">
        <v>6</v>
      </c>
      <c r="B10" s="76" t="inlineStr">
        <is>
          <t>Bloc 2 — Cheltuieli pe linie</t>
        </is>
      </c>
      <c r="C10" s="76" t="str">
        <f>Declarații_DECONT!B7</f>
        <v>2026-07-31</v>
      </c>
      <c r="D10" s="76">
        <f>Registru_DECONT!$H$10</f>
        <v/>
      </c>
      <c r="E10" s="76" t="str">
        <f>Declarații_DECONT!B17</f>
        <v>542</v>
      </c>
      <c r="F10" s="76">
        <f>Registru_DECONT!$M$10</f>
        <v/>
      </c>
      <c r="G10" s="76">
        <f>IF(Registru_DECONT!$B$10="","",Registru_DECONT!$B$10 &amp; " — " &amp; Registru_DECONT!$P$10)</f>
        <v/>
      </c>
      <c r="H10" s="76" t="inlineStr">
        <is>
          <t>Decont de cheltuieli</t>
        </is>
      </c>
      <c r="I10" s="76" t="str">
        <f>IF(N(F10)&gt;0,"DA","NU")</f>
        <v>NU</v>
      </c>
    </row>
    <row r="11">
      <c r="A11" s="76" t="n">
        <v>7</v>
      </c>
      <c r="B11" s="76" t="inlineStr">
        <is>
          <t>Bloc 2 — Cheltuieli pe linie</t>
        </is>
      </c>
      <c r="C11" s="76" t="str">
        <f>Declarații_DECONT!B7</f>
        <v>2026-07-31</v>
      </c>
      <c r="D11" s="76">
        <f>Registru_DECONT!$H$11</f>
        <v/>
      </c>
      <c r="E11" s="76" t="str">
        <f>Declarații_DECONT!B17</f>
        <v>542</v>
      </c>
      <c r="F11" s="76">
        <f>Registru_DECONT!$M$11</f>
        <v/>
      </c>
      <c r="G11" s="76">
        <f>IF(Registru_DECONT!$B$11="","",Registru_DECONT!$B$11 &amp; " — " &amp; Registru_DECONT!$P$11)</f>
        <v/>
      </c>
      <c r="H11" s="76" t="inlineStr">
        <is>
          <t>Decont de cheltuieli</t>
        </is>
      </c>
      <c r="I11" s="76" t="str">
        <f>IF(N(F11)&gt;0,"DA","NU")</f>
        <v>NU</v>
      </c>
    </row>
    <row r="12">
      <c r="A12" s="76" t="n">
        <v>8</v>
      </c>
      <c r="B12" s="76" t="inlineStr">
        <is>
          <t>Bloc 2 — Cheltuieli pe linie</t>
        </is>
      </c>
      <c r="C12" s="76" t="str">
        <f>Declarații_DECONT!B7</f>
        <v>2026-07-31</v>
      </c>
      <c r="D12" s="76">
        <f>Registru_DECONT!$H$12</f>
        <v/>
      </c>
      <c r="E12" s="76" t="str">
        <f>Declarații_DECONT!B17</f>
        <v>542</v>
      </c>
      <c r="F12" s="76">
        <f>Registru_DECONT!$M$12</f>
        <v/>
      </c>
      <c r="G12" s="76">
        <f>IF(Registru_DECONT!$B$12="","",Registru_DECONT!$B$12 &amp; " — " &amp; Registru_DECONT!$P$12)</f>
        <v/>
      </c>
      <c r="H12" s="76" t="inlineStr">
        <is>
          <t>Decont de cheltuieli</t>
        </is>
      </c>
      <c r="I12" s="76" t="str">
        <f>IF(N(F12)&gt;0,"DA","NU")</f>
        <v>NU</v>
      </c>
    </row>
    <row r="13">
      <c r="A13" s="76" t="n">
        <v>9</v>
      </c>
      <c r="B13" s="76" t="inlineStr">
        <is>
          <t>Bloc 2 — Cheltuieli pe linie</t>
        </is>
      </c>
      <c r="C13" s="76" t="str">
        <f>Declarații_DECONT!B7</f>
        <v>2026-07-31</v>
      </c>
      <c r="D13" s="76">
        <f>Registru_DECONT!$H$13</f>
        <v/>
      </c>
      <c r="E13" s="76" t="str">
        <f>Declarații_DECONT!B17</f>
        <v>542</v>
      </c>
      <c r="F13" s="76">
        <f>Registru_DECONT!$M$13</f>
        <v/>
      </c>
      <c r="G13" s="76">
        <f>IF(Registru_DECONT!$B$13="","",Registru_DECONT!$B$13 &amp; " — " &amp; Registru_DECONT!$P$13)</f>
        <v/>
      </c>
      <c r="H13" s="76" t="inlineStr">
        <is>
          <t>Decont de cheltuieli</t>
        </is>
      </c>
      <c r="I13" s="76" t="str">
        <f>IF(N(F13)&gt;0,"DA","NU")</f>
        <v>NU</v>
      </c>
    </row>
    <row r="14">
      <c r="A14" s="76" t="n">
        <v>10</v>
      </c>
      <c r="B14" s="76" t="inlineStr">
        <is>
          <t>Bloc 2 — Cheltuieli pe linie</t>
        </is>
      </c>
      <c r="C14" s="76" t="str">
        <f>Declarații_DECONT!B7</f>
        <v>2026-07-31</v>
      </c>
      <c r="D14" s="76">
        <f>Registru_DECONT!$H$14</f>
        <v/>
      </c>
      <c r="E14" s="76" t="str">
        <f>Declarații_DECONT!B17</f>
        <v>542</v>
      </c>
      <c r="F14" s="76">
        <f>Registru_DECONT!$M$14</f>
        <v/>
      </c>
      <c r="G14" s="76">
        <f>IF(Registru_DECONT!$B$14="","",Registru_DECONT!$B$14 &amp; " — " &amp; Registru_DECONT!$P$14)</f>
        <v/>
      </c>
      <c r="H14" s="76" t="inlineStr">
        <is>
          <t>Decont de cheltuieli</t>
        </is>
      </c>
      <c r="I14" s="76" t="str">
        <f>IF(N(F14)&gt;0,"DA","NU")</f>
        <v>NU</v>
      </c>
    </row>
    <row r="16">
      <c r="A16" s="76" t="inlineStr">
        <is>
          <t>Rânduri de importat (Include=DA)</t>
        </is>
      </c>
      <c r="B16" s="76">
        <f>COUNTIF(I5:I14,"DA")</f>
        <v>5</v>
      </c>
    </row>
    <row r="17">
      <c r="A17" s="76" t="inlineStr">
        <is>
          <t>Check total linii vs. registru</t>
        </is>
      </c>
      <c r="B17" s="76">
        <f>SUM(F5:F14)-Registru_DECONT!$M$15</f>
        <v>0</v>
      </c>
      <c r="C17" s="76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73" t="inlineStr">
        <is>
          <t>MOD_INTERMEDIAR — Declarații (input)</t>
        </is>
      </c>
    </row>
    <row r="2">
      <c r="A2" s="7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9">
      <c r="A9" s="75" t="inlineStr">
        <is>
          <t>2. Tip intermediar (poartă principală)</t>
        </is>
      </c>
    </row>
    <row r="10">
      <c r="A10" s="76" t="inlineStr">
        <is>
          <t>Tip (408 / 418 / 581 / 473)</t>
        </is>
      </c>
      <c r="B10" s="77" t="inlineStr">
        <is>
          <t>473</t>
        </is>
      </c>
    </row>
    <row r="11">
      <c r="A11" s="76" t="inlineStr">
        <is>
          <t>Descriere tip (auto)</t>
        </is>
      </c>
      <c r="B11" s="76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75" t="inlineStr">
        <is>
          <t>3. Moment deschidere (Bloc 1)</t>
        </is>
      </c>
    </row>
    <row r="14">
      <c r="A14" s="76" t="inlineStr">
        <is>
          <t>Data deschidere</t>
        </is>
      </c>
      <c r="B14" s="77" t="inlineStr">
        <is>
          <t>2026-07-15</t>
        </is>
      </c>
    </row>
    <row r="15">
      <c r="A15" s="76" t="inlineStr">
        <is>
          <t>Sumă</t>
        </is>
      </c>
      <c r="B15" s="77" t="n">
        <v>2350</v>
      </c>
    </row>
    <row r="16">
      <c r="A16" s="76" t="inlineStr">
        <is>
          <t>Cont intermediar (Dr sau Cr după tip)</t>
        </is>
      </c>
      <c r="B16" s="77" t="inlineStr">
        <is>
          <t>473</t>
        </is>
      </c>
    </row>
    <row r="17">
      <c r="A17" s="76" t="inlineStr">
        <is>
          <t>Cont contrapartidă deschidere</t>
        </is>
      </c>
      <c r="B17" s="77" t="inlineStr">
        <is>
          <t>5121</t>
        </is>
      </c>
    </row>
    <row r="18">
      <c r="A18" s="76" t="inlineStr">
        <is>
          <t>Sens deschidere (Dr_intermediar / Cr_intermediar)</t>
        </is>
      </c>
      <c r="B18" s="77" t="inlineStr">
        <is>
          <t>Cr_intermediar</t>
        </is>
      </c>
    </row>
    <row r="19">
      <c r="A19" s="76" t="inlineStr">
        <is>
          <t>Document / referință deschidere</t>
        </is>
      </c>
      <c r="B19" s="77" t="inlineStr">
        <is>
          <t>Extras bancă 15.07 — sumă neidentificată</t>
        </is>
      </c>
    </row>
    <row r="21">
      <c r="A21" s="75" t="inlineStr">
        <is>
          <t>4. Moment stingere (Bloc 2)</t>
        </is>
      </c>
    </row>
    <row r="22">
      <c r="A22" s="76" t="inlineStr">
        <is>
          <t>Data stingere</t>
        </is>
      </c>
      <c r="B22" s="77" t="inlineStr">
        <is>
          <t>2026-07-22</t>
        </is>
      </c>
    </row>
    <row r="23">
      <c r="A23" s="76" t="inlineStr">
        <is>
          <t>Cont final (după clarificare)</t>
        </is>
      </c>
      <c r="B23" s="77" t="inlineStr">
        <is>
          <t>411.RO</t>
        </is>
      </c>
    </row>
    <row r="24">
      <c r="A24" s="76" t="inlineStr">
        <is>
          <t>Document / referință stingere</t>
        </is>
      </c>
      <c r="B24" s="77" t="inlineStr">
        <is>
          <t>Identificat: client X, factura Y</t>
        </is>
      </c>
    </row>
    <row r="26">
      <c r="A26" s="75" t="inlineStr">
        <is>
          <t>5. Sufix descriere (generat)</t>
        </is>
      </c>
    </row>
    <row r="27">
      <c r="A27" s="76" t="inlineStr">
        <is>
          <t>Sufix</t>
        </is>
      </c>
      <c r="B27" s="76" t="str">
        <f>"— " &amp; B7 &amp; " — " &amp; B10 &amp; " — " &amp; B19</f>
        <v>— 2026-07 — 473 — Extras bancă 15.07 — sumă neidentificată</v>
      </c>
    </row>
    <row r="29">
      <c r="A29" s="75" t="inlineStr">
        <is>
          <t>6. Control</t>
        </is>
      </c>
    </row>
    <row r="30">
      <c r="A30" s="76" t="inlineStr">
        <is>
          <t>Modul activ?</t>
        </is>
      </c>
      <c r="B30" s="76" t="str">
        <f>IF(INDEX(CatalogModule!$A$1:$A$200,MATCH("MOD_INTERMEDIAR",CatalogModule!$B$1:$B$200,0))="DA","ACTIV","INACTIV")</f>
        <v>ACTIV</v>
      </c>
      <c r="C30" s="7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76" t="inlineStr">
        <is>
          <t>Regulă 473</t>
        </is>
      </c>
      <c r="B31" s="76" t="str">
        <f>IF(B10="473","Sold 473 la 31.12 = suspect — clarificare obligatorie","—")</f>
        <v>Sold 473 la 31.12 = suspect — clarificare obligatorie</v>
      </c>
      <c r="C31" s="7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73" t="inlineStr">
        <is>
          <t>MOD_INTERMEDIAR — Reguli (tabele fixe)</t>
        </is>
      </c>
    </row>
    <row r="2">
      <c r="A2" s="74" t="inlineStr">
        <is>
          <t>Pattern comun: deschidere pe cont intermediar → stingere pe cont final când evenimentul discret (document, identificare, confirmare) are loc.</t>
        </is>
      </c>
    </row>
    <row r="4">
      <c r="A4" s="75" t="inlineStr">
        <is>
          <t>Tabel A — Tipuri și sensuri standard</t>
        </is>
      </c>
    </row>
    <row r="5">
      <c r="A5" s="78" t="inlineStr">
        <is>
          <t>Tip</t>
        </is>
      </c>
      <c r="B5" s="78" t="inlineStr">
        <is>
          <t>Denumire</t>
        </is>
      </c>
      <c r="C5" s="78" t="inlineStr">
        <is>
          <t>Rol</t>
        </is>
      </c>
      <c r="D5" s="78" t="inlineStr">
        <is>
          <t>Deschidere tipică</t>
        </is>
      </c>
      <c r="E5" s="78" t="inlineStr">
        <is>
          <t>Stingere tipică</t>
        </is>
      </c>
      <c r="F5" s="78" t="inlineStr">
        <is>
          <t>Pas revelator / red flag</t>
        </is>
      </c>
    </row>
    <row r="6">
      <c r="A6" s="76" t="inlineStr">
        <is>
          <t>408</t>
        </is>
      </c>
      <c r="B6" s="76" t="inlineStr">
        <is>
          <t>Furnizori — facturi nesosite</t>
        </is>
      </c>
      <c r="C6" s="76" t="inlineStr">
        <is>
          <t>Intermediar</t>
        </is>
      </c>
      <c r="D6" s="76" t="inlineStr">
        <is>
          <t>Dr stoc / 4426 = Cr 408</t>
        </is>
      </c>
      <c r="E6" s="76" t="inlineStr">
        <is>
          <t>Dr 408 = Cr 401</t>
        </is>
      </c>
      <c r="F6" s="76" t="inlineStr">
        <is>
          <t>Sold 408 la 31.12 = facturi încă nesosite</t>
        </is>
      </c>
    </row>
    <row r="7">
      <c r="A7" s="76" t="inlineStr">
        <is>
          <t>418</t>
        </is>
      </c>
      <c r="B7" s="76" t="inlineStr">
        <is>
          <t>Clienți — facturi de întocmit</t>
        </is>
      </c>
      <c r="C7" s="76" t="inlineStr">
        <is>
          <t>Intermediar</t>
        </is>
      </c>
      <c r="D7" s="76" t="inlineStr">
        <is>
          <t>Dr 418 = Cr venit / 4427</t>
        </is>
      </c>
      <c r="E7" s="76" t="inlineStr">
        <is>
          <t>Dr 411 = Cr 418</t>
        </is>
      </c>
      <c r="F7" s="76" t="inlineStr">
        <is>
          <t>Sold 418 = livrat nefacturat</t>
        </is>
      </c>
    </row>
    <row r="8">
      <c r="A8" s="76" t="inlineStr">
        <is>
          <t>581</t>
        </is>
      </c>
      <c r="B8" s="76" t="inlineStr">
        <is>
          <t>Viramente interne</t>
        </is>
      </c>
      <c r="C8" s="76" t="inlineStr">
        <is>
          <t>Intermediar</t>
        </is>
      </c>
      <c r="D8" s="76" t="inlineStr">
        <is>
          <t>Dr 581 = Cr 512 (ieșire)</t>
        </is>
      </c>
      <c r="E8" s="76" t="inlineStr">
        <is>
          <t>Dr 531/512 = Cr 581 (intrare)</t>
        </is>
      </c>
      <c r="F8" s="76" t="inlineStr">
        <is>
          <t>Sold 581 = transfer neconfirmat</t>
        </is>
      </c>
    </row>
    <row r="9">
      <c r="A9" s="76" t="inlineStr">
        <is>
          <t>473</t>
        </is>
      </c>
      <c r="B9" s="76" t="inlineStr">
        <is>
          <t>Operațiuni în curs de clarificare</t>
        </is>
      </c>
      <c r="C9" s="76" t="inlineStr">
        <is>
          <t>Intermediar</t>
        </is>
      </c>
      <c r="D9" s="76" t="inlineStr">
        <is>
          <t>Dr 512 = Cr 473 (intrare neid.)</t>
        </is>
      </c>
      <c r="E9" s="76" t="inlineStr">
        <is>
          <t>Dr 473 = Cr 411/401/768</t>
        </is>
      </c>
      <c r="F9" s="76" t="inlineStr">
        <is>
          <t>Sold 473 la 31.12 = SUSPECT — clarificare obligatorie</t>
        </is>
      </c>
    </row>
    <row r="11">
      <c r="A11" s="75" t="inlineStr">
        <is>
          <t>Tabel B — Secvența generică a modulului</t>
        </is>
      </c>
    </row>
    <row r="12">
      <c r="A12" s="78" t="inlineStr">
        <is>
          <t>Pas</t>
        </is>
      </c>
      <c r="B12" s="78" t="inlineStr">
        <is>
          <t>Moment</t>
        </is>
      </c>
      <c r="C12" s="78" t="inlineStr">
        <is>
          <t>Logică</t>
        </is>
      </c>
      <c r="D12" s="78" t="inlineStr">
        <is>
          <t>Condiție</t>
        </is>
      </c>
    </row>
    <row r="13">
      <c r="A13" s="76" t="n">
        <v>1</v>
      </c>
      <c r="B13" s="76" t="inlineStr">
        <is>
          <t>Deschidere</t>
        </is>
      </c>
      <c r="C13" s="76" t="inlineStr">
        <is>
          <t>Cont intermediar ↔ Cont contrapartidă (bancă/stoc/venit)</t>
        </is>
      </c>
      <c r="D13" s="76" t="inlineStr">
        <is>
          <t>Sensul (Dr/Cr intermediar) se alege în Declarații</t>
        </is>
      </c>
    </row>
    <row r="14">
      <c r="A14" s="76" t="n">
        <v>2</v>
      </c>
      <c r="B14" s="76" t="inlineStr">
        <is>
          <t>Stingere</t>
        </is>
      </c>
      <c r="C14" s="76" t="inlineStr">
        <is>
          <t>Cont intermediar ↔ Cont final (401/411/512/531/768…)</t>
        </is>
      </c>
      <c r="D14" s="76" t="inlineStr">
        <is>
          <t>Când documentul / identificarea / confirmarea există</t>
        </is>
      </c>
    </row>
    <row r="16">
      <c r="A16" s="75" t="inlineStr">
        <is>
          <t>Tabel C — Porți de calitate</t>
        </is>
      </c>
    </row>
    <row r="17">
      <c r="A17" s="74" t="inlineStr">
        <is>
          <t>• ΣDr = ΣCr pe fiecare bloc</t>
        </is>
      </c>
    </row>
    <row r="18">
      <c r="A18" s="74" t="inlineStr">
        <is>
          <t>• După stingere: sold cont intermediar = 0 pe această operațiune</t>
        </is>
      </c>
    </row>
    <row r="19">
      <c r="A19" s="74" t="inlineStr">
        <is>
          <t>• Pentru 473: dacă data stingerii e goală sau &gt; 31.12 → semnalează red flag</t>
        </is>
      </c>
    </row>
    <row r="20">
      <c r="A20" s="7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73" t="inlineStr">
        <is>
          <t>MOD_INTERMEDIAR — Jurnale (generate automat)</t>
        </is>
      </c>
    </row>
    <row r="2">
      <c r="A2" s="74" t="inlineStr">
        <is>
          <t>Sensul deschiderii (Dr sau Cr pe intermediar) se citește din Declarații. Stingerea inversează sensul.</t>
        </is>
      </c>
    </row>
    <row r="4">
      <c r="A4" s="75" t="inlineStr">
        <is>
          <t>Bloc 1 — Deschidere intermediar</t>
        </is>
      </c>
    </row>
    <row r="5">
      <c r="A5" s="76" t="inlineStr">
        <is>
          <t>Data:</t>
        </is>
      </c>
      <c r="B5" s="76" t="str">
        <f>Declarații_INTERMEDIAR!B14</f>
        <v>2026-07-15</v>
      </c>
    </row>
    <row r="6">
      <c r="A6" s="76" t="inlineStr">
        <is>
          <t>Tip:</t>
        </is>
      </c>
      <c r="B6" s="76" t="str">
        <f>Declarații_INTERMEDIAR!B10 &amp; " — " &amp; Declarații_INTERMEDIAR!B11</f>
        <v>473 — Operațiuni în curs de clarificare</v>
      </c>
    </row>
    <row r="8">
      <c r="A8" s="78" t="inlineStr">
        <is>
          <t>Nr</t>
        </is>
      </c>
      <c r="B8" s="78" t="inlineStr">
        <is>
          <t>Cont Dr</t>
        </is>
      </c>
      <c r="C8" s="78" t="inlineStr">
        <is>
          <t>Sumă Dr</t>
        </is>
      </c>
      <c r="D8" s="78" t="inlineStr">
        <is>
          <t>Descriere Dr</t>
        </is>
      </c>
      <c r="E8" s="78" t="inlineStr">
        <is>
          <t>Cont Cr</t>
        </is>
      </c>
      <c r="F8" s="78" t="inlineStr">
        <is>
          <t>Sumă Cr</t>
        </is>
      </c>
      <c r="G8" s="78" t="inlineStr">
        <is>
          <t>Descriere Cr</t>
        </is>
      </c>
    </row>
    <row r="9">
      <c r="A9" s="76" t="n">
        <v>1</v>
      </c>
      <c r="B9" s="76" t="str">
        <f>IF(Declarații_INTERMEDIAR!B18="Cr_intermediar",Declarații_INTERMEDIAR!B17,Declarații_INTERMEDIAR!B16)</f>
        <v>5121</v>
      </c>
      <c r="C9" s="76">
        <f>Declarații_INTERMEDIAR!B15</f>
        <v>2350</v>
      </c>
      <c r="D9" s="7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76" t="str">
        <f>IF(Declarații_INTERMEDIAR!B18="Cr_intermediar",Declarații_INTERMEDIAR!B16,Declarații_INTERMEDIAR!B17)</f>
        <v>473</v>
      </c>
      <c r="F9" s="76">
        <f>Declarații_INTERMEDIAR!B15</f>
        <v>2350</v>
      </c>
      <c r="G9" s="7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76" t="inlineStr">
        <is>
          <t>Check B1</t>
        </is>
      </c>
      <c r="B11" s="76">
        <f>C9-F9</f>
        <v>0</v>
      </c>
      <c r="C11" s="76" t="str">
        <f>IF(ABS(B11)&lt;0.01,"OK","EROARE")</f>
        <v>OK</v>
      </c>
    </row>
    <row r="13">
      <c r="A13" s="75" t="inlineStr">
        <is>
          <t>Bloc 2 — Stingere intermediar (pas revelator)</t>
        </is>
      </c>
    </row>
    <row r="14">
      <c r="A14" s="76" t="inlineStr">
        <is>
          <t>Data:</t>
        </is>
      </c>
      <c r="B14" s="76" t="str">
        <f>Declarații_INTERMEDIAR!B22</f>
        <v>2026-07-22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 t="str">
        <f>IF(Declarații_INTERMEDIAR!B18="Cr_intermediar",Declarații_INTERMEDIAR!B16,Declarații_INTERMEDIAR!B23)</f>
        <v>473</v>
      </c>
      <c r="C17" s="76">
        <f>Declarații_INTERMEDIAR!B15</f>
        <v>2350</v>
      </c>
      <c r="D17" s="7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76" t="str">
        <f>IF(Declarații_INTERMEDIAR!B18="Cr_intermediar",Declarații_INTERMEDIAR!B23,Declarații_INTERMEDIAR!B16)</f>
        <v>411.RO</v>
      </c>
      <c r="F17" s="76">
        <f>Declarații_INTERMEDIAR!B15</f>
        <v>2350</v>
      </c>
      <c r="G17" s="7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76" t="inlineStr">
        <is>
          <t>Check B2</t>
        </is>
      </c>
      <c r="B19" s="76">
        <f>C17-F17</f>
        <v>0</v>
      </c>
      <c r="C19" s="76" t="str">
        <f>IF(ABS(B19)&lt;0.01,"OK","EROARE")</f>
        <v>OK</v>
      </c>
    </row>
    <row r="21">
      <c r="A21" s="75" t="inlineStr">
        <is>
          <t>Stare terminală</t>
        </is>
      </c>
    </row>
    <row r="22">
      <c r="A22" s="74" t="inlineStr">
        <is>
          <t>Sold intermediar pe această operațiune = 0. Pentru 473: dacă rămâne sold la 31.12 → red flag audit.</t>
        </is>
      </c>
    </row>
    <row r="24">
      <c r="A24" s="76" t="inlineStr">
        <is>
          <t>Check global</t>
        </is>
      </c>
      <c r="B24" s="76">
        <f>ABS(B11)+ABS(B19)</f>
        <v>0</v>
      </c>
      <c r="C24" s="76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73" t="inlineStr">
        <is>
          <t>MOD_INTERMEDIAR — Notă pentru import</t>
        </is>
      </c>
    </row>
    <row r="2">
      <c r="A2" s="74" t="inlineStr">
        <is>
          <t>Filtrează Include=DA. Cele două blocuri pot avea date diferite (deschidere vs. stingere).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Deschidere</t>
        </is>
      </c>
      <c r="C5" s="76" t="str">
        <f>Declarații_INTERMEDIAR!B14</f>
        <v>2026-07-15</v>
      </c>
      <c r="D5" s="76" t="str">
        <f>Jurnale_INTERMEDIAR!B9</f>
        <v>5121</v>
      </c>
      <c r="E5" s="76" t="str">
        <f>Jurnale_INTERMEDIAR!E9</f>
        <v>473</v>
      </c>
      <c r="F5" s="76">
        <f>Jurnale_INTERMEDIAR!C9</f>
        <v>2350</v>
      </c>
      <c r="G5" s="76" t="str">
        <f>Jurnale_INTERMEDIAR!D9</f>
        <v>Contrapartidă deschidere — 2026-07 — 473 — Extras bancă 15.07 — sumă neidentificată</v>
      </c>
      <c r="H5" s="76" t="str">
        <f>Declarații_INTERMEDIAR!B19</f>
        <v>Extras bancă 15.07 — sumă neidentificată</v>
      </c>
      <c r="I5" s="76" t="str">
        <f>IF(F5&gt;0,"DA","NU")</f>
        <v>DA</v>
      </c>
    </row>
    <row r="6">
      <c r="A6" s="76" t="n">
        <v>2</v>
      </c>
      <c r="B6" s="76" t="inlineStr">
        <is>
          <t>Bloc 2 — Stingere</t>
        </is>
      </c>
      <c r="C6" s="76" t="str">
        <f>Declarații_INTERMEDIAR!B22</f>
        <v>2026-07-22</v>
      </c>
      <c r="D6" s="76" t="str">
        <f>Jurnale_INTERMEDIAR!B17</f>
        <v>473</v>
      </c>
      <c r="E6" s="76" t="str">
        <f>Jurnale_INTERMEDIAR!E17</f>
        <v>411.RO</v>
      </c>
      <c r="F6" s="76">
        <f>Jurnale_INTERMEDIAR!C17</f>
        <v>2350</v>
      </c>
      <c r="G6" s="76" t="str">
        <f>Jurnale_INTERMEDIAR!D17</f>
        <v>Stingere intermediar — 2026-07 — 473 — Extras bancă 15.07 — sumă neidentificată</v>
      </c>
      <c r="H6" s="76" t="str">
        <f>Declarații_INTERMEDIAR!B24</f>
        <v>Identificat: client X, factura Y</v>
      </c>
      <c r="I6" s="76" t="str">
        <f>IF(F6&gt;0,"DA","NU")</f>
        <v>DA</v>
      </c>
    </row>
    <row r="8">
      <c r="A8" s="76" t="inlineStr">
        <is>
          <t>Rânduri de importat</t>
        </is>
      </c>
      <c r="B8" s="76">
        <f>COUNTIF(I5:I6,"DA")</f>
        <v>2</v>
      </c>
    </row>
    <row r="9">
      <c r="A9" s="76" t="inlineStr">
        <is>
          <t>Check global</t>
        </is>
      </c>
      <c r="B9" s="76">
        <f>Jurnale_INTERMEDIAR!B24</f>
        <v>0</v>
      </c>
      <c r="C9" s="76" t="str">
        <f>IF(ABS(B9)&lt;0.01,"OK","EROARE")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73" t="inlineStr">
        <is>
          <t>MOD_INCHIDERE_TVA — Declarații (input)</t>
        </is>
      </c>
    </row>
    <row r="2">
      <c r="A2" s="74" t="inlineStr">
        <is>
          <t>Completează doar celulele galbene cu scris albastru. Restul sunt formule sau text fix.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jurnal (ultima zi a lunii)</t>
        </is>
      </c>
      <c r="B8" s="77" t="inlineStr">
        <is>
          <t>2026-07-31</t>
        </is>
      </c>
    </row>
    <row r="10">
      <c r="A10" s="75" t="inlineStr">
        <is>
          <t>2. Rulaje TVA din jurnale (introducere manuală din balanță / jurnale SAGA)</t>
        </is>
      </c>
    </row>
    <row r="11">
      <c r="A11" s="76" t="inlineStr">
        <is>
          <t>Rulaj debitor 4426 (TVA deductibilă)</t>
        </is>
      </c>
      <c r="B11" s="77" t="n">
        <v>10500</v>
      </c>
    </row>
    <row r="12">
      <c r="A12" s="76" t="inlineStr">
        <is>
          <t>Rulaj creditor 4427 (TVA colectată)</t>
        </is>
      </c>
      <c r="B12" s="77" t="n">
        <v>15750</v>
      </c>
    </row>
    <row r="14">
      <c r="A14" s="75" t="inlineStr">
        <is>
          <t>3. Politică de conturi (din planul pe rol)</t>
        </is>
      </c>
    </row>
    <row r="15">
      <c r="A15" s="76" t="inlineStr">
        <is>
          <t>Cont TVA deductibilă</t>
        </is>
      </c>
      <c r="B15" s="77" t="inlineStr">
        <is>
          <t>4426</t>
        </is>
      </c>
    </row>
    <row r="16">
      <c r="A16" s="76" t="inlineStr">
        <is>
          <t>Cont TVA colectată</t>
        </is>
      </c>
      <c r="B16" s="77" t="inlineStr">
        <is>
          <t>4427</t>
        </is>
      </c>
    </row>
    <row r="17">
      <c r="A17" s="76" t="inlineStr">
        <is>
          <t>Cont TVA de plată</t>
        </is>
      </c>
      <c r="B17" s="77" t="inlineStr">
        <is>
          <t>4423</t>
        </is>
      </c>
    </row>
    <row r="18">
      <c r="A18" s="76" t="inlineStr">
        <is>
          <t>Cont TVA de recuperat</t>
        </is>
      </c>
      <c r="B18" s="77" t="inlineStr">
        <is>
          <t>4424</t>
        </is>
      </c>
    </row>
    <row r="20">
      <c r="A20" s="75" t="inlineStr">
        <is>
          <t>4. Calcul automat (nu edita)</t>
        </is>
      </c>
    </row>
    <row r="21">
      <c r="A21" s="76" t="inlineStr">
        <is>
          <t>Sold net (4427 − 4426)</t>
        </is>
      </c>
      <c r="B21" s="76">
        <f>B12-B11</f>
        <v>5250</v>
      </c>
    </row>
    <row r="22">
      <c r="A22" s="76" t="inlineStr">
        <is>
          <t>Direcție</t>
        </is>
      </c>
      <c r="B22" s="76" t="str">
        <f>IF(B21&gt;0,"TVA de plată (4423)","TVA de recuperat (4424)")</f>
        <v>TVA de plată (4423)</v>
      </c>
    </row>
    <row r="23">
      <c r="A23" s="76" t="inlineStr">
        <is>
          <t>Sumă pe 4423</t>
        </is>
      </c>
      <c r="B23" s="76">
        <f>IF(B21&gt;0,B21,0)</f>
        <v>5250</v>
      </c>
    </row>
    <row r="24">
      <c r="A24" s="76" t="inlineStr">
        <is>
          <t>Sumă pe 4424</t>
        </is>
      </c>
      <c r="B24" s="76">
        <f>IF(B21&lt;0,-B21,0)</f>
        <v>0</v>
      </c>
    </row>
    <row r="26">
      <c r="A26" s="75" t="inlineStr">
        <is>
          <t>5. Sufix descriere (generat)</t>
        </is>
      </c>
    </row>
    <row r="27">
      <c r="A27" s="76" t="inlineStr">
        <is>
          <t>Sufix</t>
        </is>
      </c>
      <c r="B27" s="76" t="str">
        <f>"— închidere TVA " &amp; B7</f>
        <v>— închidere TVA 2026-07</v>
      </c>
    </row>
    <row r="29">
      <c r="A29" s="75" t="inlineStr">
        <is>
          <t>6. Control</t>
        </is>
      </c>
    </row>
    <row r="30">
      <c r="A30" s="76" t="inlineStr">
        <is>
          <t>Check: 4426 și 4427 trebuie să aibă sold 0 după notă</t>
        </is>
      </c>
      <c r="B30" s="76" t="inlineStr">
        <is>
          <t>OK dacă nota e înregistrată integral</t>
        </is>
      </c>
    </row>
    <row r="31">
      <c r="A31" s="76" t="inlineStr">
        <is>
          <t>Modul activ în CatalogModule?</t>
        </is>
      </c>
      <c r="B31" s="76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73" t="inlineStr">
        <is>
          <t>MOD_INCHIDERE_TVA — Reguli (tabele fixe)</t>
        </is>
      </c>
    </row>
    <row r="2">
      <c r="A2" s="74" t="inlineStr">
        <is>
          <t>Regula fiscală/contabilă este dată, nu formulă. Se editează doar când se schimbă legea sau politica firmei.</t>
        </is>
      </c>
    </row>
    <row r="4">
      <c r="A4" s="75" t="inlineStr">
        <is>
          <t>Tabel A — Secvența de închidere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n">
        <v>1</v>
      </c>
      <c r="B6" s="76" t="inlineStr">
        <is>
          <t>4427</t>
        </is>
      </c>
      <c r="C6" s="76" t="inlineStr">
        <is>
          <t>4426</t>
        </is>
      </c>
      <c r="D6" s="76" t="inlineStr">
        <is>
          <t>MIN(rulaj 4426, rulaj 4427)</t>
        </is>
      </c>
      <c r="E6" s="76" t="inlineStr">
        <is>
          <t>Întotdeauna</t>
        </is>
      </c>
      <c r="F6" s="76" t="inlineStr">
        <is>
          <t>Stingere reciprocă a rulajelor — fără sold intermediar</t>
        </is>
      </c>
    </row>
    <row r="7">
      <c r="A7" s="76" t="n">
        <v>2</v>
      </c>
      <c r="B7" s="76" t="inlineStr">
        <is>
          <t>4427</t>
        </is>
      </c>
      <c r="C7" s="76" t="inlineStr">
        <is>
          <t>4423</t>
        </is>
      </c>
      <c r="D7" s="76" t="inlineStr">
        <is>
          <t>MAX(0, 4427−4426)</t>
        </is>
      </c>
      <c r="E7" s="76" t="inlineStr">
        <is>
          <t>Dacă 4427 &gt; 4426</t>
        </is>
      </c>
      <c r="F7" s="76" t="inlineStr">
        <is>
          <t>Sold net = TVA de plată către buget</t>
        </is>
      </c>
    </row>
    <row r="8">
      <c r="A8" s="76" t="n">
        <v>3</v>
      </c>
      <c r="B8" s="76" t="inlineStr">
        <is>
          <t>4424</t>
        </is>
      </c>
      <c r="C8" s="76" t="inlineStr">
        <is>
          <t>4426</t>
        </is>
      </c>
      <c r="D8" s="76" t="inlineStr">
        <is>
          <t>MAX(0, 4426−4427)</t>
        </is>
      </c>
      <c r="E8" s="76" t="inlineStr">
        <is>
          <t>Dacă 4426 &gt; 4427</t>
        </is>
      </c>
      <c r="F8" s="76" t="inlineStr">
        <is>
          <t>Sold net = TVA de recuperat / de rambursat</t>
        </is>
      </c>
    </row>
    <row r="10">
      <c r="A10" s="75" t="inlineStr">
        <is>
          <t>Tabel B — Conturi din planul pe rol (referință)</t>
        </is>
      </c>
    </row>
    <row r="11">
      <c r="A11" s="78" t="inlineStr">
        <is>
          <t>Cont</t>
        </is>
      </c>
      <c r="B11" s="78" t="inlineStr">
        <is>
          <t>Denumire</t>
        </is>
      </c>
      <c r="C11" s="78" t="inlineStr">
        <is>
          <t>Rol</t>
        </is>
      </c>
      <c r="D11" s="78" t="inlineStr">
        <is>
          <t>Observație din Plan de conturi</t>
        </is>
      </c>
    </row>
    <row r="12">
      <c r="A12" s="76" t="inlineStr">
        <is>
          <t>4426</t>
        </is>
      </c>
      <c r="B12" s="76" t="inlineStr">
        <is>
          <t>TVA deductibilă</t>
        </is>
      </c>
      <c r="C12" s="76" t="inlineStr">
        <is>
          <t>Tranzit / reflectare</t>
        </is>
      </c>
      <c r="D12" s="76" t="inlineStr">
        <is>
          <t>Jurnal cumpărări; se închide lunar; fără sold</t>
        </is>
      </c>
    </row>
    <row r="13">
      <c r="A13" s="76" t="inlineStr">
        <is>
          <t>4427</t>
        </is>
      </c>
      <c r="B13" s="76" t="inlineStr">
        <is>
          <t>TVA colectată</t>
        </is>
      </c>
      <c r="C13" s="76" t="inlineStr">
        <is>
          <t>Tranzit / reflectare</t>
        </is>
      </c>
      <c r="D13" s="76" t="inlineStr">
        <is>
          <t>Jurnal vânzări; se închide lunar; fără sold</t>
        </is>
      </c>
    </row>
    <row r="14">
      <c r="A14" s="76" t="inlineStr">
        <is>
          <t>4423</t>
        </is>
      </c>
      <c r="B14" s="76" t="inlineStr">
        <is>
          <t>TVA de plată</t>
        </is>
      </c>
      <c r="C14" s="76" t="inlineStr">
        <is>
          <t>Patrimonial — Datorie</t>
        </is>
      </c>
      <c r="D14" s="76" t="inlineStr">
        <is>
          <t>Sold datorie lunară către buget</t>
        </is>
      </c>
    </row>
    <row r="15">
      <c r="A15" s="76" t="inlineStr">
        <is>
          <t>4424</t>
        </is>
      </c>
      <c r="B15" s="76" t="inlineStr">
        <is>
          <t>TVA de recuperat</t>
        </is>
      </c>
      <c r="C15" s="76" t="inlineStr">
        <is>
          <t>Patrimonial — Creanță</t>
        </is>
      </c>
      <c r="D15" s="76" t="inlineStr">
        <is>
          <t>Sold creanță / de rambursat</t>
        </is>
      </c>
    </row>
    <row r="17">
      <c r="A17" s="75" t="inlineStr">
        <is>
          <t>Tabel C — Porți de calitate</t>
        </is>
      </c>
    </row>
    <row r="18">
      <c r="A18" s="74" t="inlineStr">
        <is>
          <t>• ΣDr = ΣCr pe notă</t>
        </is>
      </c>
    </row>
    <row r="19">
      <c r="A19" s="74" t="inlineStr">
        <is>
          <t>• După înregistrare: sold 4426 = 0 și sold 4427 = 0</t>
        </is>
      </c>
    </row>
    <row r="20">
      <c r="A20" s="74" t="inlineStr">
        <is>
          <t>• Sold 4423 sau 4424 = |4427 − 4426|</t>
        </is>
      </c>
    </row>
    <row r="21">
      <c r="A21" s="74" t="inlineStr">
        <is>
          <t>• Descrierile conțin sufixul generat (luna)</t>
        </is>
      </c>
    </row>
    <row r="22">
      <c r="A22" s="7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MOD_INCHIDERE_TVA — Jurnale (generate automat)</t>
        </is>
      </c>
    </row>
    <row r="2">
      <c r="A2" s="74" t="inlineStr">
        <is>
          <t>Nu se scrie nimic manual. Toate sumele și descrierile derivă din Declarații_INCHIDERE_TVA.</t>
        </is>
      </c>
    </row>
    <row r="4">
      <c r="A4" s="75" t="inlineStr">
        <is>
          <t>Bloc 1 — Închiderea lunară 4426 / 4427</t>
        </is>
      </c>
    </row>
    <row r="5">
      <c r="A5" s="76" t="inlineStr">
        <is>
          <t>Data jurnal:</t>
        </is>
      </c>
      <c r="B5" s="76" t="str">
        <f>Declarații_INCHIDERE_TVA!B8</f>
        <v>2026-07-31</v>
      </c>
    </row>
    <row r="7">
      <c r="A7" s="75" t="inlineStr">
        <is>
          <t>Înregistrări</t>
        </is>
      </c>
    </row>
    <row r="8">
      <c r="A8" s="78" t="inlineStr">
        <is>
          <t>Nr</t>
        </is>
      </c>
      <c r="B8" s="78" t="inlineStr">
        <is>
          <t>Cont Dr</t>
        </is>
      </c>
      <c r="C8" s="78" t="inlineStr">
        <is>
          <t>Sumă Dr</t>
        </is>
      </c>
      <c r="D8" s="78" t="inlineStr">
        <is>
          <t>Descriere Dr</t>
        </is>
      </c>
      <c r="E8" s="78" t="inlineStr">
        <is>
          <t>Cont Cr</t>
        </is>
      </c>
      <c r="F8" s="78" t="inlineStr">
        <is>
          <t>Sumă Cr</t>
        </is>
      </c>
      <c r="G8" s="78" t="inlineStr">
        <is>
          <t>Descriere Cr</t>
        </is>
      </c>
    </row>
    <row r="9">
      <c r="A9" s="76" t="n">
        <v>1</v>
      </c>
      <c r="B9" s="76" t="str">
        <f>Declarații_INCHIDERE_TVA!B16</f>
        <v>4427</v>
      </c>
      <c r="C9" s="76">
        <f>MIN(Declarații_INCHIDERE_TVA!B11,Declarații_INCHIDERE_TVA!B12)</f>
        <v>10500</v>
      </c>
      <c r="D9" s="76" t="str">
        <f>"Stingere TVA colectată " &amp; Declarații_INCHIDERE_TVA!B27</f>
        <v>Stingere TVA colectată — închidere TVA 2026-07</v>
      </c>
      <c r="E9" s="76" t="str">
        <f>Declarații_INCHIDERE_TVA!B15</f>
        <v>4426</v>
      </c>
      <c r="F9" s="76">
        <f>MIN(Declarații_INCHIDERE_TVA!B11,Declarații_INCHIDERE_TVA!B12)</f>
        <v>10500</v>
      </c>
      <c r="G9" s="76" t="str">
        <f>"Stingere TVA deductibilă " &amp; Declarații_INCHIDERE_TVA!B27</f>
        <v>Stingere TVA deductibilă — închidere TVA 2026-07</v>
      </c>
    </row>
    <row r="10">
      <c r="A10" s="76" t="n">
        <v>2</v>
      </c>
      <c r="B10" s="76" t="str">
        <f>Declarații_INCHIDERE_TVA!B16</f>
        <v>4427</v>
      </c>
      <c r="C10" s="76">
        <f>Declarații_INCHIDERE_TVA!B23</f>
        <v>5250</v>
      </c>
      <c r="D10" s="76" t="str">
        <f>"TVA de plată (sold net) " &amp; Declarații_INCHIDERE_TVA!B27</f>
        <v>TVA de plată (sold net) — închidere TVA 2026-07</v>
      </c>
      <c r="E10" s="76" t="str">
        <f>Declarații_INCHIDERE_TVA!B17</f>
        <v>4423</v>
      </c>
      <c r="F10" s="76">
        <f>Declarații_INCHIDERE_TVA!B23</f>
        <v>5250</v>
      </c>
      <c r="G10" s="76" t="str">
        <f>"Datorie TVA buget " &amp; Declarații_INCHIDERE_TVA!B27</f>
        <v>Datorie TVA buget — închidere TVA 2026-07</v>
      </c>
    </row>
    <row r="11">
      <c r="A11" s="76" t="n">
        <v>3</v>
      </c>
      <c r="B11" s="76" t="str">
        <f>Declarații_INCHIDERE_TVA!B18</f>
        <v>4424</v>
      </c>
      <c r="C11" s="76">
        <f>Declarații_INCHIDERE_TVA!B24</f>
        <v>0</v>
      </c>
      <c r="D11" s="76" t="str">
        <f>"TVA de recuperat (sold net) " &amp; Declarații_INCHIDERE_TVA!B27</f>
        <v>TVA de recuperat (sold net) — închidere TVA 2026-07</v>
      </c>
      <c r="E11" s="76" t="str">
        <f>Declarații_INCHIDERE_TVA!B15</f>
        <v>4426</v>
      </c>
      <c r="F11" s="76">
        <f>Declarații_INCHIDERE_TVA!B24</f>
        <v>0</v>
      </c>
      <c r="G11" s="76" t="str">
        <f>"Stingere rest TVA deductibilă " &amp; Declarații_INCHIDERE_TVA!B27</f>
        <v>Stingere rest TVA deductibilă — închidere TVA 2026-07</v>
      </c>
    </row>
    <row r="13">
      <c r="A13" s="75" t="inlineStr">
        <is>
          <t>Sumar</t>
        </is>
      </c>
    </row>
    <row r="14">
      <c r="A14" s="76" t="inlineStr">
        <is>
          <t>Total Dr</t>
        </is>
      </c>
      <c r="B14" s="76">
        <f>C9+C10+C11</f>
        <v>15750</v>
      </c>
    </row>
    <row r="15">
      <c r="A15" s="76" t="inlineStr">
        <is>
          <t>Total Cr</t>
        </is>
      </c>
      <c r="B15" s="76">
        <f>F9+F10+F11</f>
        <v>15750</v>
      </c>
    </row>
    <row r="16">
      <c r="A16" s="76" t="inlineStr">
        <is>
          <t>Check Σ (structural)</t>
        </is>
      </c>
      <c r="B16" s="76">
        <f>B14-B15</f>
        <v>0</v>
      </c>
      <c r="C16" s="76" t="str">
        <f>IF(ABS(B16)&lt;0.01,"OK — notă se închide","EROARE")</f>
        <v>OK — notă se închide</v>
      </c>
    </row>
    <row r="17">
      <c r="A17" s="76" t="inlineStr">
        <is>
          <t>Check net (REAL)</t>
        </is>
      </c>
      <c r="B17" s="76">
        <f>ABS(Declarații_INCHIDERE_TVA!B12-Declarații_INCHIDERE_TVA!B11)-(C10+C11)</f>
        <v>0</v>
      </c>
      <c r="C17" s="76" t="str">
        <f>IF(ABS(B17)&lt;0.01,"OK — net repartizat pe 4423/4424","EROARE — net ≠ |4427−4426|")</f>
        <v>OK — net repartizat pe 4423/4424</v>
      </c>
    </row>
    <row r="18">
      <c r="A18" s="76" t="inlineStr">
        <is>
          <t>Check exclusivitate 4423/4424</t>
        </is>
      </c>
      <c r="B18" s="76">
        <f>IF(AND(C10&gt;0.01,C11&gt;0.01),1,0)</f>
        <v>0</v>
      </c>
      <c r="C18" s="76" t="str">
        <f>IF(B18=0,"OK — un singur cont de sold","EROARE — 4423 și 4424 ambele &gt;0")</f>
        <v>OK — un singur cont de sold</v>
      </c>
    </row>
    <row r="19">
      <c r="A19" s="7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73" t="inlineStr">
        <is>
          <t>MOD_INCHIDERE_TVA — Notă pentru import (1 rând = 1 înregistrare)</t>
        </is>
      </c>
    </row>
    <row r="2">
      <c r="A2" s="74" t="inlineStr">
        <is>
          <t>Filtrează pe coloana Include = DA înainte de import în SAGA / alt program. Echilibrul se verifică pe bloc în Jurnale, nu pe totalul listei.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Închidere TVA</t>
        </is>
      </c>
      <c r="C5" s="76" t="str">
        <f>Declarații_INCHIDERE_TVA!B8</f>
        <v>2026-07-31</v>
      </c>
      <c r="D5" s="76" t="str">
        <f>Jurnale_INCHIDERE_TVA!B9</f>
        <v>4427</v>
      </c>
      <c r="E5" s="76" t="str">
        <f>Jurnale_INCHIDERE_TVA!E9</f>
        <v>4426</v>
      </c>
      <c r="F5" s="76">
        <f>Jurnale_INCHIDERE_TVA!C9</f>
        <v>10500</v>
      </c>
      <c r="G5" s="76" t="str">
        <f>Jurnale_INCHIDERE_TVA!D9</f>
        <v>Stingere TVA colectată — închidere TVA 2026-07</v>
      </c>
      <c r="H5" s="76" t="inlineStr">
        <is>
          <t>Închidere lunară TVA</t>
        </is>
      </c>
      <c r="I5" s="76" t="str">
        <f>IF(F5&gt;0,"DA","NU")</f>
        <v>DA</v>
      </c>
    </row>
    <row r="6">
      <c r="A6" s="76" t="n">
        <v>2</v>
      </c>
      <c r="B6" s="76" t="inlineStr">
        <is>
          <t>Bloc 1 — Închidere TVA</t>
        </is>
      </c>
      <c r="C6" s="76" t="str">
        <f>Declarații_INCHIDERE_TVA!B8</f>
        <v>2026-07-31</v>
      </c>
      <c r="D6" s="76" t="str">
        <f>Jurnale_INCHIDERE_TVA!B10</f>
        <v>4427</v>
      </c>
      <c r="E6" s="76" t="str">
        <f>Jurnale_INCHIDERE_TVA!E10</f>
        <v>4423</v>
      </c>
      <c r="F6" s="76">
        <f>Jurnale_INCHIDERE_TVA!C10</f>
        <v>5250</v>
      </c>
      <c r="G6" s="76" t="str">
        <f>Jurnale_INCHIDERE_TVA!D10</f>
        <v>TVA de plată (sold net) — închidere TVA 2026-07</v>
      </c>
      <c r="H6" s="76" t="inlineStr">
        <is>
          <t>Închidere lunară TVA</t>
        </is>
      </c>
      <c r="I6" s="76" t="str">
        <f>IF(F6&gt;0,"DA","NU")</f>
        <v>DA</v>
      </c>
    </row>
    <row r="7">
      <c r="A7" s="76" t="n">
        <v>3</v>
      </c>
      <c r="B7" s="76" t="inlineStr">
        <is>
          <t>Bloc 1 — Închidere TVA</t>
        </is>
      </c>
      <c r="C7" s="76" t="str">
        <f>Declarații_INCHIDERE_TVA!B8</f>
        <v>2026-07-31</v>
      </c>
      <c r="D7" s="76" t="str">
        <f>Jurnale_INCHIDERE_TVA!B11</f>
        <v>4424</v>
      </c>
      <c r="E7" s="76" t="str">
        <f>Jurnale_INCHIDERE_TVA!E11</f>
        <v>4426</v>
      </c>
      <c r="F7" s="76">
        <f>Jurnale_INCHIDERE_TVA!C11</f>
        <v>0</v>
      </c>
      <c r="G7" s="76" t="str">
        <f>Jurnale_INCHIDERE_TVA!D11</f>
        <v>TVA de recuperat (sold net) — închidere TVA 2026-07</v>
      </c>
      <c r="H7" s="76" t="inlineStr">
        <is>
          <t>Închidere lunară TVA</t>
        </is>
      </c>
      <c r="I7" s="76" t="str">
        <f>IF(F7&gt;0,"DA","NU")</f>
        <v>NU</v>
      </c>
    </row>
    <row r="9">
      <c r="A9" s="76" t="inlineStr">
        <is>
          <t>Rânduri de importat (Include=DA)</t>
        </is>
      </c>
      <c r="B9" s="76">
        <f>COUNTIF(I5:I7,"DA")</f>
        <v>2</v>
      </c>
    </row>
    <row r="10">
      <c r="A10" s="76" t="inlineStr">
        <is>
          <t>Check global (trebuie 0)</t>
        </is>
      </c>
      <c r="B10" s="76">
        <f>Jurnale_INCHIDERE_TVA!B16</f>
        <v>0</v>
      </c>
      <c r="C10" s="76" t="str">
        <f>IF(ABS(B10)&lt;0.01,"OK","EROARE")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73" t="inlineStr">
        <is>
          <t>MOD_APROV_TRANZIT — Declarații (input)</t>
        </is>
      </c>
    </row>
    <row r="2">
      <c r="A2" s="7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factură (jurnal B1)</t>
        </is>
      </c>
      <c r="B8" s="77" t="inlineStr">
        <is>
          <t>2026-07-10</t>
        </is>
      </c>
    </row>
    <row r="9">
      <c r="A9" s="76" t="inlineStr">
        <is>
          <t>Data recepție NIR (jurnal B2)</t>
        </is>
      </c>
      <c r="B9" s="77" t="inlineStr">
        <is>
          <t>2026-07-18</t>
        </is>
      </c>
    </row>
    <row r="10">
      <c r="A10" s="76" t="inlineStr">
        <is>
          <t>Furnizor (denumire scurtă)</t>
        </is>
      </c>
      <c r="B10" s="77" t="inlineStr">
        <is>
          <t>Furnizor DEMO</t>
        </is>
      </c>
    </row>
    <row r="11">
      <c r="A11" s="76" t="inlineStr">
        <is>
          <t>Nr. factură / document</t>
        </is>
      </c>
      <c r="B11" s="77" t="inlineStr">
        <is>
          <t>F-1234/10.07.2026</t>
        </is>
      </c>
    </row>
    <row r="13">
      <c r="A13" s="75" t="inlineStr">
        <is>
          <t>2. Sume factură</t>
        </is>
      </c>
    </row>
    <row r="14">
      <c r="A14" s="76" t="inlineStr">
        <is>
          <t>Valoare netă (fără TVA)</t>
        </is>
      </c>
      <c r="B14" s="77" t="n">
        <v>8000</v>
      </c>
    </row>
    <row r="15">
      <c r="A15" s="76" t="inlineStr">
        <is>
          <t>Cota TVA</t>
        </is>
      </c>
      <c r="B15" s="77" t="n">
        <v>0.21</v>
      </c>
    </row>
    <row r="16">
      <c r="A16" s="76" t="inlineStr">
        <is>
          <t>TVA (calculat)</t>
        </is>
      </c>
      <c r="B16" s="76">
        <f>B14*B15</f>
        <v>1680</v>
      </c>
    </row>
    <row r="17">
      <c r="A17" s="76" t="inlineStr">
        <is>
          <t>Total factură</t>
        </is>
      </c>
      <c r="B17" s="76">
        <f>B14+B16</f>
        <v>9680</v>
      </c>
    </row>
    <row r="19">
      <c r="A19" s="75" t="inlineStr">
        <is>
          <t>3. Politică de conturi</t>
        </is>
      </c>
    </row>
    <row r="20">
      <c r="A20" s="76" t="inlineStr">
        <is>
          <t>Cont stoc final (după recepție)</t>
        </is>
      </c>
      <c r="B20" s="77" t="inlineStr">
        <is>
          <t>371</t>
        </is>
      </c>
    </row>
    <row r="21">
      <c r="A21" s="76" t="inlineStr">
        <is>
          <t>Cont tranzit (32x)</t>
        </is>
      </c>
      <c r="B21" s="77" t="inlineStr">
        <is>
          <t>327</t>
        </is>
      </c>
    </row>
    <row r="22">
      <c r="A22" s="76" t="inlineStr">
        <is>
          <t>Cont furnizor</t>
        </is>
      </c>
      <c r="B22" s="77" t="inlineStr">
        <is>
          <t>401.RO</t>
        </is>
      </c>
    </row>
    <row r="23">
      <c r="A23" s="76" t="inlineStr">
        <is>
          <t>Cont TVA deductibilă</t>
        </is>
      </c>
      <c r="B23" s="77" t="inlineStr">
        <is>
          <t>4426</t>
        </is>
      </c>
    </row>
    <row r="24">
      <c r="A24" s="76" t="inlineStr">
        <is>
          <t>Platitor TVA? (DA/NU)</t>
        </is>
      </c>
      <c r="B24" s="77" t="inlineStr">
        <is>
          <t>DA</t>
        </is>
      </c>
    </row>
    <row r="26">
      <c r="A26" s="75" t="inlineStr">
        <is>
          <t>4. Poartă — tip eveniment</t>
        </is>
      </c>
    </row>
    <row r="27">
      <c r="A27" s="76" t="inlineStr">
        <is>
          <t>Factură înainte de marfă? (DA = tranzit 32x)</t>
        </is>
      </c>
      <c r="B27" s="77" t="inlineStr">
        <is>
          <t>DA</t>
        </is>
      </c>
    </row>
    <row r="28">
      <c r="A28" s="76" t="inlineStr">
        <is>
          <t>Marfă înainte de factură? (DA = 408 — nu e acoperit de acest modul)</t>
        </is>
      </c>
      <c r="B28" s="77" t="inlineStr">
        <is>
          <t>NU</t>
        </is>
      </c>
    </row>
    <row r="29">
      <c r="A29" s="76" t="inlineStr">
        <is>
          <t>Notă poartă</t>
        </is>
      </c>
      <c r="B29" s="76" t="str">
        <f>IF(AND(B27="DA",B28="NU"),"Cale standard F-302: 32x → stoc","Verifică: dacă ambele DA sau ambele NU, situația nu e tranzit clasic")</f>
        <v>Cale standard F-302: 32x → stoc</v>
      </c>
    </row>
    <row r="31">
      <c r="A31" s="75" t="inlineStr">
        <is>
          <t>5. Sufix descriere (generat)</t>
        </is>
      </c>
    </row>
    <row r="32">
      <c r="A32" s="76" t="inlineStr">
        <is>
          <t>Sufix</t>
        </is>
      </c>
      <c r="B32" s="76" t="str">
        <f>"— " &amp; B7 &amp; " — " &amp; B10 &amp; " — " &amp; B11</f>
        <v>— 2026-07 — Furnizor DEMO — F-1234/10.07.2026</v>
      </c>
    </row>
    <row r="34">
      <c r="A34" s="75" t="inlineStr">
        <is>
          <t>6. Control modul</t>
        </is>
      </c>
    </row>
    <row r="35">
      <c r="A35" s="76" t="inlineStr">
        <is>
          <t>Modul activ în Catalog?</t>
        </is>
      </c>
      <c r="B35" s="76" t="str">
        <f>IF(INDEX(CatalogModule!$A$1:$A$200,MATCH("MOD_APROV_TRANZIT",CatalogModule!$B$1:$B$200,0))="DA","ACTIV","INACTIV")</f>
        <v>ACTIV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73" t="inlineStr">
        <is>
          <t>MOD_APROV_TRANZIT — Reguli (tabele fixe)</t>
        </is>
      </c>
    </row>
    <row r="2">
      <c r="A2" s="74" t="inlineStr">
        <is>
          <t>Regula este dată, nu formulă. Se editează doar la schimbare de lege sau politică.</t>
        </is>
      </c>
    </row>
    <row r="4">
      <c r="A4" s="75" t="inlineStr">
        <is>
          <t>Tabel A — Secvența de înregistrare (calea standard F-302)</t>
        </is>
      </c>
    </row>
    <row r="5">
      <c r="A5" s="78" t="inlineStr">
        <is>
          <t>Pas</t>
        </is>
      </c>
      <c r="B5" s="78" t="inlineStr">
        <is>
          <t>Moment</t>
        </is>
      </c>
      <c r="C5" s="78" t="inlineStr">
        <is>
          <t>Cont Dr</t>
        </is>
      </c>
      <c r="D5" s="78" t="inlineStr">
        <is>
          <t>Cont Cr</t>
        </is>
      </c>
      <c r="E5" s="78" t="inlineStr">
        <is>
          <t>Sumă</t>
        </is>
      </c>
      <c r="F5" s="78" t="inlineStr">
        <is>
          <t>Temei / observație</t>
        </is>
      </c>
    </row>
    <row r="6">
      <c r="A6" s="76" t="n">
        <v>1</v>
      </c>
      <c r="B6" s="76" t="inlineStr">
        <is>
          <t>Factură (marfă pe drum)</t>
        </is>
      </c>
      <c r="C6" s="76" t="inlineStr">
        <is>
          <t>327 (tranzit)</t>
        </is>
      </c>
      <c r="D6" s="76" t="inlineStr">
        <is>
          <t>401.RO</t>
        </is>
      </c>
      <c r="E6" s="76" t="inlineStr">
        <is>
          <t>Netă</t>
        </is>
      </c>
      <c r="F6" s="76" t="inlineStr">
        <is>
          <t>Rol: Tranzit / reflectare — destinația cunoscută, așteaptă recepția</t>
        </is>
      </c>
    </row>
    <row r="7">
      <c r="A7" s="76" t="n">
        <v>2</v>
      </c>
      <c r="B7" s="76" t="inlineStr">
        <is>
          <t>Factură — TVA</t>
        </is>
      </c>
      <c r="C7" s="76" t="inlineStr">
        <is>
          <t>4426</t>
        </is>
      </c>
      <c r="D7" s="76" t="inlineStr">
        <is>
          <t>401.RO</t>
        </is>
      </c>
      <c r="E7" s="76" t="inlineStr">
        <is>
          <t>TVA</t>
        </is>
      </c>
      <c r="F7" s="76" t="inlineStr">
        <is>
          <t>Tranzit TVA; se închide lunar în 4423/4424</t>
        </is>
      </c>
    </row>
    <row r="8">
      <c r="A8" s="76" t="n">
        <v>3</v>
      </c>
      <c r="B8" s="76" t="inlineStr">
        <is>
          <t>Recepție NIR</t>
        </is>
      </c>
      <c r="C8" s="76" t="inlineStr">
        <is>
          <t>371 (sau 301)</t>
        </is>
      </c>
      <c r="D8" s="76" t="inlineStr">
        <is>
          <t>327</t>
        </is>
      </c>
      <c r="E8" s="76" t="inlineStr">
        <is>
          <t>Netă</t>
        </is>
      </c>
      <c r="F8" s="76" t="inlineStr">
        <is>
          <t>Stingere tranzit → stoc real (pas revelator)</t>
        </is>
      </c>
    </row>
    <row r="10">
      <c r="A10" s="75" t="inlineStr">
        <is>
          <t>Tabel B — Conturi din planul pe rol</t>
        </is>
      </c>
    </row>
    <row r="11">
      <c r="A11" s="78" t="inlineStr">
        <is>
          <t>Cont</t>
        </is>
      </c>
      <c r="B11" s="78" t="inlineStr">
        <is>
          <t>Denumire</t>
        </is>
      </c>
      <c r="C11" s="78" t="inlineStr">
        <is>
          <t>Rol</t>
        </is>
      </c>
      <c r="D11" s="78" t="inlineStr">
        <is>
          <t>Observație</t>
        </is>
      </c>
    </row>
    <row r="12">
      <c r="A12" s="76" t="inlineStr">
        <is>
          <t>327</t>
        </is>
      </c>
      <c r="B12" s="76" t="inlineStr">
        <is>
          <t>Mărfuri în curs de aprovizionare</t>
        </is>
      </c>
      <c r="C12" s="76" t="inlineStr">
        <is>
          <t>Tranzit / reflectare</t>
        </is>
      </c>
      <c r="D12" s="76" t="inlineStr">
        <is>
          <t>Se stinge 371=327 la recepție. Fără pasul de stingere → stoc subevaluat + 327 deschis</t>
        </is>
      </c>
    </row>
    <row r="13">
      <c r="A13" s="76" t="inlineStr">
        <is>
          <t>321-328</t>
        </is>
      </c>
      <c r="B13" s="76" t="inlineStr">
        <is>
          <t>Familia 32x</t>
        </is>
      </c>
      <c r="C13" s="76" t="inlineStr">
        <is>
          <t>Tranzit / reflectare</t>
        </is>
      </c>
      <c r="D13" s="76" t="inlineStr">
        <is>
          <t>321 materii, 322 consumabile, 323 obiecte inventar, 327 mărfuri, 328 ambalaje</t>
        </is>
      </c>
    </row>
    <row r="14">
      <c r="A14" s="76" t="inlineStr">
        <is>
          <t>371 / 301</t>
        </is>
      </c>
      <c r="B14" s="76" t="inlineStr">
        <is>
          <t>Stoc real</t>
        </is>
      </c>
      <c r="C14" s="76" t="inlineStr">
        <is>
          <t>Patrimonial — Stoc</t>
        </is>
      </c>
      <c r="D14" s="76" t="inlineStr">
        <is>
          <t>Destinația finală după recepție</t>
        </is>
      </c>
    </row>
    <row r="15">
      <c r="A15" s="76" t="inlineStr">
        <is>
          <t>401.RO</t>
        </is>
      </c>
      <c r="B15" s="76" t="inlineStr">
        <is>
          <t>Furnizori RO</t>
        </is>
      </c>
      <c r="C15" s="76" t="inlineStr">
        <is>
          <t>Patrimonial — Datorie</t>
        </is>
      </c>
      <c r="D15" s="76" t="inlineStr">
        <is>
          <t>Analitic pe rezidență pentru D394</t>
        </is>
      </c>
    </row>
    <row r="16">
      <c r="A16" s="76" t="inlineStr">
        <is>
          <t>4426</t>
        </is>
      </c>
      <c r="B16" s="76" t="inlineStr">
        <is>
          <t>TVA deductibilă</t>
        </is>
      </c>
      <c r="C16" s="76" t="inlineStr">
        <is>
          <t>Tranzit / reflectare</t>
        </is>
      </c>
      <c r="D16" s="76" t="inlineStr">
        <is>
          <t>Fără sold după închiderea lunară</t>
        </is>
      </c>
    </row>
    <row r="17">
      <c r="A17" s="76" t="inlineStr">
        <is>
          <t>408</t>
        </is>
      </c>
      <c r="B17" s="76" t="inlineStr">
        <is>
          <t>Furnizori — facturi nesosite</t>
        </is>
      </c>
      <c r="C17" s="76" t="inlineStr">
        <is>
          <t>Intermediar / clarificare</t>
        </is>
      </c>
      <c r="D17" s="76" t="inlineStr">
        <is>
          <t>Cazul SIMETRIC (marfă înainte de factură) — modul separat MOD_INTERMEDIAR</t>
        </is>
      </c>
    </row>
    <row r="19">
      <c r="A19" s="75" t="inlineStr">
        <is>
          <t>Tabel C — Porți de calitate</t>
        </is>
      </c>
    </row>
    <row r="20">
      <c r="A20" s="74" t="inlineStr">
        <is>
          <t>• ΣDr = ΣCr pe fiecare bloc (B1 factură, B2 recepție)</t>
        </is>
      </c>
    </row>
    <row r="21">
      <c r="A21" s="74" t="inlineStr">
        <is>
          <t>• După B2: sold 327 = 0</t>
        </is>
      </c>
    </row>
    <row r="22">
      <c r="A22" s="74" t="inlineStr">
        <is>
          <t>• Dacă poarta „Factură înainte de marfă” = NU → modulul nu ar trebui activat (calea e F-301 direct)</t>
        </is>
      </c>
    </row>
    <row r="23">
      <c r="A23" s="7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3" t="inlineStr">
        <is>
          <t>MOD_APROV_TRANZIT — Jurnale (generate automat)</t>
        </is>
      </c>
    </row>
    <row r="2">
      <c r="A2" s="74" t="inlineStr">
        <is>
          <t>Nu se scrie nimic manual. Sumele și descrierile vin din Declarații_APROV_TRANZIT.</t>
        </is>
      </c>
    </row>
    <row r="4">
      <c r="A4" s="75" t="inlineStr">
        <is>
          <t>Bloc 1 — Factură (marfă pe drum) — rol Tranzit</t>
        </is>
      </c>
    </row>
    <row r="5">
      <c r="A5" s="76" t="inlineStr">
        <is>
          <t>Data jurnal:</t>
        </is>
      </c>
      <c r="B5" s="76" t="str">
        <f>Declarații_APROV_TRANZIT!B8</f>
        <v>2026-07-10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Declarații_APROV_TRANZIT!B21</f>
        <v>327</v>
      </c>
      <c r="C8" s="76">
        <f>Declarații_APROV_TRANZIT!B14</f>
        <v>8000</v>
      </c>
      <c r="D8" s="76" t="str">
        <f>"Marfă în curs de aprovizionare " &amp; Declarații_APROV_TRANZIT!B32</f>
        <v>Marfă în curs de aprovizionare — 2026-07 — Furnizor DEMO — F-1234/10.07.2026</v>
      </c>
      <c r="E8" s="76" t="str">
        <f>Declarații_APROV_TRANZIT!B22</f>
        <v>401.RO</v>
      </c>
      <c r="F8" s="76">
        <f>Declarații_APROV_TRANZIT!B14</f>
        <v>8000</v>
      </c>
      <c r="G8" s="76" t="str">
        <f>"Datorie furnizor (net) " &amp; Declarații_APROV_TRANZIT!B32</f>
        <v>Datorie furnizor (net) — 2026-07 — Furnizor DEMO — F-1234/10.07.2026</v>
      </c>
    </row>
    <row r="9">
      <c r="A9" s="76" t="n">
        <v>2</v>
      </c>
      <c r="B9" s="76" t="str">
        <f>Declarații_APROV_TRANZIT!B23</f>
        <v>4426</v>
      </c>
      <c r="C9" s="76">
        <f>IF(Declarații_APROV_TRANZIT!B24="DA",Declarații_APROV_TRANZIT!B16,0)</f>
        <v>1680</v>
      </c>
      <c r="D9" s="76" t="str">
        <f>"TVA deductibilă pe factură în tranzit " &amp; Declarații_APROV_TRANZIT!B32</f>
        <v>TVA deductibilă pe factură în tranzit — 2026-07 — Furnizor DEMO — F-1234/10.07.2026</v>
      </c>
      <c r="E9" s="76" t="str">
        <f>Declarații_APROV_TRANZIT!B22</f>
        <v>401.RO</v>
      </c>
      <c r="F9" s="76">
        <f>IF(Declarații_APROV_TRANZIT!B24="DA",Declarații_APROV_TRANZIT!B16,0)</f>
        <v>1680</v>
      </c>
      <c r="G9" s="76" t="str">
        <f>"Datorie furnizor (TVA) " &amp; Declarații_APROV_TRANZIT!B32</f>
        <v>Datorie furnizor (TVA) — 2026-07 — Furnizor DEMO — F-1234/10.07.2026</v>
      </c>
    </row>
    <row r="11">
      <c r="A11" s="75" t="inlineStr">
        <is>
          <t>Sumar Bloc 1</t>
        </is>
      </c>
    </row>
    <row r="12">
      <c r="A12" s="76" t="inlineStr">
        <is>
          <t>Total Dr</t>
        </is>
      </c>
      <c r="B12" s="76">
        <f>C8+C9</f>
        <v>9680</v>
      </c>
    </row>
    <row r="13">
      <c r="A13" s="76" t="inlineStr">
        <is>
          <t>Total Cr</t>
        </is>
      </c>
      <c r="B13" s="76">
        <f>F8+F9</f>
        <v>9680</v>
      </c>
    </row>
    <row r="14">
      <c r="A14" s="76" t="inlineStr">
        <is>
          <t>Check B1</t>
        </is>
      </c>
      <c r="B14" s="76">
        <f>B12-B13</f>
        <v>0</v>
      </c>
      <c r="C14" s="76" t="str">
        <f>IF(ABS(B14)&lt;0.01,"OK","EROARE")</f>
        <v>OK</v>
      </c>
    </row>
    <row r="16">
      <c r="A16" s="75" t="inlineStr">
        <is>
          <t>Bloc 2 — Recepție NIR — stingere tranzit (pas revelator)</t>
        </is>
      </c>
    </row>
    <row r="17">
      <c r="A17" s="76" t="inlineStr">
        <is>
          <t>Data jurnal:</t>
        </is>
      </c>
      <c r="B17" s="76" t="str">
        <f>Declarații_APROV_TRANZIT!B9</f>
        <v>2026-07-18</v>
      </c>
    </row>
    <row r="19">
      <c r="A19" s="78" t="inlineStr">
        <is>
          <t>Nr</t>
        </is>
      </c>
      <c r="B19" s="78" t="inlineStr">
        <is>
          <t>Cont Dr</t>
        </is>
      </c>
      <c r="C19" s="78" t="inlineStr">
        <is>
          <t>Sumă Dr</t>
        </is>
      </c>
      <c r="D19" s="78" t="inlineStr">
        <is>
          <t>Descriere Dr</t>
        </is>
      </c>
      <c r="E19" s="78" t="inlineStr">
        <is>
          <t>Cont Cr</t>
        </is>
      </c>
      <c r="F19" s="78" t="inlineStr">
        <is>
          <t>Sumă Cr</t>
        </is>
      </c>
      <c r="G19" s="78" t="inlineStr">
        <is>
          <t>Descriere Cr</t>
        </is>
      </c>
    </row>
    <row r="20">
      <c r="A20" s="76" t="n">
        <v>1</v>
      </c>
      <c r="B20" s="76" t="str">
        <f>Declarații_APROV_TRANZIT!B20</f>
        <v>371</v>
      </c>
      <c r="C20" s="76">
        <f>Declarații_APROV_TRANZIT!B14</f>
        <v>8000</v>
      </c>
      <c r="D20" s="76" t="str">
        <f>"Recepție stoc real (stingere tranzit) " &amp; Declarații_APROV_TRANZIT!B32</f>
        <v>Recepție stoc real (stingere tranzit) — 2026-07 — Furnizor DEMO — F-1234/10.07.2026</v>
      </c>
      <c r="E20" s="76" t="str">
        <f>Declarații_APROV_TRANZIT!B21</f>
        <v>327</v>
      </c>
      <c r="F20" s="76">
        <f>Declarații_APROV_TRANZIT!B14</f>
        <v>8000</v>
      </c>
      <c r="G20" s="76" t="str">
        <f>"Stingere 32x " &amp; Declarații_APROV_TRANZIT!B32</f>
        <v>Stingere 32x — 2026-07 — Furnizor DEMO — F-1234/10.07.2026</v>
      </c>
    </row>
    <row r="22">
      <c r="A22" s="75" t="inlineStr">
        <is>
          <t>Sumar Bloc 2</t>
        </is>
      </c>
    </row>
    <row r="23">
      <c r="A23" s="76" t="inlineStr">
        <is>
          <t>Total Dr</t>
        </is>
      </c>
      <c r="B23" s="76">
        <f>C20</f>
        <v>8000</v>
      </c>
    </row>
    <row r="24">
      <c r="A24" s="76" t="inlineStr">
        <is>
          <t>Total Cr</t>
        </is>
      </c>
      <c r="B24" s="76">
        <f>F20</f>
        <v>8000</v>
      </c>
    </row>
    <row r="25">
      <c r="A25" s="76" t="inlineStr">
        <is>
          <t>Check B2</t>
        </is>
      </c>
      <c r="B25" s="76">
        <f>B23-B24</f>
        <v>0</v>
      </c>
      <c r="C25" s="76" t="str">
        <f>IF(ABS(B25)&lt;0.01,"OK","EROARE")</f>
        <v>OK</v>
      </c>
    </row>
    <row r="27">
      <c r="A27" s="75" t="inlineStr">
        <is>
          <t>Stare terminală așteptată</t>
        </is>
      </c>
    </row>
    <row r="28">
      <c r="A28" s="74" t="inlineStr">
        <is>
          <t>Sold 327 = 0 | Stoc 371 (sau 301) reflectă marfa | 401 = total factură | 4426 conține TVA (se închide la final de lună cu MOD_INCHIDERE_TVA)</t>
        </is>
      </c>
    </row>
    <row r="30">
      <c r="A30" s="76" t="inlineStr">
        <is>
          <t>Check global (toate blocurile)</t>
        </is>
      </c>
      <c r="B30" s="76">
        <f>ABS(B14)+ABS(B25)</f>
        <v>0</v>
      </c>
      <c r="C30" s="76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73" t="inlineStr">
        <is>
          <t>MOD_APROV_TRANZIT — Notă pentru import</t>
        </is>
      </c>
    </row>
    <row r="2">
      <c r="A2" s="74" t="inlineStr">
        <is>
          <t>Filtrează Include=DA. Bloc 1 = data facturii; Bloc 2 = data recepției (pot fi luni diferite).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Factură tranzit</t>
        </is>
      </c>
      <c r="C5" s="76" t="str">
        <f>Declarații_APROV_TRANZIT!B8</f>
        <v>2026-07-10</v>
      </c>
      <c r="D5" s="76" t="str">
        <f>Jurnale_APROV_TRANZIT!B8</f>
        <v>327</v>
      </c>
      <c r="E5" s="76" t="str">
        <f>Jurnale_APROV_TRANZIT!E8</f>
        <v>401.RO</v>
      </c>
      <c r="F5" s="76">
        <f>Jurnale_APROV_TRANZIT!C8</f>
        <v>8000</v>
      </c>
      <c r="G5" s="76" t="str">
        <f>Jurnale_APROV_TRANZIT!D8</f>
        <v>Marfă în curs de aprovizionare — 2026-07 — Furnizor DEMO — F-1234/10.07.2026</v>
      </c>
      <c r="H5" s="76" t="str">
        <f>Declarații_APROV_TRANZIT!B11</f>
        <v>F-1234/10.07.2026</v>
      </c>
      <c r="I5" s="76" t="str">
        <f>IF(F5&gt;0,"DA","NU")</f>
        <v>DA</v>
      </c>
    </row>
    <row r="6">
      <c r="A6" s="76" t="n">
        <v>2</v>
      </c>
      <c r="B6" s="76" t="inlineStr">
        <is>
          <t>Bloc 1 — Factură tranzit</t>
        </is>
      </c>
      <c r="C6" s="76" t="str">
        <f>Declarații_APROV_TRANZIT!B8</f>
        <v>2026-07-10</v>
      </c>
      <c r="D6" s="76" t="str">
        <f>Jurnale_APROV_TRANZIT!B9</f>
        <v>4426</v>
      </c>
      <c r="E6" s="76" t="str">
        <f>Jurnale_APROV_TRANZIT!E9</f>
        <v>401.RO</v>
      </c>
      <c r="F6" s="76">
        <f>Jurnale_APROV_TRANZIT!C9</f>
        <v>1680</v>
      </c>
      <c r="G6" s="76" t="str">
        <f>Jurnale_APROV_TRANZIT!D9</f>
        <v>TVA deductibilă pe factură în tranzit — 2026-07 — Furnizor DEMO — F-1234/10.07.2026</v>
      </c>
      <c r="H6" s="76" t="str">
        <f>Declarații_APROV_TRANZIT!B11</f>
        <v>F-1234/10.07.2026</v>
      </c>
      <c r="I6" s="76" t="str">
        <f>IF(F6&gt;0,"DA","NU")</f>
        <v>DA</v>
      </c>
    </row>
    <row r="7">
      <c r="A7" s="76" t="n">
        <v>3</v>
      </c>
      <c r="B7" s="76" t="inlineStr">
        <is>
          <t>Bloc 2 — Recepție</t>
        </is>
      </c>
      <c r="C7" s="76" t="str">
        <f>Declarații_APROV_TRANZIT!B9</f>
        <v>2026-07-18</v>
      </c>
      <c r="D7" s="76" t="str">
        <f>Jurnale_APROV_TRANZIT!B20</f>
        <v>371</v>
      </c>
      <c r="E7" s="76" t="str">
        <f>Jurnale_APROV_TRANZIT!E20</f>
        <v>327</v>
      </c>
      <c r="F7" s="76">
        <f>Jurnale_APROV_TRANZIT!C20</f>
        <v>8000</v>
      </c>
      <c r="G7" s="76" t="str">
        <f>Jurnale_APROV_TRANZIT!D20</f>
        <v>Recepție stoc real (stingere tranzit) — 2026-07 — Furnizor DEMO — F-1234/10.07.2026</v>
      </c>
      <c r="H7" s="76" t="inlineStr">
        <is>
          <t>NIR</t>
        </is>
      </c>
      <c r="I7" s="76" t="str">
        <f>IF(F7&gt;0,"DA","NU")</f>
        <v>DA</v>
      </c>
    </row>
    <row r="9">
      <c r="A9" s="76" t="inlineStr">
        <is>
          <t>Rânduri de importat</t>
        </is>
      </c>
      <c r="B9" s="76">
        <f>COUNTIF(I5:I7,"DA")</f>
        <v>3</v>
      </c>
    </row>
    <row r="10">
      <c r="A10" s="76" t="inlineStr">
        <is>
          <t>Check global</t>
        </is>
      </c>
      <c r="B10" s="76">
        <f>Jurnale_APROV_TRANZIT!B30</f>
        <v>0</v>
      </c>
      <c r="C10" s="76" t="str">
        <f>IF(ABS(B10)&lt;0.01,"OK","EROARE")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73" t="inlineStr">
        <is>
          <t>MOD_INCHIDERE_EX — Declarații (input)</t>
        </is>
      </c>
    </row>
    <row r="2">
      <c r="A2" s="7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An exercițiu</t>
        </is>
      </c>
      <c r="B7" s="77" t="n">
        <v>2026</v>
      </c>
    </row>
    <row r="8">
      <c r="A8" s="76" t="inlineStr">
        <is>
          <t>Data jurnal închidere (31.12)</t>
        </is>
      </c>
      <c r="B8" s="77" t="inlineStr">
        <is>
          <t>2026-12-31</t>
        </is>
      </c>
    </row>
    <row r="10">
      <c r="A10" s="75" t="inlineStr">
        <is>
          <t>2. Rulaje de închis (din balanță / totaluri SAGA)</t>
        </is>
      </c>
    </row>
    <row r="11">
      <c r="A11" s="76" t="inlineStr">
        <is>
          <t>Total rulaj debitor cls.6 (cheltuieli)</t>
        </is>
      </c>
      <c r="B11" s="77" t="n">
        <v>185000</v>
      </c>
    </row>
    <row r="12">
      <c r="A12" s="76" t="inlineStr">
        <is>
          <t>Total rulaj creditor cls.7 (venituri)</t>
        </is>
      </c>
      <c r="B12" s="77" t="n">
        <v>245000</v>
      </c>
    </row>
    <row r="14">
      <c r="A14" s="75" t="inlineStr">
        <is>
          <t>3. Impozit pe profit / IMCA</t>
        </is>
      </c>
    </row>
    <row r="15">
      <c r="A15" s="76" t="inlineStr">
        <is>
          <t>Regim (PROFIT / MICRO / IMCA)</t>
        </is>
      </c>
      <c r="B15" s="77" t="inlineStr">
        <is>
          <t>PROFIT</t>
        </is>
      </c>
    </row>
    <row r="16">
      <c r="A16" s="76" t="inlineStr">
        <is>
          <t>Baza impozabilă (sau cifră afaceri IMCA)</t>
        </is>
      </c>
      <c r="B16" s="77" t="n">
        <v>60000</v>
      </c>
    </row>
    <row r="17">
      <c r="A17" s="76" t="inlineStr">
        <is>
          <t>Cotă (0.16 / 0.01 / 0.03 etc.)</t>
        </is>
      </c>
      <c r="B17" s="77" t="n">
        <v>0.16</v>
      </c>
    </row>
    <row r="18">
      <c r="A18" s="76" t="inlineStr">
        <is>
          <t>Impozit calculat</t>
        </is>
      </c>
      <c r="B18" s="76">
        <f>B16*B17</f>
        <v>9600</v>
      </c>
    </row>
    <row r="19">
      <c r="A19" s="76" t="inlineStr">
        <is>
          <t>Cont cheltuială impozit (691 / 697 / 4417)</t>
        </is>
      </c>
      <c r="B19" s="77" t="inlineStr">
        <is>
          <t>691</t>
        </is>
      </c>
    </row>
    <row r="20">
      <c r="A20" s="76" t="inlineStr">
        <is>
          <t>Cont datorie impozit (441 / 4417)</t>
        </is>
      </c>
      <c r="B20" s="77" t="inlineStr">
        <is>
          <t>441</t>
        </is>
      </c>
    </row>
    <row r="22">
      <c r="A22" s="75" t="inlineStr">
        <is>
          <t>4. Repartizare rezultat</t>
        </is>
      </c>
    </row>
    <row r="23">
      <c r="A23" s="76" t="inlineStr">
        <is>
          <t>Rezultat înainte de impozit (7−6)</t>
        </is>
      </c>
      <c r="B23" s="76">
        <f>B12-B11</f>
        <v>60000</v>
      </c>
    </row>
    <row r="24">
      <c r="A24" s="76" t="inlineStr">
        <is>
          <t>Rezultat net (după impozit)</t>
        </is>
      </c>
      <c r="B24" s="76">
        <f>B23-B18</f>
        <v>50400</v>
      </c>
    </row>
    <row r="25">
      <c r="A25" s="76" t="inlineStr">
        <is>
          <t>Repartizare la rezerve / dividende etc. (opțional)</t>
        </is>
      </c>
      <c r="B25" s="77" t="n">
        <v>0</v>
      </c>
    </row>
    <row r="26">
      <c r="A26" s="76" t="inlineStr">
        <is>
          <t>Reportat pe 117 (sold final 121/129)</t>
        </is>
      </c>
      <c r="B26" s="76">
        <f>B24-B25</f>
        <v>50400</v>
      </c>
    </row>
    <row r="28">
      <c r="A28" s="75" t="inlineStr">
        <is>
          <t>5. Politică conturi rezultat</t>
        </is>
      </c>
    </row>
    <row r="29">
      <c r="A29" s="76" t="inlineStr">
        <is>
          <t>Cont profit și pierdere</t>
        </is>
      </c>
      <c r="B29" s="77" t="inlineStr">
        <is>
          <t>121</t>
        </is>
      </c>
    </row>
    <row r="30">
      <c r="A30" s="76" t="inlineStr">
        <is>
          <t>Cont repartizare profit</t>
        </is>
      </c>
      <c r="B30" s="77" t="inlineStr">
        <is>
          <t>129</t>
        </is>
      </c>
    </row>
    <row r="31">
      <c r="A31" s="76" t="inlineStr">
        <is>
          <t>Cont rezultat reportat</t>
        </is>
      </c>
      <c r="B31" s="77" t="inlineStr">
        <is>
          <t>117</t>
        </is>
      </c>
    </row>
    <row r="33">
      <c r="A33" s="75" t="inlineStr">
        <is>
          <t>6. Sufix</t>
        </is>
      </c>
    </row>
    <row r="34">
      <c r="A34" s="76" t="inlineStr">
        <is>
          <t>Sufix</t>
        </is>
      </c>
      <c r="B34" s="76" t="str">
        <f>"— închidere exercițiu " &amp; B7</f>
        <v>— închidere exercițiu 2026</v>
      </c>
    </row>
    <row r="36">
      <c r="A36" s="75" t="inlineStr">
        <is>
          <t>7. Control</t>
        </is>
      </c>
    </row>
    <row r="37">
      <c r="A37" s="76" t="inlineStr">
        <is>
          <t>Modul activ?</t>
        </is>
      </c>
      <c r="B37" s="76" t="str">
        <f>IF(INDEX(CatalogModule!$A$1:$A$200,MATCH("MOD_INCHIDERE_EX",CatalogModule!$B$1:$B$200,0))="DA","ACTIV","INACTIV")</f>
        <v>ACTIV</v>
      </c>
    </row>
    <row r="38">
      <c r="A38" s="76" t="inlineStr">
        <is>
          <t>Notă</t>
        </is>
      </c>
      <c r="B38" s="76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73" t="inlineStr">
        <is>
          <t>MOD_INCHIDERE_EX — Reguli (tabele fixe)</t>
        </is>
      </c>
    </row>
    <row r="2">
      <c r="A2" s="7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75" t="inlineStr">
        <is>
          <t>Tabel A — Secvența de închidere</t>
        </is>
      </c>
    </row>
    <row r="5">
      <c r="A5" s="78" t="inlineStr">
        <is>
          <t>Pas</t>
        </is>
      </c>
      <c r="B5" s="78" t="inlineStr">
        <is>
          <t>Bloc</t>
        </is>
      </c>
      <c r="C5" s="78" t="inlineStr">
        <is>
          <t>Cont Dr</t>
        </is>
      </c>
      <c r="D5" s="78" t="inlineStr">
        <is>
          <t>Cont Cr</t>
        </is>
      </c>
      <c r="E5" s="78" t="inlineStr">
        <is>
          <t>Sumă</t>
        </is>
      </c>
      <c r="F5" s="78" t="inlineStr">
        <is>
          <t>Observație</t>
        </is>
      </c>
    </row>
    <row r="6">
      <c r="A6" s="76" t="n">
        <v>1</v>
      </c>
      <c r="B6" s="76" t="inlineStr">
        <is>
          <t>B1 Închidere cheltuieli</t>
        </is>
      </c>
      <c r="C6" s="76" t="inlineStr">
        <is>
          <t>121</t>
        </is>
      </c>
      <c r="D6" s="76" t="inlineStr">
        <is>
          <t>6xx (total)</t>
        </is>
      </c>
      <c r="E6" s="76" t="inlineStr">
        <is>
          <t>Rulaj D cls.6</t>
        </is>
      </c>
      <c r="F6" s="76" t="inlineStr">
        <is>
          <t>Neutralizare rezultat — cheltuieli</t>
        </is>
      </c>
    </row>
    <row r="7">
      <c r="A7" s="76" t="n">
        <v>2</v>
      </c>
      <c r="B7" s="76" t="inlineStr">
        <is>
          <t>B2 Închidere venituri</t>
        </is>
      </c>
      <c r="C7" s="76" t="inlineStr">
        <is>
          <t>7xx (total)</t>
        </is>
      </c>
      <c r="D7" s="76" t="inlineStr">
        <is>
          <t>121</t>
        </is>
      </c>
      <c r="E7" s="76" t="inlineStr">
        <is>
          <t>Rulaj C cls.7</t>
        </is>
      </c>
      <c r="F7" s="76" t="inlineStr">
        <is>
          <t>Neutralizare rezultat — venituri</t>
        </is>
      </c>
    </row>
    <row r="8">
      <c r="A8" s="76" t="n">
        <v>3</v>
      </c>
      <c r="B8" s="76" t="inlineStr">
        <is>
          <t>B3 Impozit</t>
        </is>
      </c>
      <c r="C8" s="76" t="inlineStr">
        <is>
          <t>691/697</t>
        </is>
      </c>
      <c r="D8" s="76" t="inlineStr">
        <is>
          <t>441/4417</t>
        </is>
      </c>
      <c r="E8" s="76" t="inlineStr">
        <is>
          <t>Impozit calculat</t>
        </is>
      </c>
      <c r="F8" s="76" t="inlineStr">
        <is>
          <t>Cheltuială cu impozitul → datorie</t>
        </is>
      </c>
    </row>
    <row r="9">
      <c r="A9" s="76" t="n">
        <v>4</v>
      </c>
      <c r="B9" s="76" t="inlineStr">
        <is>
          <t>B3b Închidere 691</t>
        </is>
      </c>
      <c r="C9" s="76" t="inlineStr">
        <is>
          <t>121</t>
        </is>
      </c>
      <c r="D9" s="76" t="inlineStr">
        <is>
          <t>691</t>
        </is>
      </c>
      <c r="E9" s="76" t="inlineStr">
        <is>
          <t>Impozit</t>
        </is>
      </c>
      <c r="F9" s="76" t="inlineStr">
        <is>
          <t>Impozitul intră în rezultatul net</t>
        </is>
      </c>
    </row>
    <row r="10">
      <c r="A10" s="76" t="n">
        <v>5</v>
      </c>
      <c r="B10" s="76" t="inlineStr">
        <is>
          <t>B4 Repartizare (opțional)</t>
        </is>
      </c>
      <c r="C10" s="76" t="inlineStr">
        <is>
          <t>129</t>
        </is>
      </c>
      <c r="D10" s="76" t="inlineStr">
        <is>
          <t>106/457…</t>
        </is>
      </c>
      <c r="E10" s="76" t="inlineStr">
        <is>
          <t>Sumă repartizată</t>
        </is>
      </c>
      <c r="F10" s="76" t="inlineStr">
        <is>
          <t>Doar dacă AGA / decizie există</t>
        </is>
      </c>
    </row>
    <row r="11">
      <c r="A11" s="76" t="n">
        <v>6</v>
      </c>
      <c r="B11" s="76" t="inlineStr">
        <is>
          <t>B5 Report</t>
        </is>
      </c>
      <c r="C11" s="76" t="inlineStr">
        <is>
          <t>121</t>
        </is>
      </c>
      <c r="D11" s="76" t="inlineStr">
        <is>
          <t>117</t>
        </is>
      </c>
      <c r="E11" s="76" t="inlineStr">
        <is>
          <t>Sold final 121</t>
        </is>
      </c>
      <c r="F11" s="76" t="inlineStr">
        <is>
          <t>Dacă profit; invers dacă pierdere</t>
        </is>
      </c>
    </row>
    <row r="13">
      <c r="A13" s="75" t="inlineStr">
        <is>
          <t>Tabel B — Conturi din plan pe rol</t>
        </is>
      </c>
    </row>
    <row r="14">
      <c r="A14" s="78" t="inlineStr">
        <is>
          <t>Cont</t>
        </is>
      </c>
      <c r="B14" s="78" t="inlineStr">
        <is>
          <t>Denumire</t>
        </is>
      </c>
      <c r="C14" s="78" t="inlineStr">
        <is>
          <t>Rol</t>
        </is>
      </c>
      <c r="D14" s="78" t="inlineStr">
        <is>
          <t>Observație</t>
        </is>
      </c>
    </row>
    <row r="15">
      <c r="A15" s="76" t="inlineStr">
        <is>
          <t>121</t>
        </is>
      </c>
      <c r="B15" s="76" t="inlineStr">
        <is>
          <t>Profit sau pierdere</t>
        </is>
      </c>
      <c r="C15" s="76" t="inlineStr">
        <is>
          <t>Colectare rezultat</t>
        </is>
      </c>
      <c r="D15" s="76" t="inlineStr">
        <is>
          <t>Se închide anual; fără sold după report pe 117</t>
        </is>
      </c>
    </row>
    <row r="16">
      <c r="A16" s="76" t="inlineStr">
        <is>
          <t>129</t>
        </is>
      </c>
      <c r="B16" s="76" t="inlineStr">
        <is>
          <t>Repartizarea profitului</t>
        </is>
      </c>
      <c r="C16" s="76" t="inlineStr">
        <is>
          <t>Colectare / tranzit</t>
        </is>
      </c>
      <c r="D16" s="76" t="inlineStr">
        <is>
          <t>Se folosește doar la repartizare formală</t>
        </is>
      </c>
    </row>
    <row r="17">
      <c r="A17" s="76" t="inlineStr">
        <is>
          <t>117</t>
        </is>
      </c>
      <c r="B17" s="76" t="inlineStr">
        <is>
          <t>Rezultatul reportat</t>
        </is>
      </c>
      <c r="C17" s="76" t="inlineStr">
        <is>
          <t>Patrimonial — Capital</t>
        </is>
      </c>
      <c r="D17" s="76" t="inlineStr">
        <is>
          <t>Sold permanent până la acoperire / repartizare</t>
        </is>
      </c>
    </row>
    <row r="18">
      <c r="A18" s="76" t="inlineStr">
        <is>
          <t>691</t>
        </is>
      </c>
      <c r="B18" s="76" t="inlineStr">
        <is>
          <t>Cheltuieli cu impozitul pe profit</t>
        </is>
      </c>
      <c r="C18" s="76" t="inlineStr">
        <is>
          <t>Neutralizare rezultat</t>
        </is>
      </c>
      <c r="D18" s="76" t="inlineStr">
        <is>
          <t>Se închide în 121</t>
        </is>
      </c>
    </row>
    <row r="19">
      <c r="A19" s="76" t="inlineStr">
        <is>
          <t>697</t>
        </is>
      </c>
      <c r="B19" s="76" t="inlineStr">
        <is>
          <t>Cheltuieli cu impozitul pe venit micro</t>
        </is>
      </c>
      <c r="C19" s="76" t="inlineStr">
        <is>
          <t>Neutralizare rezultat</t>
        </is>
      </c>
      <c r="D19" s="76" t="inlineStr">
        <is>
          <t>Alternativă la 691</t>
        </is>
      </c>
    </row>
    <row r="20">
      <c r="A20" s="76" t="inlineStr">
        <is>
          <t>441</t>
        </is>
      </c>
      <c r="B20" s="76" t="inlineStr">
        <is>
          <t>Impozit pe profit</t>
        </is>
      </c>
      <c r="C20" s="76" t="inlineStr">
        <is>
          <t>Patrimonial — Datorie</t>
        </is>
      </c>
      <c r="D20" s="76" t="inlineStr">
        <is>
          <t>Datorie către buget</t>
        </is>
      </c>
    </row>
    <row r="21">
      <c r="A21" s="76" t="inlineStr">
        <is>
          <t>4417</t>
        </is>
      </c>
      <c r="B21" s="76" t="inlineStr">
        <is>
          <t>Impozit pe venit micro / alte impozite</t>
        </is>
      </c>
      <c r="C21" s="76" t="inlineStr">
        <is>
          <t>Patrimonial — Datorie</t>
        </is>
      </c>
      <c r="D21" s="76" t="inlineStr">
        <is>
          <t>Conform OMF actualizat</t>
        </is>
      </c>
    </row>
    <row r="23">
      <c r="A23" s="75" t="inlineStr">
        <is>
          <t>Tabel C — Porți de calitate</t>
        </is>
      </c>
    </row>
    <row r="24">
      <c r="A24" s="74" t="inlineStr">
        <is>
          <t>• ΣDr = ΣCr pe fiecare bloc</t>
        </is>
      </c>
    </row>
    <row r="25">
      <c r="A25" s="74" t="inlineStr">
        <is>
          <t>• După B1+B2: sold 6xx = 0, sold 7xx = 0</t>
        </is>
      </c>
    </row>
    <row r="26">
      <c r="A26" s="74" t="inlineStr">
        <is>
          <t>• Sold 121 înainte de report = rezultat net</t>
        </is>
      </c>
    </row>
    <row r="27">
      <c r="A27" s="74" t="inlineStr">
        <is>
          <t>• După B5: sold 121 = 0, sold 117 reflectă reportul</t>
        </is>
      </c>
    </row>
    <row r="28">
      <c r="A28" s="7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3" t="inlineStr">
        <is>
          <t>MOD_INCHIDERE_EX — Jurnale (generate automat)</t>
        </is>
      </c>
    </row>
    <row r="2">
      <c r="A2" s="74" t="inlineStr">
        <is>
          <t>Toate sumele derivă din Declarații. În SAGA se detaliază pe conturi analitice; aici e nota de principiu pe totaluri de clasă.</t>
        </is>
      </c>
    </row>
    <row r="4">
      <c r="A4" s="76" t="inlineStr">
        <is>
          <t>Data jurnal:</t>
        </is>
      </c>
      <c r="B4" s="76" t="str">
        <f>Declarații_INCHIDERE_EX!B8</f>
        <v>2026-12-31</v>
      </c>
    </row>
    <row r="6">
      <c r="A6" s="75" t="inlineStr">
        <is>
          <t>Bloc 1 — Închidere cheltuieli (cls.6 → 121)</t>
        </is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Declarații_INCHIDERE_EX!B29</f>
        <v>121</v>
      </c>
      <c r="C8" s="76">
        <f>Declarații_INCHIDERE_EX!B11</f>
        <v>185000</v>
      </c>
      <c r="D8" s="76" t="str">
        <f>"Închidere cheltuieli cls.6 " &amp; Declarații_INCHIDERE_EX!B34</f>
        <v>Închidere cheltuieli cls.6 — închidere exercițiu 2026</v>
      </c>
      <c r="E8" s="76" t="inlineStr">
        <is>
          <t>6xx</t>
        </is>
      </c>
      <c r="F8" s="76">
        <f>Declarații_INCHIDERE_EX!B11</f>
        <v>185000</v>
      </c>
      <c r="G8" s="76" t="str">
        <f>"Stingere rulaj cheltuieli " &amp; Declarații_INCHIDERE_EX!B34</f>
        <v>Stingere rulaj cheltuieli — închidere exercițiu 2026</v>
      </c>
    </row>
    <row r="9">
      <c r="A9" s="76" t="inlineStr">
        <is>
          <t>Check B1</t>
        </is>
      </c>
      <c r="B9" s="76">
        <f>C8-F8</f>
        <v>0</v>
      </c>
      <c r="C9" s="76" t="str">
        <f>IF(ABS(B9)&lt;0.01,"OK","EROARE")</f>
        <v>OK</v>
      </c>
    </row>
    <row r="11">
      <c r="A11" s="75" t="inlineStr">
        <is>
          <t>Bloc 2 — Închidere venituri (cls.7 → 121)</t>
        </is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 t="inlineStr">
        <is>
          <t>7xx</t>
        </is>
      </c>
      <c r="C13" s="76">
        <f>Declarații_INCHIDERE_EX!B12</f>
        <v>245000</v>
      </c>
      <c r="D13" s="76" t="str">
        <f>"Închidere venituri cls.7 " &amp; Declarații_INCHIDERE_EX!B34</f>
        <v>Închidere venituri cls.7 — închidere exercițiu 2026</v>
      </c>
      <c r="E13" s="76" t="str">
        <f>Declarații_INCHIDERE_EX!B29</f>
        <v>121</v>
      </c>
      <c r="F13" s="76">
        <f>Declarații_INCHIDERE_EX!B12</f>
        <v>245000</v>
      </c>
      <c r="G13" s="76" t="str">
        <f>"Stingere rulaj venituri " &amp; Declarații_INCHIDERE_EX!B34</f>
        <v>Stingere rulaj venituri — închidere exercițiu 2026</v>
      </c>
    </row>
    <row r="14">
      <c r="A14" s="76" t="inlineStr">
        <is>
          <t>Check B2</t>
        </is>
      </c>
      <c r="B14" s="76">
        <f>C13-F13</f>
        <v>0</v>
      </c>
      <c r="C14" s="76" t="str">
        <f>IF(ABS(B14)&lt;0.01,"OK","EROARE")</f>
        <v>OK</v>
      </c>
    </row>
    <row r="16">
      <c r="A16" s="75" t="inlineStr">
        <is>
          <t>Bloc 3 — Cheltuială cu impozitul + închiderea ei în 121</t>
        </is>
      </c>
    </row>
    <row r="17">
      <c r="A17" s="78" t="inlineStr">
        <is>
          <t>Nr</t>
        </is>
      </c>
      <c r="B17" s="78" t="inlineStr">
        <is>
          <t>Cont Dr</t>
        </is>
      </c>
      <c r="C17" s="78" t="inlineStr">
        <is>
          <t>Sumă Dr</t>
        </is>
      </c>
      <c r="D17" s="78" t="inlineStr">
        <is>
          <t>Descriere Dr</t>
        </is>
      </c>
      <c r="E17" s="78" t="inlineStr">
        <is>
          <t>Cont Cr</t>
        </is>
      </c>
      <c r="F17" s="78" t="inlineStr">
        <is>
          <t>Sumă Cr</t>
        </is>
      </c>
      <c r="G17" s="78" t="inlineStr">
        <is>
          <t>Descriere Cr</t>
        </is>
      </c>
    </row>
    <row r="18">
      <c r="A18" s="76" t="n">
        <v>1</v>
      </c>
      <c r="B18" s="76" t="str">
        <f>Declarații_INCHIDERE_EX!B19</f>
        <v>691</v>
      </c>
      <c r="C18" s="76">
        <f>Declarații_INCHIDERE_EX!B18</f>
        <v>9600</v>
      </c>
      <c r="D18" s="76" t="str">
        <f>"Cheltuială impozit " &amp; Declarații_INCHIDERE_EX!B34</f>
        <v>Cheltuială impozit — închidere exercițiu 2026</v>
      </c>
      <c r="E18" s="76" t="str">
        <f>Declarații_INCHIDERE_EX!B20</f>
        <v>441</v>
      </c>
      <c r="F18" s="76">
        <f>Declarații_INCHIDERE_EX!B18</f>
        <v>9600</v>
      </c>
      <c r="G18" s="76" t="str">
        <f>"Datorie impozit buget " &amp; Declarații_INCHIDERE_EX!B34</f>
        <v>Datorie impozit buget — închidere exercițiu 2026</v>
      </c>
    </row>
    <row r="19">
      <c r="A19" s="76" t="n">
        <v>2</v>
      </c>
      <c r="B19" s="76" t="str">
        <f>Declarații_INCHIDERE_EX!B29</f>
        <v>121</v>
      </c>
      <c r="C19" s="76">
        <f>Declarații_INCHIDERE_EX!B18</f>
        <v>9600</v>
      </c>
      <c r="D19" s="76" t="str">
        <f>"Închidere cheltuială impozit în rezultat " &amp; Declarații_INCHIDERE_EX!B34</f>
        <v>Închidere cheltuială impozit în rezultat — închidere exercițiu 2026</v>
      </c>
      <c r="E19" s="76" t="str">
        <f>Declarații_INCHIDERE_EX!B19</f>
        <v>691</v>
      </c>
      <c r="F19" s="76">
        <f>Declarații_INCHIDERE_EX!B18</f>
        <v>9600</v>
      </c>
      <c r="G19" s="76" t="str">
        <f>"Stingere 691 " &amp; Declarații_INCHIDERE_EX!B34</f>
        <v>Stingere 691 — închidere exercițiu 2026</v>
      </c>
    </row>
    <row r="20">
      <c r="A20" s="76" t="inlineStr">
        <is>
          <t>Check B3</t>
        </is>
      </c>
      <c r="B20" s="76">
        <f>(C18+C19)-(F18+F19)</f>
        <v>0</v>
      </c>
      <c r="C20" s="76" t="str">
        <f>IF(ABS(B20)&lt;0.01,"OK","EROARE")</f>
        <v>OK</v>
      </c>
    </row>
    <row r="22">
      <c r="A22" s="75" t="inlineStr">
        <is>
          <t>Bloc 4 — Report rezultat net pe 117</t>
        </is>
      </c>
    </row>
    <row r="23">
      <c r="A23" s="78" t="inlineStr">
        <is>
          <t>Nr</t>
        </is>
      </c>
      <c r="B23" s="78" t="inlineStr">
        <is>
          <t>Cont Dr</t>
        </is>
      </c>
      <c r="C23" s="78" t="inlineStr">
        <is>
          <t>Sumă Dr</t>
        </is>
      </c>
      <c r="D23" s="78" t="inlineStr">
        <is>
          <t>Descriere Dr</t>
        </is>
      </c>
      <c r="E23" s="78" t="inlineStr">
        <is>
          <t>Cont Cr</t>
        </is>
      </c>
      <c r="F23" s="78" t="inlineStr">
        <is>
          <t>Sumă Cr</t>
        </is>
      </c>
      <c r="G23" s="78" t="inlineStr">
        <is>
          <t>Descriere Cr</t>
        </is>
      </c>
    </row>
    <row r="24">
      <c r="A24" s="76" t="n">
        <v>1</v>
      </c>
      <c r="B24" s="76" t="str">
        <f>IF(Declarații_INCHIDERE_EX!B26&gt;=0,Declarații_INCHIDERE_EX!B29,Declarații_INCHIDERE_EX!B31)</f>
        <v>121</v>
      </c>
      <c r="C24" s="76">
        <f>ABS(Declarații_INCHIDERE_EX!B26)</f>
        <v>50400</v>
      </c>
      <c r="D24" s="76" t="str">
        <f>IF(Declarații_INCHIDERE_EX!B26&gt;=0,"Report profit pe 117 ","Report pierdere pe 117 ") &amp; Declarații_INCHIDERE_EX!B34</f>
        <v>Report profit pe 117 — închidere exercițiu 2026</v>
      </c>
      <c r="E24" s="76" t="str">
        <f>IF(Declarații_INCHIDERE_EX!B26&gt;=0,Declarații_INCHIDERE_EX!B31,Declarații_INCHIDERE_EX!B29)</f>
        <v>117</v>
      </c>
      <c r="F24" s="76">
        <f>ABS(Declarații_INCHIDERE_EX!B26)</f>
        <v>50400</v>
      </c>
      <c r="G24" s="76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76" t="inlineStr">
        <is>
          <t>Check B4</t>
        </is>
      </c>
      <c r="B25" s="76">
        <f>C24-F24</f>
        <v>0</v>
      </c>
      <c r="C25" s="76" t="str">
        <f>IF(ABS(B25)&lt;0.01,"OK","EROARE")</f>
        <v>OK</v>
      </c>
    </row>
    <row r="27">
      <c r="A27" s="75" t="inlineStr">
        <is>
          <t>Stare terminală așteptată</t>
        </is>
      </c>
    </row>
    <row r="28">
      <c r="A28" s="74" t="inlineStr">
        <is>
          <t>Sold 6xx=0 | Sold 7xx=0 | Sold 121=0 | Sold 691=0 | 441 = impozit datorat | 117 = rezultat net reportat</t>
        </is>
      </c>
    </row>
    <row r="30">
      <c r="A30" s="76" t="inlineStr">
        <is>
          <t>Check global</t>
        </is>
      </c>
      <c r="B30" s="76">
        <f>ABS(B9)+ABS(B14)+ABS(B20)+ABS(B25)</f>
        <v>0</v>
      </c>
      <c r="C30" s="76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73" t="inlineStr">
        <is>
          <t>MOD_INCHIDERE_EX — Notă pentru import</t>
        </is>
      </c>
    </row>
    <row r="2">
      <c r="A2" s="74" t="inlineStr">
        <is>
          <t>Filtrează Include=DA. În SAGA se detaliază 6xx/7xx pe conturi individuale; aceste rânduri sunt nota de principiu.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B1 Cheltuieli</t>
        </is>
      </c>
      <c r="C5" s="76" t="str">
        <f>Declarații_INCHIDERE_EX!B8</f>
        <v>2026-12-31</v>
      </c>
      <c r="D5" s="76" t="str">
        <f>Jurnale_INCHIDERE_EX!B8</f>
        <v>121</v>
      </c>
      <c r="E5" s="76" t="str">
        <f>Jurnale_INCHIDERE_EX!E8</f>
        <v>6xx</v>
      </c>
      <c r="F5" s="76">
        <f>Jurnale_INCHIDERE_EX!C8</f>
        <v>185000</v>
      </c>
      <c r="G5" s="76" t="str">
        <f>Jurnale_INCHIDERE_EX!D8</f>
        <v>Închidere cheltuieli cls.6 — închidere exercițiu 2026</v>
      </c>
      <c r="H5" s="76" t="inlineStr">
        <is>
          <t>Închidere exercițiu</t>
        </is>
      </c>
      <c r="I5" s="76" t="str">
        <f>IF(F5&gt;0,"DA","NU")</f>
        <v>DA</v>
      </c>
    </row>
    <row r="6">
      <c r="A6" s="76" t="n">
        <v>2</v>
      </c>
      <c r="B6" s="76" t="inlineStr">
        <is>
          <t>B2 Venituri</t>
        </is>
      </c>
      <c r="C6" s="76" t="str">
        <f>Declarații_INCHIDERE_EX!B8</f>
        <v>2026-12-31</v>
      </c>
      <c r="D6" s="76" t="str">
        <f>Jurnale_INCHIDERE_EX!B13</f>
        <v>7xx</v>
      </c>
      <c r="E6" s="76" t="str">
        <f>Jurnale_INCHIDERE_EX!E13</f>
        <v>121</v>
      </c>
      <c r="F6" s="76">
        <f>Jurnale_INCHIDERE_EX!C13</f>
        <v>245000</v>
      </c>
      <c r="G6" s="76" t="str">
        <f>Jurnale_INCHIDERE_EX!D13</f>
        <v>Închidere venituri cls.7 — închidere exercițiu 2026</v>
      </c>
      <c r="H6" s="76" t="inlineStr">
        <is>
          <t>Închidere exercițiu</t>
        </is>
      </c>
      <c r="I6" s="76" t="str">
        <f>IF(F6&gt;0,"DA","NU")</f>
        <v>DA</v>
      </c>
    </row>
    <row r="7">
      <c r="A7" s="76" t="n">
        <v>3</v>
      </c>
      <c r="B7" s="76" t="inlineStr">
        <is>
          <t>B3 Impozit</t>
        </is>
      </c>
      <c r="C7" s="76" t="str">
        <f>Declarații_INCHIDERE_EX!B8</f>
        <v>2026-12-31</v>
      </c>
      <c r="D7" s="76" t="str">
        <f>Jurnale_INCHIDERE_EX!B18</f>
        <v>691</v>
      </c>
      <c r="E7" s="76" t="str">
        <f>Jurnale_INCHIDERE_EX!E18</f>
        <v>441</v>
      </c>
      <c r="F7" s="76">
        <f>Jurnale_INCHIDERE_EX!C18</f>
        <v>9600</v>
      </c>
      <c r="G7" s="76" t="str">
        <f>Jurnale_INCHIDERE_EX!D18</f>
        <v>Cheltuială impozit — închidere exercițiu 2026</v>
      </c>
      <c r="H7" s="76" t="inlineStr">
        <is>
          <t>Închidere exercițiu</t>
        </is>
      </c>
      <c r="I7" s="76" t="str">
        <f>IF(F7&gt;0,"DA","NU")</f>
        <v>DA</v>
      </c>
    </row>
    <row r="8">
      <c r="A8" s="76" t="n">
        <v>4</v>
      </c>
      <c r="B8" s="76" t="inlineStr">
        <is>
          <t>B3 Înch.691</t>
        </is>
      </c>
      <c r="C8" s="76" t="str">
        <f>Declarații_INCHIDERE_EX!B8</f>
        <v>2026-12-31</v>
      </c>
      <c r="D8" s="76" t="str">
        <f>Jurnale_INCHIDERE_EX!B19</f>
        <v>121</v>
      </c>
      <c r="E8" s="76" t="str">
        <f>Jurnale_INCHIDERE_EX!E19</f>
        <v>691</v>
      </c>
      <c r="F8" s="76">
        <f>Jurnale_INCHIDERE_EX!C19</f>
        <v>9600</v>
      </c>
      <c r="G8" s="76" t="str">
        <f>Jurnale_INCHIDERE_EX!D19</f>
        <v>Închidere cheltuială impozit în rezultat — închidere exercițiu 2026</v>
      </c>
      <c r="H8" s="76" t="inlineStr">
        <is>
          <t>Închidere exercițiu</t>
        </is>
      </c>
      <c r="I8" s="76" t="str">
        <f>IF(F8&gt;0,"DA","NU")</f>
        <v>DA</v>
      </c>
    </row>
    <row r="9">
      <c r="A9" s="76" t="n">
        <v>5</v>
      </c>
      <c r="B9" s="76" t="inlineStr">
        <is>
          <t>B4 Report 117</t>
        </is>
      </c>
      <c r="C9" s="76" t="str">
        <f>Declarații_INCHIDERE_EX!B8</f>
        <v>2026-12-31</v>
      </c>
      <c r="D9" s="76" t="str">
        <f>Jurnale_INCHIDERE_EX!B24</f>
        <v>121</v>
      </c>
      <c r="E9" s="76" t="str">
        <f>Jurnale_INCHIDERE_EX!E24</f>
        <v>117</v>
      </c>
      <c r="F9" s="76">
        <f>Jurnale_INCHIDERE_EX!C24</f>
        <v>50400</v>
      </c>
      <c r="G9" s="76" t="str">
        <f>Jurnale_INCHIDERE_EX!D24</f>
        <v>Report profit pe 117 — închidere exercițiu 2026</v>
      </c>
      <c r="H9" s="76" t="inlineStr">
        <is>
          <t>Închidere exercițiu</t>
        </is>
      </c>
      <c r="I9" s="76" t="str">
        <f>IF(F9&gt;0,"DA","NU")</f>
        <v>DA</v>
      </c>
    </row>
    <row r="11">
      <c r="A11" s="76" t="inlineStr">
        <is>
          <t>Rânduri de importat</t>
        </is>
      </c>
      <c r="B11" s="76">
        <f>COUNTIF(I5:I9,"DA")</f>
        <v>5</v>
      </c>
    </row>
    <row r="12">
      <c r="A12" s="76" t="inlineStr">
        <is>
          <t>Check global</t>
        </is>
      </c>
      <c r="B12" s="76">
        <f>Jurnale_INCHIDERE_EX!B30</f>
        <v>0</v>
      </c>
      <c r="C12" s="76" t="str">
        <f>IF(ABS(B12)&lt;0.01,"OK","EROARE")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73" t="inlineStr">
        <is>
          <t>MOD_INCHIDERE_LUNARA — Declarații (input din balanță)</t>
        </is>
      </c>
    </row>
    <row r="2">
      <c r="A2" s="7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75" t="inlineStr">
        <is>
          <t>1. Antet</t>
        </is>
      </c>
    </row>
    <row r="5">
      <c r="A5" s="76" t="inlineStr">
        <is>
          <t>Luna verificată</t>
        </is>
      </c>
      <c r="B5" s="77" t="inlineStr">
        <is>
          <t>iulie 2026</t>
        </is>
      </c>
    </row>
    <row r="6">
      <c r="A6" s="76" t="inlineStr">
        <is>
          <t>Societate</t>
        </is>
      </c>
      <c r="B6" s="76" t="str">
        <f>Parametri!B5</f>
        <v>SC EXEMPLU SRL</v>
      </c>
    </row>
    <row r="8">
      <c r="A8" s="75" t="inlineStr">
        <is>
          <t>2. Obligații constituite lunar și achitate în luna următoare</t>
        </is>
      </c>
    </row>
    <row r="9">
      <c r="A9" s="74" t="inlineStr">
        <is>
          <t>Regula: la sfârșitul lunii, soldul creditor = rulajul creditor al lunii. Un sold mai mare înseamnă restanță, iar mărimea ei spune de cât timp.</t>
        </is>
      </c>
    </row>
    <row r="10">
      <c r="A10" s="78" t="inlineStr">
        <is>
          <t>Cont</t>
        </is>
      </c>
      <c r="B10" s="78" t="inlineStr">
        <is>
          <t>Denumire</t>
        </is>
      </c>
      <c r="C10" s="78" t="inlineStr">
        <is>
          <t>Rulaj debitor</t>
        </is>
      </c>
      <c r="D10" s="78" t="inlineStr">
        <is>
          <t>Rulaj creditor</t>
        </is>
      </c>
      <c r="E10" s="78" t="inlineStr">
        <is>
          <t>Sold creditor</t>
        </is>
      </c>
    </row>
    <row r="11">
      <c r="A11" s="76" t="inlineStr">
        <is>
          <t>444</t>
        </is>
      </c>
      <c r="B11" s="76" t="inlineStr">
        <is>
          <t>Impozit pe venituri din salarii</t>
        </is>
      </c>
      <c r="C11" s="76" t="n">
        <v>3250</v>
      </c>
      <c r="D11" s="76" t="n">
        <v>3250</v>
      </c>
      <c r="E11" s="76" t="n">
        <v>3250</v>
      </c>
    </row>
    <row r="12">
      <c r="A12" s="76" t="inlineStr">
        <is>
          <t>4315</t>
        </is>
      </c>
      <c r="B12" s="76" t="inlineStr">
        <is>
          <t>CAS — contribuția de asigurări sociale</t>
        </is>
      </c>
      <c r="C12" s="76" t="n">
        <v>12500</v>
      </c>
      <c r="D12" s="76" t="n">
        <v>12500</v>
      </c>
      <c r="E12" s="76" t="n">
        <v>12500</v>
      </c>
    </row>
    <row r="13">
      <c r="A13" s="76" t="inlineStr">
        <is>
          <t>4316</t>
        </is>
      </c>
      <c r="B13" s="76" t="inlineStr">
        <is>
          <t>CASS — asigurări sociale de sănătate</t>
        </is>
      </c>
      <c r="C13" s="76" t="n">
        <v>5000</v>
      </c>
      <c r="D13" s="76" t="n">
        <v>5000</v>
      </c>
      <c r="E13" s="76" t="n">
        <v>5000</v>
      </c>
    </row>
    <row r="14">
      <c r="A14" s="76" t="inlineStr">
        <is>
          <t>436</t>
        </is>
      </c>
      <c r="B14" s="76" t="inlineStr">
        <is>
          <t>CAM — contribuția asiguratorie pentru muncă</t>
        </is>
      </c>
      <c r="C14" s="76" t="n">
        <v>1125</v>
      </c>
      <c r="D14" s="76" t="n">
        <v>1125</v>
      </c>
      <c r="E14" s="76" t="n">
        <v>1125</v>
      </c>
    </row>
    <row r="15">
      <c r="A15" s="76" t="inlineStr">
        <is>
          <t>427</t>
        </is>
      </c>
      <c r="B15" s="76" t="inlineStr">
        <is>
          <t>Rețineri din salarii datorate terților</t>
        </is>
      </c>
      <c r="C15" s="76" t="n">
        <v>0</v>
      </c>
      <c r="D15" s="76" t="n">
        <v>0</v>
      </c>
      <c r="E15" s="76" t="n">
        <v>0</v>
      </c>
    </row>
    <row r="17">
      <c r="A17" s="75" t="inlineStr">
        <is>
          <t>3. Datoria față de salariați</t>
        </is>
      </c>
    </row>
    <row r="18">
      <c r="A18" s="76" t="inlineStr">
        <is>
          <t>Sold creditor 421 — salarii datorate</t>
        </is>
      </c>
      <c r="B18" s="77" t="n">
        <v>29250</v>
      </c>
    </row>
    <row r="19">
      <c r="A19" s="76" t="inlineStr">
        <is>
          <t>Sold creditor 423 — ajutoare materiale</t>
        </is>
      </c>
      <c r="B19" s="77" t="n">
        <v>0</v>
      </c>
    </row>
    <row r="20">
      <c r="A20" s="76" t="inlineStr">
        <is>
          <t>Rest de plată din statul de plată</t>
        </is>
      </c>
      <c r="B20" s="77" t="n">
        <v>29250</v>
      </c>
      <c r="C20" s="74" t="inlineStr">
        <is>
          <t>Se ia din stat, nu din balanță — asta e tot rostul corelației</t>
        </is>
      </c>
    </row>
    <row r="22">
      <c r="A22" s="75" t="inlineStr">
        <is>
          <t>4. Baza CAM</t>
        </is>
      </c>
    </row>
    <row r="23">
      <c r="A23" s="76" t="inlineStr">
        <is>
          <t>Rulaj creditor 421 — brutul realizat al lunii</t>
        </is>
      </c>
      <c r="B23" s="77" t="n">
        <v>50000</v>
      </c>
    </row>
    <row r="24">
      <c r="A24" s="76" t="inlineStr">
        <is>
          <t>Cota CAM</t>
        </is>
      </c>
      <c r="B24" s="76">
        <f>param_cota_cam</f>
        <v>0.0225</v>
      </c>
      <c r="C24" s="74" t="inlineStr">
        <is>
          <t>Din Parametri; 2,25% aplicat la fondul de salarii</t>
        </is>
      </c>
    </row>
    <row r="26">
      <c r="A26" s="75" t="inlineStr">
        <is>
          <t>5. Conturi de tranzit — trebuie golite</t>
        </is>
      </c>
    </row>
    <row r="27">
      <c r="A27" s="78" t="inlineStr">
        <is>
          <t>Cont</t>
        </is>
      </c>
      <c r="B27" s="78" t="inlineStr">
        <is>
          <t>Denumire</t>
        </is>
      </c>
      <c r="C27" s="78" t="inlineStr">
        <is>
          <t>Sold la sfârșitul lunii</t>
        </is>
      </c>
    </row>
    <row r="28">
      <c r="A28" s="76" t="inlineStr">
        <is>
          <t>473</t>
        </is>
      </c>
      <c r="B28" s="76" t="inlineStr">
        <is>
          <t>Decontări din operațiuni în curs de clarificare</t>
        </is>
      </c>
      <c r="C28" s="76" t="n">
        <v>0</v>
      </c>
    </row>
    <row r="29">
      <c r="A29" s="76" t="inlineStr">
        <is>
          <t>581</t>
        </is>
      </c>
      <c r="B29" s="76" t="inlineStr">
        <is>
          <t>Viramente interne</t>
        </is>
      </c>
      <c r="C29" s="76" t="n">
        <v>0</v>
      </c>
    </row>
    <row r="30">
      <c r="A30" s="76" t="inlineStr">
        <is>
          <t>542</t>
        </is>
      </c>
      <c r="B30" s="76" t="inlineStr">
        <is>
          <t>Avansuri de trezorerie</t>
        </is>
      </c>
      <c r="C30" s="76" t="n">
        <v>0</v>
      </c>
    </row>
    <row r="31">
      <c r="A31" s="76" t="inlineStr">
        <is>
          <t>4382</t>
        </is>
      </c>
      <c r="B31" s="76" t="inlineStr">
        <is>
          <t>Alte creanțe sociale (de recuperat de la FNUASS)</t>
        </is>
      </c>
      <c r="C31" s="76" t="n">
        <v>0</v>
      </c>
    </row>
    <row r="33">
      <c r="A33" s="75" t="inlineStr">
        <is>
          <t>6. TVA</t>
        </is>
      </c>
    </row>
    <row r="34">
      <c r="A34" s="76" t="inlineStr">
        <is>
          <t>Sold 4423 din balanță</t>
        </is>
      </c>
      <c r="B34" s="77" t="n">
        <v>5250</v>
      </c>
    </row>
    <row r="35">
      <c r="A35" s="76" t="inlineStr">
        <is>
          <t>Sold de plată din decontul de TVA</t>
        </is>
      </c>
      <c r="B35" s="77" t="n">
        <v>5250</v>
      </c>
      <c r="C35" s="7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73" t="inlineStr">
        <is>
          <t>MOD_INCHIDERE_LUNARA — Reguli</t>
        </is>
      </c>
    </row>
    <row r="2">
      <c r="A2" s="74" t="inlineStr">
        <is>
          <t>Tabele fixe. Se editează doar când se schimbă legea sau când o corelație nouă intră în workbook-ul de plan.</t>
        </is>
      </c>
    </row>
    <row r="4">
      <c r="A4" s="75" t="inlineStr">
        <is>
          <t>Tabelul A — corelațiile verificate și ce le rupe</t>
        </is>
      </c>
    </row>
    <row r="5">
      <c r="A5" s="78" t="inlineStr">
        <is>
          <t>Cod</t>
        </is>
      </c>
      <c r="B5" s="78" t="inlineStr">
        <is>
          <t>Corelația</t>
        </is>
      </c>
      <c r="C5" s="78" t="inlineStr">
        <is>
          <t>Ce o rupe LEGITIM</t>
        </is>
      </c>
      <c r="D5" s="78" t="inlineStr">
        <is>
          <t>Ce o rupe SUSPECT</t>
        </is>
      </c>
    </row>
    <row r="6">
      <c r="A6" s="76" t="inlineStr">
        <is>
          <t>C-24</t>
        </is>
      </c>
      <c r="B6" s="76" t="inlineStr">
        <is>
          <t>sold C 421 + sold C 423 = rest de plată din stat</t>
        </is>
      </c>
      <c r="C6" s="76" t="inlineStr">
        <is>
          <t>Avans pe 425, nescăzut încă · drepturi neridicate mutate pe 426</t>
        </is>
      </c>
      <c r="D6" s="76" t="inlineStr">
        <is>
          <t>Plată înregistrată pe alt cont decât 421 · salarii restante nereclasificate</t>
        </is>
      </c>
    </row>
    <row r="7">
      <c r="A7" s="76" t="inlineStr">
        <is>
          <t>C-25</t>
        </is>
      </c>
      <c r="B7" s="76" t="inlineStr">
        <is>
          <t>rulaj C 444 = sold C 444</t>
        </is>
      </c>
      <c r="C7" s="76" t="inlineStr">
        <is>
          <t>Rectificativă pe o lună anterioară · plată în avans</t>
        </is>
      </c>
      <c r="D7" s="76" t="inlineStr">
        <is>
          <t>Sold &gt; rulaj constant = stopaj la sursă nevirat. Peste 30 de zile, penal</t>
        </is>
      </c>
    </row>
    <row r="8">
      <c r="A8" s="76" t="inlineStr">
        <is>
          <t>C-26</t>
        </is>
      </c>
      <c r="B8" s="76" t="inlineStr">
        <is>
          <t>rulaj C 4315/4316/436 = soldurile lor</t>
        </is>
      </c>
      <c r="C8" s="76" t="inlineStr">
        <is>
          <t>Rectificativă · eșalonare la plată aprobată de ANAF</t>
        </is>
      </c>
      <c r="D8" s="76" t="inlineStr">
        <is>
          <t>Contribuții restante · bază de calcul care nu corespunde brutului</t>
        </is>
      </c>
    </row>
    <row r="9">
      <c r="A9" s="76" t="inlineStr">
        <is>
          <t>C-27</t>
        </is>
      </c>
      <c r="B9" s="76" t="inlineStr">
        <is>
          <t>cota CAM × rulaj C 421 = rulaj C 436</t>
        </is>
      </c>
      <c r="C9" s="76" t="inlineStr">
        <is>
          <t>Luni cu concedii medicale: CAM nu se datorează pe partea din FNUASS (art. 220^5) · categorii cu cotă redusă</t>
        </is>
      </c>
      <c r="D9" s="76" t="inlineStr">
        <is>
          <t>Sporuri sau prime omise din fondul de salarii · CAM înregistrat invers</t>
        </is>
      </c>
    </row>
    <row r="10">
      <c r="A10" s="76" t="inlineStr">
        <is>
          <t>C-28</t>
        </is>
      </c>
      <c r="B10" s="76" t="inlineStr">
        <is>
          <t>rulaj C 427 = sold C 427</t>
        </is>
      </c>
      <c r="C10" s="76" t="inlineStr">
        <is>
          <t>Poprire înființată la final de lună, cu virare în luna următoare</t>
        </is>
      </c>
      <c r="D10" s="76" t="inlineStr">
        <is>
          <t>Sold care persistă = bani opriți din salariul altcuiva și nevirați</t>
        </is>
      </c>
    </row>
    <row r="11">
      <c r="A11" s="76" t="inlineStr">
        <is>
          <t>C-29</t>
        </is>
      </c>
      <c r="B11" s="76" t="inlineStr">
        <is>
          <t>sold 4423 din balanță = sold din decontul de TVA</t>
        </is>
      </c>
      <c r="C11" s="76" t="inlineStr">
        <is>
          <t>Sume din decizii de impunere, pe analitic distinct (F-421)</t>
        </is>
      </c>
      <c r="D11" s="76" t="inlineStr">
        <is>
          <t>TVA neachitat din perioade precedente, omis din decont</t>
        </is>
      </c>
    </row>
    <row r="12">
      <c r="A12" s="76" t="inlineStr">
        <is>
          <t>—</t>
        </is>
      </c>
      <c r="B12" s="76" t="inlineStr">
        <is>
          <t>sold 473, 581, 542, 4382 = 0</t>
        </is>
      </c>
      <c r="C12" s="76" t="inlineStr">
        <is>
          <t>Operațiune de final de lună, închisă în primele zile ale lunii următoare</t>
        </is>
      </c>
      <c r="D12" s="76" t="inlineStr">
        <is>
          <t>Sold care se reportează = operațiune neterminată, ascunsă în balanță</t>
        </is>
      </c>
    </row>
    <row r="14">
      <c r="A14" s="75" t="inlineStr">
        <is>
          <t>Tabelul B — cadențele, din foaia „Închideri periodice”</t>
        </is>
      </c>
    </row>
    <row r="15">
      <c r="A15" s="74" t="inlineStr">
        <is>
          <t>Lista nu se rescrie aici: e aceeași cu cea din workbook-ul de plan, care o derivă din stările terminale ale fluxurilor (poarta 17).</t>
        </is>
      </c>
    </row>
    <row r="17">
      <c r="A17" s="75" t="inlineStr">
        <is>
          <t>Tabelul C — LIMITĂRI DECLARATE</t>
        </is>
      </c>
    </row>
    <row r="18">
      <c r="A18" s="78" t="inlineStr">
        <is>
          <t>Ce NU face modulul</t>
        </is>
      </c>
      <c r="B18" s="78" t="inlineStr">
        <is>
          <t>De ce contează</t>
        </is>
      </c>
    </row>
    <row r="19">
      <c r="A19" s="76" t="inlineStr">
        <is>
          <t>Verifică solduri, nu documente</t>
        </is>
      </c>
      <c r="B19" s="76" t="inlineStr">
        <is>
          <t>Nu poate spune dacă statul de plată e corect întocmit — doar dacă balanța se potrivește cu el. Un stat greșit, reflectat fidel în balanță, trece.</t>
        </is>
      </c>
    </row>
    <row r="20">
      <c r="A20" s="76" t="inlineStr">
        <is>
          <t>Restul de plată se introduce manual</t>
        </is>
      </c>
      <c r="B20" s="76" t="inlineStr">
        <is>
          <t>Vine din stat, nu din balanță. Dacă îl copiezi din balanță, corelația devine tautologie și nu mai verifică nimic.</t>
        </is>
      </c>
    </row>
    <row r="21">
      <c r="A21" s="76" t="inlineStr">
        <is>
          <t>Conturile fără corelație declarată nu apar</t>
        </is>
      </c>
      <c r="B21" s="76" t="inlineStr">
        <is>
          <t>455, 461, 462, 5187 au cadență, dar niciun flux nu le declară starea terminală. Golul e declarat în `date/inchideri.py`, nu ascuns aici.</t>
        </is>
      </c>
    </row>
    <row r="22">
      <c r="A22" s="76" t="inlineStr">
        <is>
          <t>O singură lună odată</t>
        </is>
      </c>
      <c r="B22" s="76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73" t="inlineStr">
        <is>
          <t>MOD_INCHIDERE_LUNARA — Verificări</t>
        </is>
      </c>
    </row>
    <row r="2">
      <c r="A2" s="74" t="inlineStr">
        <is>
          <t>O linie pe corelație, calculată din Declarații. Coloana „Diferență” e ce contează: zero înseamnă că se potrivește.</t>
        </is>
      </c>
    </row>
    <row r="4">
      <c r="A4" s="75" t="inlineStr">
        <is>
          <t>V1 — obligații lunare: rulaj creditor = sold creditor</t>
        </is>
      </c>
    </row>
    <row r="5">
      <c r="A5" s="78" t="inlineStr">
        <is>
          <t>Cod</t>
        </is>
      </c>
      <c r="B5" s="78" t="inlineStr">
        <is>
          <t>Ce verifică</t>
        </is>
      </c>
      <c r="C5" s="78" t="inlineStr">
        <is>
          <t>Rulaj C</t>
        </is>
      </c>
      <c r="D5" s="78" t="inlineStr">
        <is>
          <t>Sold C</t>
        </is>
      </c>
      <c r="E5" s="78" t="inlineStr">
        <is>
          <t>Diferență</t>
        </is>
      </c>
      <c r="F5" s="78" t="inlineStr">
        <is>
          <t>Verdict</t>
        </is>
      </c>
    </row>
    <row r="6">
      <c r="A6" s="76" t="inlineStr">
        <is>
          <t>C-25</t>
        </is>
      </c>
      <c r="B6" s="76" t="inlineStr">
        <is>
          <t>444 — Impozit pe venituri din salarii</t>
        </is>
      </c>
      <c r="C6" s="76">
        <f>Declarații_INCHIDERE_LUNARA!D11</f>
        <v>3250</v>
      </c>
      <c r="D6" s="76">
        <f>Declarații_INCHIDERE_LUNARA!E11</f>
        <v>3250</v>
      </c>
      <c r="E6" s="76">
        <f>Declarații_INCHIDERE_LUNARA!E11-Declarații_INCHIDERE_LUNARA!D11</f>
        <v>0</v>
      </c>
      <c r="F6" s="76" t="str">
        <f>IF(ABS(E6)&lt;0.01,"OK","ATENȚIE — sold peste rulaj: restanță de "&amp;TEXT(E6,"#,##0")&amp;" lei")</f>
        <v>OK</v>
      </c>
    </row>
    <row r="7">
      <c r="A7" s="76" t="inlineStr">
        <is>
          <t>C-26</t>
        </is>
      </c>
      <c r="B7" s="76" t="inlineStr">
        <is>
          <t>4315 — CAS — contribuția de asigurări sociale</t>
        </is>
      </c>
      <c r="C7" s="76">
        <f>Declarații_INCHIDERE_LUNARA!D12</f>
        <v>12500</v>
      </c>
      <c r="D7" s="76">
        <f>Declarații_INCHIDERE_LUNARA!E12</f>
        <v>12500</v>
      </c>
      <c r="E7" s="76">
        <f>Declarații_INCHIDERE_LUNARA!E12-Declarații_INCHIDERE_LUNARA!D12</f>
        <v>0</v>
      </c>
      <c r="F7" s="76" t="str">
        <f>IF(ABS(E7)&lt;0.01,"OK","ATENȚIE — sold peste rulaj: restanță de "&amp;TEXT(E7,"#,##0")&amp;" lei")</f>
        <v>OK</v>
      </c>
    </row>
    <row r="8">
      <c r="A8" s="76" t="inlineStr">
        <is>
          <t>C-26</t>
        </is>
      </c>
      <c r="B8" s="76" t="inlineStr">
        <is>
          <t>4316 — CASS — asigurări sociale de sănătate</t>
        </is>
      </c>
      <c r="C8" s="76">
        <f>Declarații_INCHIDERE_LUNARA!D13</f>
        <v>5000</v>
      </c>
      <c r="D8" s="76">
        <f>Declarații_INCHIDERE_LUNARA!E13</f>
        <v>5000</v>
      </c>
      <c r="E8" s="76">
        <f>Declarații_INCHIDERE_LUNARA!E13-Declarații_INCHIDERE_LUNARA!D13</f>
        <v>0</v>
      </c>
      <c r="F8" s="76" t="str">
        <f>IF(ABS(E8)&lt;0.01,"OK","ATENȚIE — sold peste rulaj: restanță de "&amp;TEXT(E8,"#,##0")&amp;" lei")</f>
        <v>OK</v>
      </c>
    </row>
    <row r="9">
      <c r="A9" s="76" t="inlineStr">
        <is>
          <t>C-26</t>
        </is>
      </c>
      <c r="B9" s="76" t="inlineStr">
        <is>
          <t>436 — CAM — contribuția asiguratorie pentru muncă</t>
        </is>
      </c>
      <c r="C9" s="76">
        <f>Declarații_INCHIDERE_LUNARA!D14</f>
        <v>1125</v>
      </c>
      <c r="D9" s="76">
        <f>Declarații_INCHIDERE_LUNARA!E14</f>
        <v>1125</v>
      </c>
      <c r="E9" s="76">
        <f>Declarații_INCHIDERE_LUNARA!E14-Declarații_INCHIDERE_LUNARA!D14</f>
        <v>0</v>
      </c>
      <c r="F9" s="76" t="str">
        <f>IF(ABS(E9)&lt;0.01,"OK","ATENȚIE — sold peste rulaj: restanță de "&amp;TEXT(E9,"#,##0")&amp;" lei")</f>
        <v>OK</v>
      </c>
    </row>
    <row r="10">
      <c r="A10" s="76" t="inlineStr">
        <is>
          <t>C-28</t>
        </is>
      </c>
      <c r="B10" s="76" t="inlineStr">
        <is>
          <t>427 — Rețineri din salarii datorate terților</t>
        </is>
      </c>
      <c r="C10" s="76">
        <f>Declarații_INCHIDERE_LUNARA!D15</f>
        <v>0</v>
      </c>
      <c r="D10" s="76">
        <f>Declarații_INCHIDERE_LUNARA!E15</f>
        <v>0</v>
      </c>
      <c r="E10" s="76">
        <f>Declarații_INCHIDERE_LUNARA!E15-Declarații_INCHIDERE_LUNARA!D15</f>
        <v>0</v>
      </c>
      <c r="F10" s="76" t="str">
        <f>IF(ABS(E10)&lt;0.01,"OK","ATENȚIE — sold peste rulaj: restanță de "&amp;TEXT(E10,"#,##0")&amp;" lei")</f>
        <v>OK</v>
      </c>
    </row>
    <row r="12">
      <c r="A12" s="75" t="inlineStr">
        <is>
          <t>V2 — datoria față de salariați</t>
        </is>
      </c>
    </row>
    <row r="13">
      <c r="A13" s="78" t="inlineStr">
        <is>
          <t>Cod</t>
        </is>
      </c>
      <c r="B13" s="78" t="inlineStr">
        <is>
          <t>Ce verifică</t>
        </is>
      </c>
      <c r="C13" s="78" t="inlineStr">
        <is>
          <t>Din balanță</t>
        </is>
      </c>
      <c r="D13" s="78" t="inlineStr">
        <is>
          <t>Din stat</t>
        </is>
      </c>
      <c r="E13" s="78" t="inlineStr">
        <is>
          <t>Diferență</t>
        </is>
      </c>
      <c r="F13" s="78" t="inlineStr">
        <is>
          <t>Verdict</t>
        </is>
      </c>
    </row>
    <row r="14">
      <c r="A14" s="76" t="inlineStr">
        <is>
          <t>C-24</t>
        </is>
      </c>
      <c r="B14" s="76" t="inlineStr">
        <is>
          <t>421 + 423 = rest de plată de pe stat</t>
        </is>
      </c>
      <c r="C14" s="76">
        <f>Declarații_INCHIDERE_LUNARA!B18+Declarații_INCHIDERE_LUNARA!B19</f>
        <v>29250</v>
      </c>
      <c r="D14" s="76">
        <f>Declarații_INCHIDERE_LUNARA!B20</f>
        <v>29250</v>
      </c>
      <c r="E14" s="76">
        <f>Declarații_INCHIDERE_LUNARA!B18+Declarații_INCHIDERE_LUNARA!B19-Declarații_INCHIDERE_LUNARA!B20</f>
        <v>0</v>
      </c>
      <c r="F14" s="76" t="str">
        <f>IF(ABS(E14)&lt;0.01,"OK","ATENȚIE — balanța nu corespunde statului")</f>
        <v>OK</v>
      </c>
    </row>
    <row r="16">
      <c r="A16" s="75" t="inlineStr">
        <is>
          <t>V3 — conturi de tranzit, care trebuie golite</t>
        </is>
      </c>
    </row>
    <row r="17">
      <c r="A17" s="78" t="inlineStr">
        <is>
          <t>Cod</t>
        </is>
      </c>
      <c r="B17" s="78" t="inlineStr">
        <is>
          <t>Ce verifică</t>
        </is>
      </c>
      <c r="C17" s="78" t="inlineStr">
        <is>
          <t>Sold</t>
        </is>
      </c>
      <c r="D17" s="78" t="inlineStr">
        <is>
          <t>Așteptat</t>
        </is>
      </c>
      <c r="E17" s="78" t="inlineStr">
        <is>
          <t>Diferență</t>
        </is>
      </c>
      <c r="F17" s="78" t="inlineStr">
        <is>
          <t>Verdict</t>
        </is>
      </c>
    </row>
    <row r="18">
      <c r="A18" s="76" t="inlineStr">
        <is>
          <t>—</t>
        </is>
      </c>
      <c r="B18" s="76" t="inlineStr">
        <is>
          <t>473 — Decontări din operațiuni în curs de clarificare</t>
        </is>
      </c>
      <c r="C18" s="76">
        <f>Declarații_INCHIDERE_LUNARA!C28</f>
        <v>0</v>
      </c>
      <c r="D18" s="76" t="n">
        <v>0</v>
      </c>
      <c r="E18" s="76">
        <f>Declarații_INCHIDERE_LUNARA!C28</f>
        <v>0</v>
      </c>
      <c r="F18" s="76" t="str">
        <f>IF(ABS(E18)&lt;0.01,"OK","ATENȚIE — operațiune neterminată, ascunsă în balanță")</f>
        <v>OK</v>
      </c>
    </row>
    <row r="19">
      <c r="A19" s="76" t="inlineStr">
        <is>
          <t>—</t>
        </is>
      </c>
      <c r="B19" s="76" t="inlineStr">
        <is>
          <t>581 — Viramente interne</t>
        </is>
      </c>
      <c r="C19" s="76">
        <f>Declarații_INCHIDERE_LUNARA!C29</f>
        <v>0</v>
      </c>
      <c r="D19" s="76" t="n">
        <v>0</v>
      </c>
      <c r="E19" s="76">
        <f>Declarații_INCHIDERE_LUNARA!C29</f>
        <v>0</v>
      </c>
      <c r="F19" s="76" t="str">
        <f>IF(ABS(E19)&lt;0.01,"OK","ATENȚIE — operațiune neterminată, ascunsă în balanță")</f>
        <v>OK</v>
      </c>
    </row>
    <row r="20">
      <c r="A20" s="76" t="inlineStr">
        <is>
          <t>—</t>
        </is>
      </c>
      <c r="B20" s="76" t="inlineStr">
        <is>
          <t>542 — Avansuri de trezorerie</t>
        </is>
      </c>
      <c r="C20" s="76">
        <f>Declarații_INCHIDERE_LUNARA!C30</f>
        <v>0</v>
      </c>
      <c r="D20" s="76" t="n">
        <v>0</v>
      </c>
      <c r="E20" s="76">
        <f>Declarații_INCHIDERE_LUNARA!C30</f>
        <v>0</v>
      </c>
      <c r="F20" s="76" t="str">
        <f>IF(ABS(E20)&lt;0.01,"OK","ATENȚIE — operațiune neterminată, ascunsă în balanță")</f>
        <v>OK</v>
      </c>
    </row>
    <row r="21">
      <c r="A21" s="76" t="inlineStr">
        <is>
          <t>—</t>
        </is>
      </c>
      <c r="B21" s="76" t="inlineStr">
        <is>
          <t>4382 — Alte creanțe sociale (de recuperat de la FNUASS)</t>
        </is>
      </c>
      <c r="C21" s="76">
        <f>Declarații_INCHIDERE_LUNARA!C31</f>
        <v>0</v>
      </c>
      <c r="D21" s="76" t="n">
        <v>0</v>
      </c>
      <c r="E21" s="76">
        <f>Declarații_INCHIDERE_LUNARA!C31</f>
        <v>0</v>
      </c>
      <c r="F21" s="76" t="str">
        <f>IF(ABS(E21)&lt;0.01,"OK","ATENȚIE — operațiune neterminată, ascunsă în balanță")</f>
        <v>OK</v>
      </c>
    </row>
    <row r="23">
      <c r="A23" s="75" t="inlineStr">
        <is>
          <t>V4 — CAM pe cifre și TVA</t>
        </is>
      </c>
    </row>
    <row r="24">
      <c r="A24" s="78" t="inlineStr">
        <is>
          <t>Cod</t>
        </is>
      </c>
      <c r="B24" s="78" t="inlineStr">
        <is>
          <t>Ce verifică</t>
        </is>
      </c>
      <c r="C24" s="78" t="inlineStr">
        <is>
          <t>Calculat</t>
        </is>
      </c>
      <c r="D24" s="78" t="inlineStr">
        <is>
          <t>Din balanță</t>
        </is>
      </c>
      <c r="E24" s="78" t="inlineStr">
        <is>
          <t>Diferență</t>
        </is>
      </c>
      <c r="F24" s="78" t="inlineStr">
        <is>
          <t>Verdict</t>
        </is>
      </c>
    </row>
    <row r="25">
      <c r="A25" s="76" t="inlineStr">
        <is>
          <t>C-27</t>
        </is>
      </c>
      <c r="B25" s="76" t="inlineStr">
        <is>
          <t>cota CAM × brut = rulaj C 436</t>
        </is>
      </c>
      <c r="C25" s="76">
        <f>ROUND(Declarații_INCHIDERE_LUNARA!B23*param_cota_cam,2)</f>
        <v>1125</v>
      </c>
      <c r="D25" s="76">
        <f>Declarații_INCHIDERE_LUNARA!D14</f>
        <v>1125</v>
      </c>
      <c r="E25" s="76">
        <f>Declarații_INCHIDERE_LUNARA!D14-ROUND(Declarații_INCHIDERE_LUNARA!B23*param_cota_cam,2)</f>
        <v>0</v>
      </c>
      <c r="F25" s="76" t="str">
        <f>IF(ABS(E25)&lt;0.01,"OK","ATENȚIE — bază de calcul greșită sau concedii medicale (vezi Reguli A)")</f>
        <v>OK</v>
      </c>
    </row>
    <row r="26">
      <c r="A26" s="76" t="inlineStr">
        <is>
          <t>C-29</t>
        </is>
      </c>
      <c r="B26" s="76" t="inlineStr">
        <is>
          <t>sold 4423 din balanță = sold din decont</t>
        </is>
      </c>
      <c r="C26" s="76">
        <f>Declarații_INCHIDERE_LUNARA!B34</f>
        <v>5250</v>
      </c>
      <c r="D26" s="76">
        <f>Declarații_INCHIDERE_LUNARA!B35</f>
        <v>5250</v>
      </c>
      <c r="E26" s="76">
        <f>Declarații_INCHIDERE_LUNARA!B34-Declarații_INCHIDERE_LUNARA!B35</f>
        <v>0</v>
      </c>
      <c r="F26" s="76" t="str">
        <f>IF(ABS(E26)&lt;0.01,"OK","ATENȚIE — decontul și balanța nu spun același lucru")</f>
        <v>OK</v>
      </c>
    </row>
    <row r="28">
      <c r="A28" s="75" t="inlineStr">
        <is>
          <t>Control final</t>
        </is>
      </c>
    </row>
    <row r="29">
      <c r="A29" s="76" t="inlineStr">
        <is>
          <t>Check — toate corelațiile lunii</t>
        </is>
      </c>
      <c r="B29" s="76">
        <f>ABS(E6)+ABS(E7)+ABS(E8)+ABS(E9)+ABS(E10)+ABS(E14)+ABS(E18)+ABS(E19)+ABS(E20)+ABS(E21)+ABS(E25)+ABS(E26)</f>
        <v>0</v>
      </c>
      <c r="C29" s="76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73" t="inlineStr">
        <is>
          <t>MOD_INCHIDERE_LUNARA — Abateri</t>
        </is>
      </c>
    </row>
    <row r="2">
      <c r="A2" s="74" t="inlineStr">
        <is>
          <t>Coloana „Include” spune DA doar unde corelația nu s-a potrivit. Lista e completă: dacă toate sunt NU, luna e curată.</t>
        </is>
      </c>
    </row>
    <row r="4">
      <c r="A4" s="78" t="inlineStr">
        <is>
          <t>Include</t>
        </is>
      </c>
      <c r="B4" s="78" t="inlineStr">
        <is>
          <t>Cod</t>
        </is>
      </c>
      <c r="C4" s="78" t="inlineStr">
        <is>
          <t>Ce nu s-a potrivit</t>
        </is>
      </c>
      <c r="D4" s="78" t="inlineStr">
        <is>
          <t>Diferență</t>
        </is>
      </c>
      <c r="E4" s="78" t="inlineStr">
        <is>
          <t>Ce se face</t>
        </is>
      </c>
    </row>
    <row r="5">
      <c r="A5" s="76" t="str">
        <f>IF(ABS(Verificări_INCHIDERE_LUNARA!E6)&lt;0.01,"NU","DA")</f>
        <v>NU</v>
      </c>
      <c r="B5" s="76" t="inlineStr">
        <is>
          <t>C-25</t>
        </is>
      </c>
      <c r="C5" s="76" t="inlineStr">
        <is>
          <t>444 Impozit pe venituri din salarii</t>
        </is>
      </c>
      <c r="D5" s="76">
        <f>Verificări_INCHIDERE_LUNARA!E6</f>
        <v>0</v>
      </c>
      <c r="E5" s="76" t="inlineStr">
        <is>
          <t>Se verifică fișa de plătitor din SPV. Stopaj nevirat peste 30 de zile = răspundere penală, nu întârziere.</t>
        </is>
      </c>
    </row>
    <row r="6">
      <c r="A6" s="76" t="str">
        <f>IF(ABS(Verificări_INCHIDERE_LUNARA!E7)&lt;0.01,"NU","DA")</f>
        <v>NU</v>
      </c>
      <c r="B6" s="76" t="inlineStr">
        <is>
          <t>C-26</t>
        </is>
      </c>
      <c r="C6" s="76" t="inlineStr">
        <is>
          <t>4315 CAS — contribuția de asigurări sociale</t>
        </is>
      </c>
      <c r="D6" s="76">
        <f>Verificări_INCHIDERE_LUNARA!E7</f>
        <v>0</v>
      </c>
      <c r="E6" s="76" t="inlineStr">
        <is>
          <t>Se confruntă cu D112. Dacă e eșalonare, se notează; altfel e restanță.</t>
        </is>
      </c>
    </row>
    <row r="7">
      <c r="A7" s="76" t="str">
        <f>IF(ABS(Verificări_INCHIDERE_LUNARA!E8)&lt;0.01,"NU","DA")</f>
        <v>NU</v>
      </c>
      <c r="B7" s="76" t="inlineStr">
        <is>
          <t>C-26</t>
        </is>
      </c>
      <c r="C7" s="76" t="inlineStr">
        <is>
          <t>4316 CASS — asigurări sociale de sănătate</t>
        </is>
      </c>
      <c r="D7" s="76">
        <f>Verificări_INCHIDERE_LUNARA!E8</f>
        <v>0</v>
      </c>
      <c r="E7" s="76" t="inlineStr">
        <is>
          <t>Se confruntă cu D112. Dacă e eșalonare, se notează; altfel e restanță.</t>
        </is>
      </c>
    </row>
    <row r="8">
      <c r="A8" s="76" t="str">
        <f>IF(ABS(Verificări_INCHIDERE_LUNARA!E9)&lt;0.01,"NU","DA")</f>
        <v>NU</v>
      </c>
      <c r="B8" s="76" t="inlineStr">
        <is>
          <t>C-26</t>
        </is>
      </c>
      <c r="C8" s="76" t="inlineStr">
        <is>
          <t>436 CAM — contribuția asiguratorie pentru muncă</t>
        </is>
      </c>
      <c r="D8" s="76">
        <f>Verificări_INCHIDERE_LUNARA!E9</f>
        <v>0</v>
      </c>
      <c r="E8" s="76" t="inlineStr">
        <is>
          <t>Se confruntă cu D112. Dacă e eșalonare, se notează; altfel e restanță.</t>
        </is>
      </c>
    </row>
    <row r="9">
      <c r="A9" s="76" t="str">
        <f>IF(ABS(Verificări_INCHIDERE_LUNARA!E10)&lt;0.01,"NU","DA")</f>
        <v>NU</v>
      </c>
      <c r="B9" s="76" t="inlineStr">
        <is>
          <t>C-28</t>
        </is>
      </c>
      <c r="C9" s="76" t="inlineStr">
        <is>
          <t>427 Rețineri din salarii datorate terților</t>
        </is>
      </c>
      <c r="D9" s="76">
        <f>Verificări_INCHIDERE_LUNARA!E10</f>
        <v>0</v>
      </c>
      <c r="E9" s="76" t="inlineStr">
        <is>
          <t>Se virează imediat. Banii sunt ai salariatului, opriți pentru altcineva.</t>
        </is>
      </c>
    </row>
    <row r="10">
      <c r="A10" s="76" t="str">
        <f>IF(ABS(Verificări_INCHIDERE_LUNARA!E14)&lt;0.01,"NU","DA")</f>
        <v>NU</v>
      </c>
      <c r="B10" s="76" t="inlineStr">
        <is>
          <t>C-24</t>
        </is>
      </c>
      <c r="C10" s="76" t="inlineStr">
        <is>
          <t>421 + 423 vs. stat</t>
        </is>
      </c>
      <c r="D10" s="76">
        <f>Verificări_INCHIDERE_LUNARA!E14</f>
        <v>0</v>
      </c>
      <c r="E10" s="76" t="inlineStr">
        <is>
          <t>Se scot statele lună de lună și se caută luna în care s-a rupt. Cauza tipică: plată pe alt cont decât 421.</t>
        </is>
      </c>
    </row>
    <row r="11">
      <c r="A11" s="76" t="str">
        <f>IF(ABS(Verificări_INCHIDERE_LUNARA!E18)&lt;0.01,"NU","DA")</f>
        <v>NU</v>
      </c>
      <c r="B11" s="76" t="inlineStr">
        <is>
          <t>—</t>
        </is>
      </c>
      <c r="C11" s="76" t="inlineStr">
        <is>
          <t>473 sold zero</t>
        </is>
      </c>
      <c r="D11" s="76">
        <f>Verificări_INCHIDERE_LUNARA!E18</f>
        <v>0</v>
      </c>
      <c r="E11" s="76" t="inlineStr">
        <is>
          <t>Se identifică operațiunea neterminată și se închide. Un sold reportat pe un cont de tranzit ascunde ceva.</t>
        </is>
      </c>
    </row>
    <row r="12">
      <c r="A12" s="76" t="str">
        <f>IF(ABS(Verificări_INCHIDERE_LUNARA!E19)&lt;0.01,"NU","DA")</f>
        <v>NU</v>
      </c>
      <c r="B12" s="76" t="inlineStr">
        <is>
          <t>—</t>
        </is>
      </c>
      <c r="C12" s="76" t="inlineStr">
        <is>
          <t>581 sold zero</t>
        </is>
      </c>
      <c r="D12" s="76">
        <f>Verificări_INCHIDERE_LUNARA!E19</f>
        <v>0</v>
      </c>
      <c r="E12" s="76" t="inlineStr">
        <is>
          <t>Se identifică operațiunea neterminată și se închide. Un sold reportat pe un cont de tranzit ascunde ceva.</t>
        </is>
      </c>
    </row>
    <row r="13">
      <c r="A13" s="76" t="str">
        <f>IF(ABS(Verificări_INCHIDERE_LUNARA!E20)&lt;0.01,"NU","DA")</f>
        <v>NU</v>
      </c>
      <c r="B13" s="76" t="inlineStr">
        <is>
          <t>—</t>
        </is>
      </c>
      <c r="C13" s="76" t="inlineStr">
        <is>
          <t>542 sold zero</t>
        </is>
      </c>
      <c r="D13" s="76">
        <f>Verificări_INCHIDERE_LUNARA!E20</f>
        <v>0</v>
      </c>
      <c r="E13" s="76" t="inlineStr">
        <is>
          <t>Se identifică operațiunea neterminată și se închide. Un sold reportat pe un cont de tranzit ascunde ceva.</t>
        </is>
      </c>
    </row>
    <row r="14">
      <c r="A14" s="76" t="str">
        <f>IF(ABS(Verificări_INCHIDERE_LUNARA!E21)&lt;0.01,"NU","DA")</f>
        <v>NU</v>
      </c>
      <c r="B14" s="76" t="inlineStr">
        <is>
          <t>—</t>
        </is>
      </c>
      <c r="C14" s="76" t="inlineStr">
        <is>
          <t>4382 sold zero</t>
        </is>
      </c>
      <c r="D14" s="76">
        <f>Verificări_INCHIDERE_LUNARA!E21</f>
        <v>0</v>
      </c>
      <c r="E14" s="76" t="inlineStr">
        <is>
          <t>Se identifică operațiunea neterminată și se închide. Un sold reportat pe un cont de tranzit ascunde ceva.</t>
        </is>
      </c>
    </row>
    <row r="15">
      <c r="A15" s="76" t="str">
        <f>IF(ABS(Verificări_INCHIDERE_LUNARA!E25)&lt;0.01,"NU","DA")</f>
        <v>NU</v>
      </c>
      <c r="B15" s="76" t="inlineStr">
        <is>
          <t>C-27</t>
        </is>
      </c>
      <c r="C15" s="76" t="inlineStr">
        <is>
          <t>CAM pe cifre</t>
        </is>
      </c>
      <c r="D15" s="76">
        <f>Verificări_INCHIDERE_LUNARA!E25</f>
        <v>0</v>
      </c>
      <c r="E15" s="76" t="inlineStr">
        <is>
          <t>Se verifică dacă luna are concedii medicale — CAM nu se datorează pe partea din FNUASS. Altfel, bază de calcul incompletă.</t>
        </is>
      </c>
    </row>
    <row r="16">
      <c r="A16" s="76" t="str">
        <f>IF(ABS(Verificări_INCHIDERE_LUNARA!E26)&lt;0.01,"NU","DA")</f>
        <v>NU</v>
      </c>
      <c r="B16" s="76" t="inlineStr">
        <is>
          <t>C-29</t>
        </is>
      </c>
      <c r="C16" s="76" t="inlineStr">
        <is>
          <t>4423 vs. decont</t>
        </is>
      </c>
      <c r="D16" s="76">
        <f>Verificări_INCHIDERE_LUNARA!E26</f>
        <v>0</v>
      </c>
      <c r="E16" s="76" t="inlineStr">
        <is>
          <t>Se verifică dacă e sumă din decizie de impunere (analitic distinct) sau TVA neachitat din perioade precedente, omis din decont.</t>
        </is>
      </c>
    </row>
    <row r="18">
      <c r="A18" s="76" t="inlineStr">
        <is>
          <t>Check — număr de abateri</t>
        </is>
      </c>
      <c r="B18" s="76">
        <f>COUNTIF(A5:A16,"DA")</f>
        <v>0</v>
      </c>
      <c r="C18" s="76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2026-08-21T18:13:50Z</dcterms:modified>
  <cp:revision>0</cp:revision>
</cp:coreProperties>
</file>