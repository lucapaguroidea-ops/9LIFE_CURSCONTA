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INCHIDERE_TVA" sheetId="4" state="visible" r:id="rId4"/>
    <sheet xmlns:r="http://schemas.openxmlformats.org/officeDocument/2006/relationships" name="Reguli_INCHIDERE_TVA" sheetId="5" state="visible" r:id="rId5"/>
    <sheet xmlns:r="http://schemas.openxmlformats.org/officeDocument/2006/relationships" name="Jurnale_INCHIDERE_TVA" sheetId="6" state="visible" r:id="rId6"/>
    <sheet xmlns:r="http://schemas.openxmlformats.org/officeDocument/2006/relationships" name="NotaExport_INCHIDERE_TVA" sheetId="7" state="visible" r:id="rId7"/>
    <sheet xmlns:r="http://schemas.openxmlformats.org/officeDocument/2006/relationships" name="Declarații_APROV_TRANZIT" sheetId="8" state="visible" r:id="rId8"/>
    <sheet xmlns:r="http://schemas.openxmlformats.org/officeDocument/2006/relationships" name="Reguli_APROV_TRANZIT" sheetId="9" state="visible" r:id="rId9"/>
    <sheet xmlns:r="http://schemas.openxmlformats.org/officeDocument/2006/relationships" name="Jurnale_APROV_TRANZIT" sheetId="10" state="visible" r:id="rId10"/>
    <sheet xmlns:r="http://schemas.openxmlformats.org/officeDocument/2006/relationships" name="NotaExport_APROV_TRANZIT" sheetId="11" state="visible" r:id="rId11"/>
    <sheet xmlns:r="http://schemas.openxmlformats.org/officeDocument/2006/relationships" name="Declarații_INTERMEDIAR" sheetId="12" state="visible" r:id="rId12"/>
    <sheet xmlns:r="http://schemas.openxmlformats.org/officeDocument/2006/relationships" name="Reguli_INTERMEDIAR" sheetId="13" state="visible" r:id="rId13"/>
    <sheet xmlns:r="http://schemas.openxmlformats.org/officeDocument/2006/relationships" name="Jurnale_INTERMEDIAR" sheetId="14" state="visible" r:id="rId14"/>
    <sheet xmlns:r="http://schemas.openxmlformats.org/officeDocument/2006/relationships" name="NotaExport_INTERMEDIAR" sheetId="15" state="visible" r:id="rId15"/>
    <sheet xmlns:r="http://schemas.openxmlformats.org/officeDocument/2006/relationships" name="Declarații_INCHIDERE_EX" sheetId="16" state="visible" r:id="rId16"/>
    <sheet xmlns:r="http://schemas.openxmlformats.org/officeDocument/2006/relationships" name="Reguli_INCHIDERE_EX" sheetId="17" state="visible" r:id="rId17"/>
    <sheet xmlns:r="http://schemas.openxmlformats.org/officeDocument/2006/relationships" name="Jurnale_INCHIDERE_EX" sheetId="18" state="visible" r:id="rId18"/>
    <sheet xmlns:r="http://schemas.openxmlformats.org/officeDocument/2006/relationships" name="NotaExport_INCHIDERE_EX" sheetId="19" state="visible" r:id="rId19"/>
    <sheet xmlns:r="http://schemas.openxmlformats.org/officeDocument/2006/relationships" name="Declarații_NEUTRALIZARE" sheetId="20" state="visible" r:id="rId20"/>
    <sheet xmlns:r="http://schemas.openxmlformats.org/officeDocument/2006/relationships" name="Reguli_NEUTRALIZARE" sheetId="21" state="visible" r:id="rId21"/>
    <sheet xmlns:r="http://schemas.openxmlformats.org/officeDocument/2006/relationships" name="Jurnale_NEUTRALIZARE" sheetId="22" state="visible" r:id="rId22"/>
    <sheet xmlns:r="http://schemas.openxmlformats.org/officeDocument/2006/relationships" name="NotaExport_NEUTRALIZARE" sheetId="23" state="visible" r:id="rId23"/>
    <sheet xmlns:r="http://schemas.openxmlformats.org/officeDocument/2006/relationships" name="Declarații_AMANUNT" sheetId="24" state="visible" r:id="rId24"/>
    <sheet xmlns:r="http://schemas.openxmlformats.org/officeDocument/2006/relationships" name="Reguli_AMANUNT" sheetId="25" state="visible" r:id="rId25"/>
    <sheet xmlns:r="http://schemas.openxmlformats.org/officeDocument/2006/relationships" name="Jurnale_AMANUNT" sheetId="26" state="visible" r:id="rId26"/>
    <sheet xmlns:r="http://schemas.openxmlformats.org/officeDocument/2006/relationships" name="NotaExport_AMANUNT" sheetId="27" state="visible" r:id="rId27"/>
    <sheet xmlns:r="http://schemas.openxmlformats.org/officeDocument/2006/relationships" name="Declarații_TVA_INC" sheetId="28" state="visible" r:id="rId28"/>
    <sheet xmlns:r="http://schemas.openxmlformats.org/officeDocument/2006/relationships" name="Reguli_TVA_INC" sheetId="29" state="visible" r:id="rId29"/>
    <sheet xmlns:r="http://schemas.openxmlformats.org/officeDocument/2006/relationships" name="Jurnale_TVA_INC" sheetId="30" state="visible" r:id="rId30"/>
    <sheet xmlns:r="http://schemas.openxmlformats.org/officeDocument/2006/relationships" name="NotaExport_TVA_INC" sheetId="31" state="visible" r:id="rId31"/>
    <sheet xmlns:r="http://schemas.openxmlformats.org/officeDocument/2006/relationships" name="Declarații_CAPITALURI" sheetId="32" state="visible" r:id="rId32"/>
    <sheet xmlns:r="http://schemas.openxmlformats.org/officeDocument/2006/relationships" name="Reguli_CAPITALURI" sheetId="33" state="visible" r:id="rId33"/>
    <sheet xmlns:r="http://schemas.openxmlformats.org/officeDocument/2006/relationships" name="Jurnale_CAPITALURI" sheetId="34" state="visible" r:id="rId34"/>
    <sheet xmlns:r="http://schemas.openxmlformats.org/officeDocument/2006/relationships" name="NotaExport_CAPITALURI" sheetId="35" state="visible" r:id="rId35"/>
    <sheet xmlns:r="http://schemas.openxmlformats.org/officeDocument/2006/relationships" name="Declarații_CREDIT_VALUTA" sheetId="36" state="visible" r:id="rId36"/>
    <sheet xmlns:r="http://schemas.openxmlformats.org/officeDocument/2006/relationships" name="Reguli_CREDIT_VALUTA" sheetId="37" state="visible" r:id="rId37"/>
    <sheet xmlns:r="http://schemas.openxmlformats.org/officeDocument/2006/relationships" name="Jurnale_CREDIT_VALUTA" sheetId="38" state="visible" r:id="rId38"/>
    <sheet xmlns:r="http://schemas.openxmlformats.org/officeDocument/2006/relationships" name="NotaExport_CREDIT_VALUTA" sheetId="39" state="visible" r:id="rId39"/>
    <sheet xmlns:r="http://schemas.openxmlformats.org/officeDocument/2006/relationships" name="Declarații_PROVIZION" sheetId="40" state="visible" r:id="rId40"/>
    <sheet xmlns:r="http://schemas.openxmlformats.org/officeDocument/2006/relationships" name="Reguli_PROVIZION" sheetId="41" state="visible" r:id="rId41"/>
    <sheet xmlns:r="http://schemas.openxmlformats.org/officeDocument/2006/relationships" name="Jurnale_PROVIZION" sheetId="42" state="visible" r:id="rId42"/>
    <sheet xmlns:r="http://schemas.openxmlformats.org/officeDocument/2006/relationships" name="NotaExport_PROVIZION" sheetId="43" state="visible" r:id="rId43"/>
    <sheet xmlns:r="http://schemas.openxmlformats.org/officeDocument/2006/relationships" name="Declarații_LEASING_FIN" sheetId="44" state="visible" r:id="rId44"/>
    <sheet xmlns:r="http://schemas.openxmlformats.org/officeDocument/2006/relationships" name="Reguli_LEASING_FIN" sheetId="45" state="visible" r:id="rId45"/>
    <sheet xmlns:r="http://schemas.openxmlformats.org/officeDocument/2006/relationships" name="Jurnale_LEASING_FIN" sheetId="46" state="visible" r:id="rId46"/>
    <sheet xmlns:r="http://schemas.openxmlformats.org/officeDocument/2006/relationships" name="NotaExport_LEASING_FIN" sheetId="47" state="visible" r:id="rId47"/>
    <sheet xmlns:r="http://schemas.openxmlformats.org/officeDocument/2006/relationships" name="Declarații_IMOBILIZARI" sheetId="48" state="visible" r:id="rId48"/>
    <sheet xmlns:r="http://schemas.openxmlformats.org/officeDocument/2006/relationships" name="Reguli_IMOBILIZARI" sheetId="49" state="visible" r:id="rId49"/>
    <sheet xmlns:r="http://schemas.openxmlformats.org/officeDocument/2006/relationships" name="Jurnale_IMOBILIZARI" sheetId="50" state="visible" r:id="rId50"/>
    <sheet xmlns:r="http://schemas.openxmlformats.org/officeDocument/2006/relationships" name="NotaExport_IMOBILIZARI" sheetId="51" state="visible" r:id="rId51"/>
    <sheet xmlns:r="http://schemas.openxmlformats.org/officeDocument/2006/relationships" name="Declarații_SUBVENTIE" sheetId="52" state="visible" r:id="rId52"/>
    <sheet xmlns:r="http://schemas.openxmlformats.org/officeDocument/2006/relationships" name="Reguli_SUBVENTIE" sheetId="53" state="visible" r:id="rId53"/>
    <sheet xmlns:r="http://schemas.openxmlformats.org/officeDocument/2006/relationships" name="Jurnale_SUBVENTIE" sheetId="54" state="visible" r:id="rId54"/>
    <sheet xmlns:r="http://schemas.openxmlformats.org/officeDocument/2006/relationships" name="NotaExport_SUBVENTIE" sheetId="55" state="visible" r:id="rId55"/>
    <sheet xmlns:r="http://schemas.openxmlformats.org/officeDocument/2006/relationships" name="Declarații_IESIRE_MF" sheetId="56" state="visible" r:id="rId56"/>
    <sheet xmlns:r="http://schemas.openxmlformats.org/officeDocument/2006/relationships" name="Reguli_IESIRE_MF" sheetId="57" state="visible" r:id="rId57"/>
    <sheet xmlns:r="http://schemas.openxmlformats.org/officeDocument/2006/relationships" name="Jurnale_IESIRE_MF" sheetId="58" state="visible" r:id="rId58"/>
    <sheet xmlns:r="http://schemas.openxmlformats.org/officeDocument/2006/relationships" name="NotaExport_IESIRE_MF" sheetId="59" state="visible" r:id="rId59"/>
    <sheet xmlns:r="http://schemas.openxmlformats.org/officeDocument/2006/relationships" name="Declarații_SALARII" sheetId="60" state="visible" r:id="rId60"/>
    <sheet xmlns:r="http://schemas.openxmlformats.org/officeDocument/2006/relationships" name="Reguli_SALARII" sheetId="61" state="visible" r:id="rId61"/>
    <sheet xmlns:r="http://schemas.openxmlformats.org/officeDocument/2006/relationships" name="Jurnale_SALARII" sheetId="62" state="visible" r:id="rId62"/>
    <sheet xmlns:r="http://schemas.openxmlformats.org/officeDocument/2006/relationships" name="NotaExport_SALARII" sheetId="63" state="visible" r:id="rId63"/>
    <sheet xmlns:r="http://schemas.openxmlformats.org/officeDocument/2006/relationships" name="Declarații_DECONT" sheetId="64" state="visible" r:id="rId64"/>
    <sheet xmlns:r="http://schemas.openxmlformats.org/officeDocument/2006/relationships" name="Reguli_DECONT" sheetId="65" state="visible" r:id="rId65"/>
    <sheet xmlns:r="http://schemas.openxmlformats.org/officeDocument/2006/relationships" name="Registru_DECONT" sheetId="66" state="visible" r:id="rId66"/>
    <sheet xmlns:r="http://schemas.openxmlformats.org/officeDocument/2006/relationships" name="Jurnale_DECONT" sheetId="67" state="visible" r:id="rId67"/>
    <sheet xmlns:r="http://schemas.openxmlformats.org/officeDocument/2006/relationships" name="NotaExport_DECONT" sheetId="68" state="visible" r:id="rId68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F-413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F-502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F-108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4">
      <c r="A24" s="42" t="inlineStr">
        <is>
          <t>REGULĂ DE SUMONARE</t>
        </is>
      </c>
    </row>
    <row r="25">
      <c r="A25" s="43" t="inlineStr">
        <is>
          <t>1. În CatalogModule setezi Activ=DA doar pe modulele necesare lunii.</t>
        </is>
      </c>
    </row>
    <row r="26">
      <c r="A26" s="43" t="inlineStr">
        <is>
          <t>2. Completezi variabilele din foaia Declarații_Modul (galben).</t>
        </is>
      </c>
    </row>
    <row r="27">
      <c r="A27" s="43" t="inlineStr">
        <is>
          <t>3. Jurnalele și NotaExport se populează automat doar pentru modulele active.</t>
        </is>
      </c>
    </row>
    <row r="28">
      <c r="A28" s="43" t="inlineStr">
        <is>
          <t>4. Verifici Check=0 pe fiecare bloc; filtrezi NotaExport pe Include=DA și imporți.</t>
        </is>
      </c>
    </row>
    <row r="29">
      <c r="A29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9:H29"/>
    <mergeCell ref="A25:H25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F-302)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F-301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F-316, F-318, F-317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F-401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 t="inlineStr">
        <is>
          <t>cât rezerva constituită</t>
        </is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 t="inlineStr">
        <is>
          <t>cât baza corecției</t>
        </is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MOD_CREDIT_VALUTA — Declarații (input)</t>
        </is>
      </c>
    </row>
    <row r="2">
      <c r="A2" s="79" t="inlineStr">
        <is>
          <t>Valorile implicite reproduc monografia din F-107. Rata și dobânda se iau din SCADENȚAR, nu din extras — extrasul le arată deseori cumulat.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credit</t>
        </is>
      </c>
      <c r="B6" s="82" t="inlineStr">
        <is>
          <t>CR-2026-001</t>
        </is>
      </c>
      <c r="C6" s="79" t="inlineStr">
        <is>
          <t>1621 se ține analitic pe contract și pe valută</t>
        </is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plății ratei</t>
        </is>
      </c>
      <c r="B8" s="82" t="inlineStr">
        <is>
          <t>2026-07-15</t>
        </is>
      </c>
    </row>
    <row r="9">
      <c r="A9" s="81" t="inlineStr">
        <is>
          <t>Data reevaluării (ultima zi bancară a lunii)</t>
        </is>
      </c>
      <c r="B9" s="82" t="inlineStr">
        <is>
          <t>2026-07-31</t>
        </is>
      </c>
    </row>
    <row r="10">
      <c r="A10" s="81" t="inlineStr">
        <is>
          <t>Valuta</t>
        </is>
      </c>
      <c r="B10" s="82" t="inlineStr">
        <is>
          <t>EUR</t>
        </is>
      </c>
    </row>
    <row r="12">
      <c r="A12" s="80" t="inlineStr">
        <is>
          <t>2. Soldul de la care pornim</t>
        </is>
      </c>
    </row>
    <row r="13">
      <c r="A13" s="81" t="inlineStr">
        <is>
          <t>Sold inițial, în valută</t>
        </is>
      </c>
      <c r="B13" s="82" t="n">
        <v>20000</v>
      </c>
    </row>
    <row r="14">
      <c r="A14" s="81" t="inlineStr">
        <is>
          <t>Cursul la care e înregistrat soldul</t>
        </is>
      </c>
      <c r="B14" s="82" t="n">
        <v>4.97</v>
      </c>
    </row>
    <row r="15">
      <c r="A15" s="81" t="inlineStr">
        <is>
          <t>Sold inițial, în lei</t>
        </is>
      </c>
      <c r="B15" s="81">
        <f>ROUND(B13*B14,2)</f>
        <v>99400</v>
      </c>
    </row>
    <row r="17">
      <c r="A17" s="80" t="inlineStr">
        <is>
          <t>3. Mișcările lunii (din SCADENȚAR)</t>
        </is>
      </c>
    </row>
    <row r="18">
      <c r="A18" s="81" t="inlineStr">
        <is>
          <t>Rata de capital, în valută</t>
        </is>
      </c>
      <c r="B18" s="82" t="n">
        <v>5000</v>
      </c>
    </row>
    <row r="19">
      <c r="A19" s="81" t="inlineStr">
        <is>
          <t>Dobânda, în valută</t>
        </is>
      </c>
      <c r="B19" s="82" t="n">
        <v>200</v>
      </c>
    </row>
    <row r="20">
      <c r="A20" s="81" t="inlineStr">
        <is>
          <t>Cursul de la data plății</t>
        </is>
      </c>
      <c r="B20" s="82" t="n">
        <v>4.99</v>
      </c>
    </row>
    <row r="21">
      <c r="A21" s="81" t="inlineStr">
        <is>
          <t>Comisioane bancare, în lei</t>
        </is>
      </c>
      <c r="B21" s="82" t="n">
        <v>50</v>
      </c>
    </row>
    <row r="23">
      <c r="A23" s="80" t="inlineStr">
        <is>
          <t>4. Reevaluarea de la finalul lunii</t>
        </is>
      </c>
    </row>
    <row r="24">
      <c r="A24" s="81" t="inlineStr">
        <is>
          <t>Curs BNR la data reevaluării</t>
        </is>
      </c>
      <c r="B24" s="82" t="n">
        <v>5.01</v>
      </c>
    </row>
    <row r="26">
      <c r="A26" s="80" t="inlineStr">
        <is>
          <t>5. Calcul automat (nu edita)</t>
        </is>
      </c>
    </row>
    <row r="27">
      <c r="A27" s="81" t="inlineStr">
        <is>
          <t>Rata, la cursul de înregistrare</t>
        </is>
      </c>
      <c r="B27" s="81">
        <f>ROUND(B18*B14,2)</f>
        <v>24850</v>
      </c>
    </row>
    <row r="28">
      <c r="A28" s="81" t="inlineStr">
        <is>
          <t>Rata, la cursul de plată</t>
        </is>
      </c>
      <c r="B28" s="81">
        <f>ROUND(B18*B20,2)</f>
        <v>24950</v>
      </c>
    </row>
    <row r="29">
      <c r="A29" s="81" t="inlineStr">
        <is>
          <t>MOMENTUL 1 — diferența la plată</t>
        </is>
      </c>
      <c r="B29" s="81">
        <f>B28-B27</f>
        <v>100</v>
      </c>
      <c r="C29" s="79" t="inlineStr">
        <is>
          <t>Pozitiv = nefavorabil (665); negativ = favorabil (765)</t>
        </is>
      </c>
    </row>
    <row r="30">
      <c r="A30" s="81" t="inlineStr">
        <is>
          <t>Dobânda, în lei</t>
        </is>
      </c>
      <c r="B30" s="81">
        <f>ROUND(B19*B20,2)</f>
        <v>998</v>
      </c>
    </row>
    <row r="31">
      <c r="A31" s="81" t="inlineStr">
        <is>
          <t>Sold rămas, în valută</t>
        </is>
      </c>
      <c r="B31" s="81">
        <f>B13-B18</f>
        <v>15000</v>
      </c>
    </row>
    <row r="32">
      <c r="A32" s="81" t="inlineStr">
        <is>
          <t>Sold rămas, la cursul de înregistrare</t>
        </is>
      </c>
      <c r="B32" s="81">
        <f>ROUND(B31*B14,2)</f>
        <v>74550</v>
      </c>
    </row>
    <row r="33">
      <c r="A33" s="81" t="inlineStr">
        <is>
          <t>Sold rămas, la cursul BNR</t>
        </is>
      </c>
      <c r="B33" s="81">
        <f>ROUND(B31*B24,2)</f>
        <v>75150</v>
      </c>
    </row>
    <row r="34">
      <c r="A34" s="81" t="inlineStr">
        <is>
          <t>MOMENTUL 2 — diferența din reevaluare</t>
        </is>
      </c>
      <c r="B34" s="81">
        <f>B33-B32</f>
        <v>600</v>
      </c>
      <c r="C34" s="79" t="inlineStr">
        <is>
          <t>Pozitiv = datoria crește = nefavorabil (665)</t>
        </is>
      </c>
    </row>
    <row r="36">
      <c r="A36" s="80" t="inlineStr">
        <is>
          <t>6. Conturi</t>
        </is>
      </c>
    </row>
    <row r="37">
      <c r="A37" s="81" t="inlineStr">
        <is>
          <t>Cont credit (162x)</t>
        </is>
      </c>
      <c r="B37" s="82" t="inlineStr">
        <is>
          <t>1621</t>
        </is>
      </c>
      <c r="C37" s="79" t="inlineStr">
        <is>
          <t>1621…1627 sunt sintetice DISTINCTE, nu analitice ale aceluiași cont</t>
        </is>
      </c>
    </row>
    <row r="38">
      <c r="A38" s="81" t="inlineStr">
        <is>
          <t>Cont dobândă neajunsă la scadență</t>
        </is>
      </c>
      <c r="B38" s="82" t="n">
        <v>1682</v>
      </c>
    </row>
    <row r="39">
      <c r="A39" s="81" t="inlineStr">
        <is>
          <t>Cont trezorerie în valută</t>
        </is>
      </c>
      <c r="B39" s="82" t="inlineStr">
        <is>
          <t>5124</t>
        </is>
      </c>
    </row>
    <row r="40">
      <c r="A40" s="81" t="inlineStr">
        <is>
          <t>Cont trezorerie în lei</t>
        </is>
      </c>
      <c r="B40" s="82" t="inlineStr">
        <is>
          <t>5121</t>
        </is>
      </c>
    </row>
    <row r="41">
      <c r="A41" s="81" t="inlineStr">
        <is>
          <t>Cont cheltuială cu dobânda</t>
        </is>
      </c>
      <c r="B41" s="82" t="n">
        <v>666</v>
      </c>
    </row>
    <row r="42">
      <c r="A42" s="81" t="inlineStr">
        <is>
          <t>Cont cheltuială cu serviciile bancare</t>
        </is>
      </c>
      <c r="B42" s="82" t="n">
        <v>627</v>
      </c>
    </row>
    <row r="43">
      <c r="A43" s="81" t="inlineStr">
        <is>
          <t>Cont diferențe nefavorabile</t>
        </is>
      </c>
      <c r="B43" s="82" t="n">
        <v>665</v>
      </c>
    </row>
    <row r="44">
      <c r="A44" s="81" t="inlineStr">
        <is>
          <t>Cont diferențe favorabile</t>
        </is>
      </c>
      <c r="B44" s="82" t="n">
        <v>765</v>
      </c>
    </row>
    <row r="46">
      <c r="A46" s="80" t="inlineStr">
        <is>
          <t>7. Controale</t>
        </is>
      </c>
    </row>
    <row r="47">
      <c r="A47" s="81" t="inlineStr">
        <is>
          <t>Check FINAL: sold lei = sold valută × curs BNR</t>
        </is>
      </c>
      <c r="B47" s="81">
        <f>B32+B34-B33</f>
        <v>0</v>
      </c>
      <c r="C47" s="81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81" t="inlineStr">
        <is>
          <t>Check cele două momente sunt distincte</t>
        </is>
      </c>
      <c r="B48" s="81">
        <f>B29+B34</f>
        <v>700</v>
      </c>
      <c r="C48" s="81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81" t="inlineStr">
        <is>
          <t>Reminder: rata și dobânda vin din scadențar</t>
        </is>
      </c>
      <c r="B49" s="81">
        <f>B18+B19</f>
        <v>5200</v>
      </c>
      <c r="C49" s="81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81" t="inlineStr">
        <is>
          <t>Reminder: reevaluarea e LUNARĂ</t>
        </is>
      </c>
      <c r="B50" s="81" t="str">
        <f>B9</f>
        <v>2026-07-31</v>
      </c>
      <c r="C50" s="81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81" t="inlineStr">
        <is>
          <t>Reminder bilanț</t>
        </is>
      </c>
      <c r="B51" s="81">
        <f>B31</f>
        <v>15000</v>
      </c>
      <c r="C51" s="81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80" t="inlineStr">
        <is>
          <t>8. Sufix generat</t>
        </is>
      </c>
    </row>
    <row r="54">
      <c r="A54" s="81" t="inlineStr">
        <is>
          <t>Sufix</t>
        </is>
      </c>
      <c r="B54" s="81" t="str">
        <f>" - " &amp; B6 &amp; " - " &amp; B7</f>
        <v> - CR-2026-001 - 2026-07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MOD_CREDIT_VALUTA — Reguli (tabele fixe)</t>
        </is>
      </c>
    </row>
    <row r="3">
      <c r="A3" s="80" t="inlineStr">
        <is>
          <t>Tabel A — Cele două momente de diferență de curs</t>
        </is>
      </c>
    </row>
    <row r="4">
      <c r="A4" s="83" t="inlineStr">
        <is>
          <t>Moment</t>
        </is>
      </c>
      <c r="B4" s="83" t="inlineStr">
        <is>
          <t>Când apare</t>
        </is>
      </c>
      <c r="C4" s="83" t="inlineStr">
        <is>
          <t>Bază</t>
        </is>
      </c>
      <c r="D4" s="83" t="inlineStr">
        <is>
          <t>Formula</t>
        </is>
      </c>
      <c r="E4" s="83" t="inlineStr">
        <is>
          <t>Cont</t>
        </is>
      </c>
      <c r="F4" s="83" t="inlineStr">
        <is>
          <t>Temei / observație</t>
        </is>
      </c>
    </row>
    <row r="5">
      <c r="A5" s="81" t="inlineStr">
        <is>
          <t>1. La plată</t>
        </is>
      </c>
      <c r="B5" s="81" t="inlineStr">
        <is>
          <t>la fiecare rambursare de rată</t>
        </is>
      </c>
      <c r="C5" s="81" t="inlineStr">
        <is>
          <t>rata în valută</t>
        </is>
      </c>
      <c r="D5" s="81" t="inlineStr">
        <is>
          <t>(curs plată − curs înregistrare) × rată</t>
        </is>
      </c>
      <c r="E5" s="81" t="inlineStr">
        <is>
          <t>665 / 765</t>
        </is>
      </c>
      <c r="F5" s="81" t="inlineStr">
        <is>
          <t>Diferența dintre cursul la care e înregistrată datoria și cel la care se stinge</t>
        </is>
      </c>
    </row>
    <row r="6">
      <c r="A6" s="81" t="inlineStr">
        <is>
          <t>2. La reevaluare</t>
        </is>
      </c>
      <c r="B6" s="81" t="inlineStr">
        <is>
          <t>ultima zi bancară a FIECĂREI luni</t>
        </is>
      </c>
      <c r="C6" s="81" t="inlineStr">
        <is>
          <t>soldul rămas în valută</t>
        </is>
      </c>
      <c r="D6" s="81" t="inlineStr">
        <is>
          <t>(curs BNR − curs înregistrare) × sold rămas</t>
        </is>
      </c>
      <c r="E6" s="81" t="inlineStr">
        <is>
          <t>665 / 765</t>
        </is>
      </c>
      <c r="F6" s="81" t="inlineStr">
        <is>
          <t>OMFP 1802/2014 — obligatoriu lunar; „la 3 luni” e insuficient</t>
        </is>
      </c>
    </row>
    <row r="8">
      <c r="A8" s="80" t="inlineStr">
        <is>
          <t>Tabel B — Ce se ia din scadențar, nu din extras</t>
        </is>
      </c>
    </row>
    <row r="9">
      <c r="A9" s="83" t="inlineStr">
        <is>
          <t>Element</t>
        </is>
      </c>
      <c r="B9" s="83" t="inlineStr">
        <is>
          <t>Cont</t>
        </is>
      </c>
      <c r="C9" s="83" t="inlineStr"/>
      <c r="D9" s="83" t="inlineStr"/>
      <c r="E9" s="83" t="inlineStr"/>
      <c r="F9" s="83" t="inlineStr">
        <is>
          <t>De ce contează</t>
        </is>
      </c>
    </row>
    <row r="10">
      <c r="A10" s="81" t="inlineStr">
        <is>
          <t>Rata de capital</t>
        </is>
      </c>
      <c r="B10" s="81" t="inlineStr">
        <is>
          <t>1621</t>
        </is>
      </c>
      <c r="C10" s="81" t="inlineStr"/>
      <c r="D10" s="81" t="inlineStr"/>
      <c r="E10" s="81" t="inlineStr"/>
      <c r="F10" s="81" t="inlineStr">
        <is>
          <t>Stinge datoria. Dacă o umfli cu dobânda, 1621 ajunge pe debit</t>
        </is>
      </c>
    </row>
    <row r="11">
      <c r="A11" s="81" t="inlineStr">
        <is>
          <t>Dobânda</t>
        </is>
      </c>
      <c r="B11" s="81" t="inlineStr">
        <is>
          <t>666</t>
        </is>
      </c>
      <c r="C11" s="81" t="inlineStr"/>
      <c r="D11" s="81" t="inlineStr"/>
      <c r="E11" s="81" t="inlineStr"/>
      <c r="F11" s="81" t="inlineStr">
        <is>
          <t>Cheltuială financiară. Dacă o pui pe 1621, rămâi cu sold la finalul creditului</t>
        </is>
      </c>
    </row>
    <row r="12">
      <c r="A12" s="81" t="inlineStr">
        <is>
          <t>Comisioane</t>
        </is>
      </c>
      <c r="B12" s="81" t="inlineStr">
        <is>
          <t>627</t>
        </is>
      </c>
      <c r="C12" s="81" t="inlineStr"/>
      <c r="D12" s="81" t="inlineStr"/>
      <c r="E12" s="81" t="inlineStr"/>
      <c r="F12" s="81" t="inlineStr">
        <is>
          <t>Cheltuială cu serviciile bancare, separată de dobândă</t>
        </is>
      </c>
    </row>
    <row r="13">
      <c r="A13" s="81" t="inlineStr">
        <is>
          <t>Dobânda neajunsă la scadență</t>
        </is>
      </c>
      <c r="B13" s="81" t="inlineStr">
        <is>
          <t>1682</t>
        </is>
      </c>
      <c r="C13" s="81" t="inlineStr"/>
      <c r="D13" s="81" t="inlineStr"/>
      <c r="E13" s="81" t="inlineStr"/>
      <c r="F13" s="81" t="inlineStr">
        <is>
          <t>Se calculează, nu se plătește încă</t>
        </is>
      </c>
    </row>
    <row r="15">
      <c r="A15" s="80" t="inlineStr">
        <is>
          <t>Tabel C — LIMITĂRI DECLARATE ale modulului</t>
        </is>
      </c>
    </row>
    <row r="16">
      <c r="A16" s="83" t="inlineStr">
        <is>
          <t>Ce NU tratează</t>
        </is>
      </c>
      <c r="B16" s="83" t="inlineStr">
        <is>
          <t>De ce</t>
        </is>
      </c>
      <c r="C16" s="83" t="inlineStr">
        <is>
          <t>Ce faci</t>
        </is>
      </c>
      <c r="D16" s="83" t="inlineStr"/>
      <c r="E16" s="83" t="inlineStr"/>
      <c r="F16" s="83" t="inlineStr">
        <is>
          <t>Efect dacă îl ignori</t>
        </is>
      </c>
    </row>
    <row r="17">
      <c r="A17" s="81" t="inlineStr">
        <is>
          <t>Linii de credit revolving</t>
        </is>
      </c>
      <c r="B17" s="81" t="inlineStr">
        <is>
          <t>Soldul fluctuează în ambele sensuri în cursul lunii, deci nu există o „rată” unică.</t>
        </is>
      </c>
      <c r="C17" s="81" t="inlineStr">
        <is>
          <t>Reevaluează soldul la finalul lunii; tratează tragerile separat.</t>
        </is>
      </c>
      <c r="D17" s="81" t="inlineStr"/>
      <c r="E17" s="81" t="inlineStr"/>
      <c r="F17" s="81" t="inlineStr">
        <is>
          <t>Diferențele de curs pe trageri intermediare rămân neînregistrate</t>
        </is>
      </c>
    </row>
    <row r="18">
      <c r="A18" s="81" t="inlineStr">
        <is>
          <t>Instrumente de acoperire a riscului valutar (hedging)</t>
        </is>
      </c>
      <c r="B18" s="81" t="inlineStr">
        <is>
          <t>Contabilitatea de acoperire are reguli proprii (OMFP 1802, cap. dedicat).</t>
        </is>
      </c>
      <c r="C18" s="81" t="inlineStr">
        <is>
          <t>Tratează separat; nu compensa în 665/765.</t>
        </is>
      </c>
      <c r="D18" s="81" t="inlineStr"/>
      <c r="E18" s="81" t="inlineStr"/>
      <c r="F18" s="81" t="inlineStr">
        <is>
          <t>Rezultatul financiar apare volatil fără motiv</t>
        </is>
      </c>
    </row>
    <row r="19">
      <c r="A19" s="81" t="inlineStr">
        <is>
          <t>Credite cu dobândă variabilă recalculată retroactiv</t>
        </is>
      </c>
      <c r="B19" s="81" t="inlineStr">
        <is>
          <t>Recalculul schimbă scadențarul pe perioade deja înregistrate.</t>
        </is>
      </c>
      <c r="C19" s="81" t="inlineStr">
        <is>
          <t>Reia scadențarul nou și corectează perioadele afectate.</t>
        </is>
      </c>
      <c r="D19" s="81" t="inlineStr"/>
      <c r="E19" s="81" t="inlineStr"/>
      <c r="F19" s="81" t="inlineStr">
        <is>
          <t>Dobânda înregistrată nu corespunde cu cea datorată</t>
        </is>
      </c>
    </row>
    <row r="20">
      <c r="A20" s="81" t="inlineStr">
        <is>
          <t>Costuri de tranzacție amortizate (metoda dobânzii efective)</t>
        </is>
      </c>
      <c r="B20" s="81" t="inlineStr">
        <is>
          <t>Comisioanele inițiale se pot amortiza pe durata creditului.</t>
        </is>
      </c>
      <c r="C20" s="81" t="inlineStr">
        <is>
          <t>Dacă politica firmei o cere, tratează prin 471.</t>
        </is>
      </c>
      <c r="D20" s="81" t="inlineStr"/>
      <c r="E20" s="81" t="inlineStr"/>
      <c r="F20" s="81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MOD_CREDIT_VALUTA — Jurnale (generate automat)</t>
        </is>
      </c>
    </row>
    <row r="2">
      <c r="A2" s="79" t="inlineStr">
        <is>
          <t>Blocurile de diferență se activează după semn: nefavorabilă pe 665, favorabilă pe 765. Doar unul dintre ele are sumă.</t>
        </is>
      </c>
    </row>
    <row r="4">
      <c r="A4" s="80" t="inlineStr">
        <is>
          <t>Bloc 1 — Rata de capital și diferența la plată</t>
        </is>
      </c>
    </row>
    <row r="5">
      <c r="A5" s="81" t="inlineStr">
        <is>
          <t>Data jurnal:</t>
        </is>
      </c>
      <c r="B5" s="81" t="str">
        <f>Declarații_CREDIT_VALUTA!B8</f>
        <v>2026-07-15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Declarații_CREDIT_VALUTA!B37</f>
        <v>1621</v>
      </c>
      <c r="C8" s="81">
        <f>Declarații_CREDIT_VALUTA!B27</f>
        <v>24850</v>
      </c>
      <c r="D8" s="81" t="str">
        <f>"Rambursare rată de capital" &amp; Declarații_CREDIT_VALUTA!B54</f>
        <v>Rambursare rată de capital - CR-2026-001 - 2026-07</v>
      </c>
      <c r="E8" s="81" t="str">
        <f>Declarații_CREDIT_VALUTA!B39</f>
        <v>5124</v>
      </c>
      <c r="F8" s="81">
        <f>Declarații_CREDIT_VALUTA!B28</f>
        <v>24950</v>
      </c>
      <c r="G8" s="81" t="str">
        <f>"Plata ratei din contul în valută" &amp; Declarații_CREDIT_VALUTA!B54</f>
        <v>Plata ratei din contul în valută - CR-2026-001 - 2026-07</v>
      </c>
    </row>
    <row r="9">
      <c r="A9" s="81" t="n">
        <v>2</v>
      </c>
      <c r="B9" s="81">
        <f>Declarații_CREDIT_VALUTA!B43</f>
        <v>665</v>
      </c>
      <c r="C9" s="81">
        <f>MAX(0,Declarații_CREDIT_VALUTA!B29)</f>
        <v>100</v>
      </c>
      <c r="D9" s="81" t="str">
        <f>"Diferență de curs nefavorabilă la plată" &amp; Declarații_CREDIT_VALUTA!B54</f>
        <v>Diferență de curs nefavorabilă la plată - CR-2026-001 - 2026-07</v>
      </c>
    </row>
    <row r="10">
      <c r="A10" s="81" t="n">
        <v>3</v>
      </c>
      <c r="E10" s="81">
        <f>Declarații_CREDIT_VALUTA!B44</f>
        <v>765</v>
      </c>
      <c r="F10" s="81">
        <f>MAX(0,-Declarații_CREDIT_VALUTA!B29)</f>
        <v>0</v>
      </c>
      <c r="G10" s="81" t="str">
        <f>"Diferență de curs favorabilă la plată" &amp; Declarații_CREDIT_VALUTA!B54</f>
        <v>Diferență de curs favorabilă la plată - CR-2026-001 - 2026-07</v>
      </c>
    </row>
    <row r="12">
      <c r="A12" s="81" t="inlineStr">
        <is>
          <t>Check Σ (structural)</t>
        </is>
      </c>
      <c r="B12" s="81">
        <f>SUM(C8:C10)-SUM(F8:F10)</f>
        <v>0</v>
      </c>
      <c r="C12" s="81" t="str">
        <f>IF(ABS(B12)&lt;0.01,"OK — nota se închide","EROARE")</f>
        <v>OK — nota se închide</v>
      </c>
    </row>
    <row r="13">
      <c r="A13" s="81" t="inlineStr">
        <is>
          <t>Check exclusivitate 665/665</t>
        </is>
      </c>
      <c r="B13" s="81">
        <f>IF(AND(C9&gt;0.005,F10&gt;0.005),1,0)</f>
        <v>0</v>
      </c>
      <c r="C13" s="81" t="str">
        <f>IF(B13=0,"OK — o singură diferență, într-un singur sens","EROARE — 665 și 765 nu pot avea ambele sumă")</f>
        <v>OK — o singură diferență, într-un singur sens</v>
      </c>
    </row>
    <row r="15">
      <c r="A15" s="80" t="inlineStr">
        <is>
          <t>Bloc 2 — Dobânda</t>
        </is>
      </c>
    </row>
    <row r="16">
      <c r="A16" s="81" t="inlineStr">
        <is>
          <t>Data jurnal:</t>
        </is>
      </c>
      <c r="B16" s="81" t="str">
        <f>Declarații_CREDIT_VALUTA!B8</f>
        <v>2026-07-15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Declarații_CREDIT_VALUTA!B41</f>
        <v>666</v>
      </c>
      <c r="C19" s="81">
        <f>Declarații_CREDIT_VALUTA!B30</f>
        <v>998</v>
      </c>
      <c r="D19" s="81" t="str">
        <f>"Dobândă aferentă creditului" &amp; Declarații_CREDIT_VALUTA!B54</f>
        <v>Dobândă aferentă creditului - CR-2026-001 - 2026-07</v>
      </c>
      <c r="E19" s="81" t="str">
        <f>Declarații_CREDIT_VALUTA!B39</f>
        <v>5124</v>
      </c>
      <c r="F19" s="81">
        <f>Declarații_CREDIT_VALUTA!B30</f>
        <v>998</v>
      </c>
      <c r="G19" s="81" t="str">
        <f>"Plata dobânzii din contul în valută" &amp; Declarații_CREDIT_VALUTA!B54</f>
        <v>Plata dobânzii din contul în valută - CR-2026-001 - 2026-07</v>
      </c>
    </row>
    <row r="21">
      <c r="A21" s="81" t="inlineStr">
        <is>
          <t>Check Σ (structural)</t>
        </is>
      </c>
      <c r="B21" s="81">
        <f>C19-F19</f>
        <v>0</v>
      </c>
      <c r="C21" s="81" t="str">
        <f>IF(ABS(B21)&lt;0.01,"OK — nota se închide","EROARE")</f>
        <v>OK — nota se închide</v>
      </c>
    </row>
    <row r="23">
      <c r="A23" s="80" t="inlineStr">
        <is>
          <t>Bloc 3 — Comisioane bancare</t>
        </is>
      </c>
    </row>
    <row r="24">
      <c r="A24" s="81" t="inlineStr">
        <is>
          <t>Data jurnal:</t>
        </is>
      </c>
      <c r="B24" s="81" t="str">
        <f>Declarații_CREDIT_VALUTA!B8</f>
        <v>2026-07-15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>
        <f>Declarații_CREDIT_VALUTA!B42</f>
        <v>627</v>
      </c>
      <c r="C27" s="81">
        <f>Declarații_CREDIT_VALUTA!B21</f>
        <v>50</v>
      </c>
      <c r="D27" s="81" t="str">
        <f>"Comisioane bancare aferente creditului" &amp; Declarații_CREDIT_VALUTA!B54</f>
        <v>Comisioane bancare aferente creditului - CR-2026-001 - 2026-07</v>
      </c>
      <c r="E27" s="81" t="str">
        <f>Declarații_CREDIT_VALUTA!B40</f>
        <v>5121</v>
      </c>
      <c r="F27" s="81">
        <f>Declarații_CREDIT_VALUTA!B21</f>
        <v>50</v>
      </c>
      <c r="G27" s="81" t="str">
        <f>"Plata comisioanelor" &amp; Declarații_CREDIT_VALUTA!B54</f>
        <v>Plata comisioanelor - CR-2026-001 - 2026-07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1">
      <c r="A31" s="80" t="inlineStr">
        <is>
          <t>Bloc 4 — Reevaluarea soldului (PASUL CARE SE UITĂ)</t>
        </is>
      </c>
    </row>
    <row r="32">
      <c r="A32" s="81" t="inlineStr">
        <is>
          <t>Data jurnal:</t>
        </is>
      </c>
      <c r="B32" s="81" t="str">
        <f>Declarații_CREDIT_VALUTA!B9</f>
        <v>2026-07-31</v>
      </c>
    </row>
    <row r="34">
      <c r="A34" s="83" t="inlineStr">
        <is>
          <t>Nr</t>
        </is>
      </c>
      <c r="B34" s="83" t="inlineStr">
        <is>
          <t>Cont Dr</t>
        </is>
      </c>
      <c r="C34" s="83" t="inlineStr">
        <is>
          <t>Sumă Dr</t>
        </is>
      </c>
      <c r="D34" s="83" t="inlineStr">
        <is>
          <t>Descriere Dr</t>
        </is>
      </c>
      <c r="E34" s="83" t="inlineStr">
        <is>
          <t>Cont Cr</t>
        </is>
      </c>
      <c r="F34" s="83" t="inlineStr">
        <is>
          <t>Sumă Cr</t>
        </is>
      </c>
      <c r="G34" s="83" t="inlineStr">
        <is>
          <t>Descriere Cr</t>
        </is>
      </c>
    </row>
    <row r="35">
      <c r="A35" s="81" t="n">
        <v>1</v>
      </c>
      <c r="B35" s="81">
        <f>Declarații_CREDIT_VALUTA!B43</f>
        <v>665</v>
      </c>
      <c r="C35" s="81">
        <f>MAX(0,Declarații_CREDIT_VALUTA!B34)</f>
        <v>600</v>
      </c>
      <c r="D35" s="81" t="str">
        <f>"Reevaluare sold credit — diferență nefavorabilă" &amp; Declarații_CREDIT_VALUTA!B54</f>
        <v>Reevaluare sold credit — diferență nefavorabilă - CR-2026-001 - 2026-07</v>
      </c>
      <c r="E35" s="81" t="str">
        <f>Declarații_CREDIT_VALUTA!B37</f>
        <v>1621</v>
      </c>
      <c r="F35" s="81">
        <f>MAX(0,Declarații_CREDIT_VALUTA!B34)</f>
        <v>600</v>
      </c>
      <c r="G35" s="81" t="str">
        <f>"Creșterea datoriei din reevaluare" &amp; Declarații_CREDIT_VALUTA!B54</f>
        <v>Creșterea datoriei din reevaluare - CR-2026-001 - 2026-07</v>
      </c>
    </row>
    <row r="36">
      <c r="A36" s="81" t="n">
        <v>2</v>
      </c>
      <c r="B36" s="81" t="str">
        <f>Declarații_CREDIT_VALUTA!B37</f>
        <v>1621</v>
      </c>
      <c r="C36" s="81">
        <f>MAX(0,-Declarații_CREDIT_VALUTA!B34)</f>
        <v>0</v>
      </c>
      <c r="D36" s="81" t="str">
        <f>"Diminuarea datoriei din reevaluare" &amp; Declarații_CREDIT_VALUTA!B54</f>
        <v>Diminuarea datoriei din reevaluare - CR-2026-001 - 2026-07</v>
      </c>
      <c r="E36" s="81">
        <f>Declarații_CREDIT_VALUTA!B44</f>
        <v>765</v>
      </c>
      <c r="F36" s="81">
        <f>MAX(0,-Declarații_CREDIT_VALUTA!B34)</f>
        <v>0</v>
      </c>
      <c r="G36" s="81" t="str">
        <f>"Reevaluare sold credit — diferență favorabilă" &amp; Declarații_CREDIT_VALUTA!B54</f>
        <v>Reevaluare sold credit — diferență favorabilă - CR-2026-001 - 2026-07</v>
      </c>
    </row>
    <row r="38">
      <c r="A38" s="81" t="inlineStr">
        <is>
          <t>Check Σ (structural)</t>
        </is>
      </c>
      <c r="B38" s="81">
        <f>SUM(C35:C36)-SUM(F35:F36)</f>
        <v>0</v>
      </c>
      <c r="C38" s="81" t="str">
        <f>IF(ABS(B38)&lt;0.01,"OK — nota se închide","EROARE")</f>
        <v>OK — nota se închide</v>
      </c>
    </row>
    <row r="39">
      <c r="A39" s="81" t="inlineStr">
        <is>
          <t>Check sold final</t>
        </is>
      </c>
      <c r="B39" s="81">
        <f>Declarații_CREDIT_VALUTA!B33</f>
        <v>75150</v>
      </c>
      <c r="C39" s="81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9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MOD_CREDIT_VALUTA — Notă pentru import (1 rând = 1 înregistrare)</t>
        </is>
      </c>
    </row>
    <row r="2">
      <c r="A2" s="79" t="inlineStr">
        <is>
          <t>Filtrează pe Include = DA. Rândurile de diferență cu sumă zero ies singure.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Rata + diferență</t>
        </is>
      </c>
      <c r="C5" s="81" t="str">
        <f>Declarații_CREDIT_VALUTA!B8</f>
        <v>2026-07-15</v>
      </c>
      <c r="D5" s="81" t="str">
        <f>Jurnale_CREDIT_VALUTA!B8</f>
        <v>1621</v>
      </c>
      <c r="E5" s="81" t="str">
        <f>Jurnale_CREDIT_VALUTA!E8</f>
        <v>5124</v>
      </c>
      <c r="F5" s="81">
        <f>MAX(N(Jurnale_CREDIT_VALUTA!C8),N(Jurnale_CREDIT_VALUTA!F8))</f>
        <v>24950</v>
      </c>
      <c r="G5" s="81" t="str">
        <f>Jurnale_CREDIT_VALUTA!D8</f>
        <v>Rambursare rată de capital - CR-2026-001 - 2026-07</v>
      </c>
      <c r="H5" s="81" t="inlineStr">
        <is>
          <t>Scadențar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1 — Rata + diferență</t>
        </is>
      </c>
      <c r="C6" s="81" t="str">
        <f>Declarații_CREDIT_VALUTA!B8</f>
        <v>2026-07-15</v>
      </c>
      <c r="D6" s="81">
        <f>Jurnale_CREDIT_VALUTA!B9</f>
        <v>665</v>
      </c>
      <c r="E6" s="81">
        <f>Jurnale_CREDIT_VALUTA!E9</f>
        <v>0</v>
      </c>
      <c r="F6" s="81">
        <f>MAX(N(Jurnale_CREDIT_VALUTA!C9),N(Jurnale_CREDIT_VALUTA!F9))</f>
        <v>100</v>
      </c>
      <c r="G6" s="81" t="str">
        <f>Jurnale_CREDIT_VALUTA!D9</f>
        <v>Diferență de curs nefavorabilă la plată - CR-2026-001 - 2026-07</v>
      </c>
      <c r="H6" s="81" t="inlineStr">
        <is>
          <t>Scadențar + extras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1 — Rata + diferență</t>
        </is>
      </c>
      <c r="C7" s="81" t="str">
        <f>Declarații_CREDIT_VALUTA!B8</f>
        <v>2026-07-15</v>
      </c>
      <c r="D7" s="81">
        <f>Jurnale_CREDIT_VALUTA!B10</f>
        <v>0</v>
      </c>
      <c r="E7" s="81">
        <f>Jurnale_CREDIT_VALUTA!E10</f>
        <v>765</v>
      </c>
      <c r="F7" s="81">
        <f>MAX(N(Jurnale_CREDIT_VALUTA!C10),N(Jurnale_CREDIT_VALUTA!F10))</f>
        <v>0</v>
      </c>
      <c r="G7" s="81">
        <f>Jurnale_CREDIT_VALUTA!D10</f>
        <v>0</v>
      </c>
      <c r="H7" s="81" t="inlineStr">
        <is>
          <t>Scadențar + extras</t>
        </is>
      </c>
      <c r="I7" s="81" t="str">
        <f>IF(N(F7)&gt;0.005,"DA","NU")</f>
        <v>NU</v>
      </c>
    </row>
    <row r="8">
      <c r="A8" s="81" t="n">
        <v>4</v>
      </c>
      <c r="B8" s="81" t="inlineStr">
        <is>
          <t>Bloc 2 — Dobânda</t>
        </is>
      </c>
      <c r="C8" s="81" t="str">
        <f>Declarații_CREDIT_VALUTA!B8</f>
        <v>2026-07-15</v>
      </c>
      <c r="D8" s="81">
        <f>Jurnale_CREDIT_VALUTA!B19</f>
        <v>666</v>
      </c>
      <c r="E8" s="81" t="str">
        <f>Jurnale_CREDIT_VALUTA!E19</f>
        <v>5124</v>
      </c>
      <c r="F8" s="81">
        <f>MAX(N(Jurnale_CREDIT_VALUTA!C19),N(Jurnale_CREDIT_VALUTA!F19))</f>
        <v>998</v>
      </c>
      <c r="G8" s="81" t="str">
        <f>Jurnale_CREDIT_VALUTA!D19</f>
        <v>Dobândă aferentă creditului - CR-2026-001 - 2026-07</v>
      </c>
      <c r="H8" s="81" t="inlineStr">
        <is>
          <t>Scadențar + extras</t>
        </is>
      </c>
      <c r="I8" s="81" t="str">
        <f>IF(N(F8)&gt;0.005,"DA","NU")</f>
        <v>DA</v>
      </c>
    </row>
    <row r="9">
      <c r="A9" s="81" t="n">
        <v>5</v>
      </c>
      <c r="B9" s="81" t="inlineStr">
        <is>
          <t>Bloc 3 — Comisioane</t>
        </is>
      </c>
      <c r="C9" s="81" t="str">
        <f>Declarații_CREDIT_VALUTA!B8</f>
        <v>2026-07-15</v>
      </c>
      <c r="D9" s="81">
        <f>Jurnale_CREDIT_VALUTA!B27</f>
        <v>627</v>
      </c>
      <c r="E9" s="81" t="str">
        <f>Jurnale_CREDIT_VALUTA!E27</f>
        <v>5121</v>
      </c>
      <c r="F9" s="81">
        <f>MAX(N(Jurnale_CREDIT_VALUTA!C27),N(Jurnale_CREDIT_VALUTA!F27))</f>
        <v>50</v>
      </c>
      <c r="G9" s="81" t="str">
        <f>Jurnale_CREDIT_VALUTA!D27</f>
        <v>Comisioane bancare aferente creditului - CR-2026-001 - 2026-07</v>
      </c>
      <c r="H9" s="81" t="inlineStr">
        <is>
          <t>Scadențar + extras</t>
        </is>
      </c>
      <c r="I9" s="81" t="str">
        <f>IF(N(F9)&gt;0.005,"DA","NU")</f>
        <v>DA</v>
      </c>
    </row>
    <row r="10">
      <c r="A10" s="81" t="n">
        <v>6</v>
      </c>
      <c r="B10" s="81" t="inlineStr">
        <is>
          <t>Bloc 4 — Reevaluare</t>
        </is>
      </c>
      <c r="C10" s="81" t="str">
        <f>Declarații_CREDIT_VALUTA!B9</f>
        <v>2026-07-31</v>
      </c>
      <c r="D10" s="81">
        <f>Jurnale_CREDIT_VALUTA!B35</f>
        <v>665</v>
      </c>
      <c r="E10" s="81" t="str">
        <f>Jurnale_CREDIT_VALUTA!E35</f>
        <v>1621</v>
      </c>
      <c r="F10" s="81">
        <f>MAX(N(Jurnale_CREDIT_VALUTA!C35),N(Jurnale_CREDIT_VALUTA!F35))</f>
        <v>600</v>
      </c>
      <c r="G10" s="81" t="str">
        <f>Jurnale_CREDIT_VALUTA!D35</f>
        <v>Reevaluare sold credit — diferență nefavorabilă - CR-2026-001 - 2026-07</v>
      </c>
      <c r="H10" s="81" t="inlineStr">
        <is>
          <t>Scadențar + extras</t>
        </is>
      </c>
      <c r="I10" s="81" t="str">
        <f>IF(N(F10)&gt;0.005,"DA","NU")</f>
        <v>DA</v>
      </c>
    </row>
    <row r="11">
      <c r="A11" s="81" t="n">
        <v>7</v>
      </c>
      <c r="B11" s="81" t="inlineStr">
        <is>
          <t>Bloc 4 — Reevaluare</t>
        </is>
      </c>
      <c r="C11" s="81" t="str">
        <f>Declarații_CREDIT_VALUTA!B9</f>
        <v>2026-07-31</v>
      </c>
      <c r="D11" s="81" t="str">
        <f>Jurnale_CREDIT_VALUTA!B36</f>
        <v>1621</v>
      </c>
      <c r="E11" s="81">
        <f>Jurnale_CREDIT_VALUTA!E36</f>
        <v>765</v>
      </c>
      <c r="F11" s="81">
        <f>MAX(N(Jurnale_CREDIT_VALUTA!C36),N(Jurnale_CREDIT_VALUTA!F36))</f>
        <v>0</v>
      </c>
      <c r="G11" s="81" t="str">
        <f>Jurnale_CREDIT_VALUTA!D36</f>
        <v>Diminuarea datoriei din reevaluare - CR-2026-001 - 2026-07</v>
      </c>
      <c r="H11" s="81" t="inlineStr">
        <is>
          <t>Scadențar + extras</t>
        </is>
      </c>
      <c r="I11" s="81" t="str">
        <f>IF(N(F11)&gt;0.005,"DA","NU")</f>
        <v>NU</v>
      </c>
    </row>
    <row r="13">
      <c r="A13" s="81" t="inlineStr">
        <is>
          <t>Rânduri de importat (Include=DA)</t>
        </is>
      </c>
      <c r="B13" s="81">
        <f>COUNTIF(I5:I11,"DA")</f>
        <v>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8" t="inlineStr">
        <is>
          <t>MOD_PROVIZION — Declarații (input)</t>
        </is>
      </c>
    </row>
    <row r="2">
      <c r="A2" s="79" t="inlineStr">
        <is>
          <t>Tipul provizionului comandă contul ȘI deductibilitatea. Valorile implicite reproduc monografia din F-106 (litigiu, 8.000 lei).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Obiectul provizionului</t>
        </is>
      </c>
      <c r="B6" s="82" t="inlineStr">
        <is>
          <t>Litigiu comercial cu clientul X</t>
        </is>
      </c>
    </row>
    <row r="7">
      <c r="A7" s="81" t="inlineStr">
        <is>
          <t>Data constituirii</t>
        </is>
      </c>
      <c r="B7" s="82" t="inlineStr">
        <is>
          <t>2026-12-31</t>
        </is>
      </c>
      <c r="C7" s="79" t="inlineStr">
        <is>
          <t>Exercițiul în care s-a NĂSCUT obligația, nu cel în care se plătește</t>
        </is>
      </c>
    </row>
    <row r="8">
      <c r="A8" s="81" t="inlineStr">
        <is>
          <t>Data reluării</t>
        </is>
      </c>
      <c r="B8" s="82" t="inlineStr">
        <is>
          <t>2027-04-30</t>
        </is>
      </c>
    </row>
    <row r="10">
      <c r="A10" s="80" t="inlineStr">
        <is>
          <t>2. Provizionul</t>
        </is>
      </c>
    </row>
    <row r="11">
      <c r="A11" s="81" t="inlineStr">
        <is>
          <t>Tip (LITIGII / GARANTII / RESTRUCTURARE / IMPOZITE / TERMINARE / ALTE)</t>
        </is>
      </c>
      <c r="B11" s="82" t="inlineStr">
        <is>
          <t>LITIGII</t>
        </is>
      </c>
    </row>
    <row r="12">
      <c r="A12" s="81" t="inlineStr">
        <is>
          <t>Sumă estimată</t>
        </is>
      </c>
      <c r="B12" s="82" t="n">
        <v>8000</v>
      </c>
      <c r="C12" s="79" t="inlineStr">
        <is>
          <t>Estimare credibilă la data bilanțului; se revizuiește la fiecare bilanț</t>
        </is>
      </c>
    </row>
    <row r="14">
      <c r="A14" s="80" t="inlineStr">
        <is>
          <t>3. Cheltuiala efectivă (anul următor)</t>
        </is>
      </c>
    </row>
    <row r="15">
      <c r="A15" s="81" t="inlineStr">
        <is>
          <t>Sumă facturată efectiv</t>
        </is>
      </c>
      <c r="B15" s="82" t="n">
        <v>8000</v>
      </c>
    </row>
    <row r="16">
      <c r="A16" s="81" t="inlineStr">
        <is>
          <t>TVA pe factură</t>
        </is>
      </c>
      <c r="B16" s="81">
        <f>ROUND(B15*Parametri!B10,2)</f>
        <v>1680</v>
      </c>
    </row>
    <row r="18">
      <c r="A18" s="80" t="inlineStr">
        <is>
          <t>4. Calcul automat (nu edita)</t>
        </is>
      </c>
    </row>
    <row r="19">
      <c r="A19" s="81" t="inlineStr">
        <is>
          <t>Cont provizion</t>
        </is>
      </c>
      <c r="B19" s="81" t="str">
        <f>IFERROR(VLOOKUP(B11,Reguli_PROVIZION!$A$6:$E$11,3,FALSE),"?")</f>
        <v>1511</v>
      </c>
    </row>
    <row r="20">
      <c r="A20" s="81" t="inlineStr">
        <is>
          <t>Deductibil fiscal?</t>
        </is>
      </c>
      <c r="B20" s="81" t="str">
        <f>IFERROR(VLOOKUP(B11,Reguli_PROVIZION!$A$6:$E$11,4,FALSE),"?")</f>
        <v>NU</v>
      </c>
    </row>
    <row r="21">
      <c r="A21" s="81" t="inlineStr">
        <is>
          <t>Temei</t>
        </is>
      </c>
      <c r="B21" s="81" t="str">
        <f>IFERROR(VLOOKUP(B11,Reguli_PROVIZION!$A$6:$E$11,5,FALSE),"tip necunoscut")</f>
        <v>art. 26 CF nu îl enumeră printre cele deductibile</v>
      </c>
    </row>
    <row r="22">
      <c r="A22" s="81" t="inlineStr">
        <is>
          <t>Efect fiscal la constituire</t>
        </is>
      </c>
      <c r="B22" s="81">
        <f>IF(B20="DA",0,ROUND(B12*param_cota_impozit_profit,2))</f>
        <v>1280</v>
      </c>
      <c r="C22" s="79" t="inlineStr">
        <is>
          <t>Impozit suplimentar de plătit dacă provizionul e nedeductibil</t>
        </is>
      </c>
    </row>
    <row r="24">
      <c r="A24" s="80" t="inlineStr">
        <is>
          <t>5. Conturi</t>
        </is>
      </c>
    </row>
    <row r="25">
      <c r="A25" s="81" t="inlineStr">
        <is>
          <t>Cont cheltuială cu provizioane</t>
        </is>
      </c>
      <c r="B25" s="82" t="n">
        <v>6812</v>
      </c>
    </row>
    <row r="26">
      <c r="A26" s="81" t="inlineStr">
        <is>
          <t>Cont venit din reluarea provizioanelor</t>
        </is>
      </c>
      <c r="B26" s="82" t="n">
        <v>7812</v>
      </c>
    </row>
    <row r="27">
      <c r="A27" s="81" t="inlineStr">
        <is>
          <t>Cont cheltuială efectivă</t>
        </is>
      </c>
      <c r="B27" s="82" t="n">
        <v>628</v>
      </c>
      <c r="C27" s="79" t="inlineStr">
        <is>
          <t>Contul real al cheltuielii — NU contul de provizion</t>
        </is>
      </c>
    </row>
    <row r="28">
      <c r="A28" s="81" t="inlineStr">
        <is>
          <t>Cont TVA deductibilă</t>
        </is>
      </c>
      <c r="B28" s="82" t="n">
        <v>4426</v>
      </c>
    </row>
    <row r="29">
      <c r="A29" s="81" t="inlineStr">
        <is>
          <t>Cont furnizor</t>
        </is>
      </c>
      <c r="B29" s="82" t="inlineStr">
        <is>
          <t>401</t>
        </is>
      </c>
    </row>
    <row r="31">
      <c r="A31" s="80" t="inlineStr">
        <is>
          <t>6. Controale</t>
        </is>
      </c>
    </row>
    <row r="32">
      <c r="A32" s="81" t="inlineStr">
        <is>
          <t>Check tip recunoscut</t>
        </is>
      </c>
      <c r="B32" s="81" t="str">
        <f>B19</f>
        <v>1511</v>
      </c>
      <c r="C32" s="81" t="str">
        <f>IF(B19="?","EROARE — tip de provizion necunoscut","OK — cont " &amp; B19)</f>
        <v>OK — cont 1511</v>
      </c>
    </row>
    <row r="33">
      <c r="A33" s="81" t="inlineStr">
        <is>
          <t>Check deductibilitate</t>
        </is>
      </c>
      <c r="B33" s="81">
        <f>B22</f>
        <v>1280</v>
      </c>
      <c r="C33" s="81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81" t="inlineStr">
        <is>
          <t>Reminder: NU e optimizare fiscală</t>
        </is>
      </c>
      <c r="B34" s="81" t="str">
        <f>"regulă"</f>
        <v>regulă</v>
      </c>
      <c r="C34" s="81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81" t="inlineStr">
        <is>
          <t>Reminder: factura NU atinge contul de provizion</t>
        </is>
      </c>
      <c r="B35" s="81">
        <f>B15</f>
        <v>8000</v>
      </c>
      <c r="C35" s="81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81" t="inlineStr">
        <is>
          <t>Check estimare vs. realizat</t>
        </is>
      </c>
      <c r="B36" s="81">
        <f>B15-B12</f>
        <v>0</v>
      </c>
      <c r="C36" s="81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80" t="inlineStr">
        <is>
          <t>7. Sufix generat</t>
        </is>
      </c>
    </row>
    <row r="39">
      <c r="A39" s="81" t="inlineStr">
        <is>
          <t>Sufix</t>
        </is>
      </c>
      <c r="B39" s="81" t="str">
        <f>" - " &amp; B6</f>
        <v> - Litigiu comercial cu clientul X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8" t="inlineStr">
        <is>
          <t>MOD_PROVIZION — Reguli (tabele fixe)</t>
        </is>
      </c>
    </row>
    <row r="2">
      <c r="A2" s="79" t="inlineStr">
        <is>
          <t>Tabelul A e citit de formulele din Declarații. Se editează doar când se schimbă art. 26 din Codul fiscal.</t>
        </is>
      </c>
    </row>
    <row r="4">
      <c r="A4" s="80" t="inlineStr">
        <is>
          <t>Tabel A — Tipuri de provizion, cont și deductibilitate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Deductibil</t>
        </is>
      </c>
      <c r="E5" s="83" t="inlineStr">
        <is>
          <t>Temei</t>
        </is>
      </c>
    </row>
    <row r="6">
      <c r="A6" s="81" t="inlineStr">
        <is>
          <t>LITIGII</t>
        </is>
      </c>
      <c r="B6" s="81" t="inlineStr">
        <is>
          <t>Provizioane pentru litigii</t>
        </is>
      </c>
      <c r="C6" s="81" t="inlineStr">
        <is>
          <t>1511</t>
        </is>
      </c>
      <c r="D6" s="81" t="inlineStr">
        <is>
          <t>NU</t>
        </is>
      </c>
      <c r="E6" s="81" t="inlineStr">
        <is>
          <t>art. 26 CF nu îl enumeră printre cele deductibile</t>
        </is>
      </c>
    </row>
    <row r="7">
      <c r="A7" s="81" t="inlineStr">
        <is>
          <t>GARANTII</t>
        </is>
      </c>
      <c r="B7" s="81" t="inlineStr">
        <is>
          <t>Provizioane pentru garanții acordate clienților</t>
        </is>
      </c>
      <c r="C7" s="81" t="inlineStr">
        <is>
          <t>1512</t>
        </is>
      </c>
      <c r="D7" s="81" t="inlineStr">
        <is>
          <t>DA</t>
        </is>
      </c>
      <c r="E7" s="81" t="inlineStr">
        <is>
          <t>art. 26 alin. (1) lit. b) CF — în limita cotei prevăzute în contracte</t>
        </is>
      </c>
    </row>
    <row r="8">
      <c r="A8" s="81" t="inlineStr">
        <is>
          <t>RESTRUCTURARE</t>
        </is>
      </c>
      <c r="B8" s="81" t="inlineStr">
        <is>
          <t>Provizioane pentru restructurare</t>
        </is>
      </c>
      <c r="C8" s="81" t="inlineStr">
        <is>
          <t>1514</t>
        </is>
      </c>
      <c r="D8" s="81" t="inlineStr">
        <is>
          <t>NU</t>
        </is>
      </c>
      <c r="E8" s="81" t="inlineStr">
        <is>
          <t>nu figurează printre cele deductibile</t>
        </is>
      </c>
    </row>
    <row r="9">
      <c r="A9" s="81" t="inlineStr">
        <is>
          <t>IMPOZITE</t>
        </is>
      </c>
      <c r="B9" s="81" t="inlineStr">
        <is>
          <t>Provizioane pentru impozite</t>
        </is>
      </c>
      <c r="C9" s="81" t="inlineStr">
        <is>
          <t>1516</t>
        </is>
      </c>
      <c r="D9" s="81" t="inlineStr">
        <is>
          <t>NU</t>
        </is>
      </c>
      <c r="E9" s="81" t="inlineStr">
        <is>
          <t>nu figurează printre cele deductibile</t>
        </is>
      </c>
    </row>
    <row r="10">
      <c r="A10" s="81" t="inlineStr">
        <is>
          <t>TERMINARE</t>
        </is>
      </c>
      <c r="B10" s="81" t="inlineStr">
        <is>
          <t>Provizioane pentru terminarea contractului de muncă</t>
        </is>
      </c>
      <c r="C10" s="81" t="inlineStr">
        <is>
          <t>1517</t>
        </is>
      </c>
      <c r="D10" s="81" t="inlineStr">
        <is>
          <t>NU</t>
        </is>
      </c>
      <c r="E10" s="81" t="inlineStr">
        <is>
          <t>nu figurează printre cele deductibile</t>
        </is>
      </c>
    </row>
    <row r="11">
      <c r="A11" s="81" t="inlineStr">
        <is>
          <t>ALTE</t>
        </is>
      </c>
      <c r="B11" s="81" t="inlineStr">
        <is>
          <t>Alte provizioane</t>
        </is>
      </c>
      <c r="C11" s="81" t="inlineStr">
        <is>
          <t>1518</t>
        </is>
      </c>
      <c r="D11" s="81" t="inlineStr">
        <is>
          <t>NU</t>
        </is>
      </c>
      <c r="E11" s="81" t="inlineStr">
        <is>
          <t>verifică art. 26 CF pentru cazul concret</t>
        </is>
      </c>
    </row>
    <row r="13">
      <c r="A13" s="80" t="inlineStr">
        <is>
          <t>Tabel B — Condițiile de recunoaștere (toate trei, cumulativ)</t>
        </is>
      </c>
    </row>
    <row r="14">
      <c r="A14" s="83" t="inlineStr">
        <is>
          <t>Condiție</t>
        </is>
      </c>
      <c r="B14" s="83" t="inlineStr">
        <is>
          <t>Ce înseamnă</t>
        </is>
      </c>
      <c r="C14" s="83" t="inlineStr"/>
      <c r="D14" s="83" t="inlineStr"/>
      <c r="E14" s="83" t="inlineStr">
        <is>
          <t>Dacă lipsește</t>
        </is>
      </c>
    </row>
    <row r="15">
      <c r="A15" s="81" t="inlineStr">
        <is>
          <t>Obligație actuală</t>
        </is>
      </c>
      <c r="B15" s="81" t="inlineStr">
        <is>
          <t>din eveniment trecut, la data bilanțului</t>
        </is>
      </c>
      <c r="C15" s="81" t="inlineStr"/>
      <c r="D15" s="81" t="inlineStr"/>
      <c r="E15" s="81" t="inlineStr">
        <is>
          <t>Nu e provizion — e o intenție</t>
        </is>
      </c>
    </row>
    <row r="16">
      <c r="A16" s="81" t="inlineStr">
        <is>
          <t>Ieșire probabilă de resurse</t>
        </is>
      </c>
      <c r="B16" s="81" t="inlineStr">
        <is>
          <t>mai degrabă da decât nu</t>
        </is>
      </c>
      <c r="C16" s="81" t="inlineStr"/>
      <c r="D16" s="81" t="inlineStr"/>
      <c r="E16" s="81" t="inlineStr">
        <is>
          <t>Rămâne datorie contingentă — se prezintă în note, nu se înregistrează</t>
        </is>
      </c>
    </row>
    <row r="17">
      <c r="A17" s="81" t="inlineStr">
        <is>
          <t>Estimare credibilă</t>
        </is>
      </c>
      <c r="B17" s="81" t="inlineStr">
        <is>
          <t>suma se poate evalua rezonabil</t>
        </is>
      </c>
      <c r="C17" s="81" t="inlineStr"/>
      <c r="D17" s="81" t="inlineStr"/>
      <c r="E17" s="81" t="inlineStr">
        <is>
          <t>Se prezintă în note, fără sumă</t>
        </is>
      </c>
    </row>
    <row r="19">
      <c r="A19" s="80" t="inlineStr">
        <is>
          <t>Tabel C — LIMITĂRI DECLARATE ale modulului</t>
        </is>
      </c>
    </row>
    <row r="20">
      <c r="A20" s="83" t="inlineStr">
        <is>
          <t>Ce NU tratează</t>
        </is>
      </c>
      <c r="B20" s="83" t="inlineStr">
        <is>
          <t>De ce</t>
        </is>
      </c>
      <c r="C20" s="83" t="inlineStr">
        <is>
          <t>Ce faci</t>
        </is>
      </c>
      <c r="D20" s="83" t="inlineStr"/>
      <c r="E20" s="83" t="inlineStr">
        <is>
          <t>Efect dacă îl ignori</t>
        </is>
      </c>
    </row>
    <row r="21">
      <c r="A21" s="81" t="inlineStr">
        <is>
          <t>Actualizarea provizioanelor pe termen lung</t>
        </is>
      </c>
      <c r="B21" s="81" t="inlineStr">
        <is>
          <t>Provizioanele scadente peste un an se pot actualiza la valoarea prezentă.</t>
        </is>
      </c>
      <c r="C21" s="81" t="inlineStr">
        <is>
          <t>Dacă politica firmei o cere, actualizează și trece diferența pe 686/786.</t>
        </is>
      </c>
      <c r="D21" s="81" t="inlineStr"/>
      <c r="E21" s="81" t="inlineStr">
        <is>
          <t>Provizionul e supraevaluat față de valoarea prezentă</t>
        </is>
      </c>
    </row>
    <row r="22">
      <c r="A22" s="81" t="inlineStr">
        <is>
          <t>Revizuirea la fiecare bilanț</t>
        </is>
      </c>
      <c r="B22" s="81" t="inlineStr">
        <is>
          <t>Modulul tratează un ciclu constituire → reluare, nu ajustările intermediare.</t>
        </is>
      </c>
      <c r="C22" s="81" t="inlineStr">
        <is>
          <t>La fiecare bilanț, reevaluează și ajustează prin aceleași conturi.</t>
        </is>
      </c>
      <c r="D22" s="81" t="inlineStr"/>
      <c r="E22" s="81" t="inlineStr">
        <is>
          <t>Provizionul rămâne la estimarea inițială, care poate fi depășită</t>
        </is>
      </c>
    </row>
    <row r="23">
      <c r="A23" s="81" t="inlineStr">
        <is>
          <t>Provizioane pentru garanții cu cotă contractuală</t>
        </is>
      </c>
      <c r="B23" s="81" t="inlineStr">
        <is>
          <t>Deductibilitatea lor e limitată la cota din contracte, care variază.</t>
        </is>
      </c>
      <c r="C23" s="81" t="inlineStr">
        <is>
          <t>Verifică art. 26 alin. (1) lit. b) și cota din contractul concret.</t>
        </is>
      </c>
      <c r="D23" s="81" t="inlineStr"/>
      <c r="E23" s="81" t="inlineStr">
        <is>
          <t>Partea peste cotă rămâne nedeductibilă și nesemnalată</t>
        </is>
      </c>
    </row>
    <row r="24">
      <c r="A24" s="81" t="inlineStr">
        <is>
          <t>Utilizarea pentru altă cheltuială decât cea constituită</t>
        </is>
      </c>
      <c r="B24" s="81" t="inlineStr">
        <is>
          <t>Interzisă — provizionul e specific obligației.</t>
        </is>
      </c>
      <c r="C24" s="81" t="inlineStr">
        <is>
          <t>Reia provizionul vechi și constituie unul nou.</t>
        </is>
      </c>
      <c r="D24" s="81" t="inlineStr"/>
      <c r="E24" s="81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MOD_PROVIZION — Jurnale (generate automat)</t>
        </is>
      </c>
    </row>
    <row r="2">
      <c r="A2" s="79" t="inlineStr">
        <is>
          <t>Blocul 2 e INDEPENDENT de blocurile 1 și 3: factura se înregistrează pe contul real de cheltuială, nu pe contul de provizion.</t>
        </is>
      </c>
    </row>
    <row r="4">
      <c r="A4" s="80" t="inlineStr">
        <is>
          <t>Bloc 1 — Constituirea provizionului (exercițiul N)</t>
        </is>
      </c>
    </row>
    <row r="5">
      <c r="A5" s="81" t="inlineStr">
        <is>
          <t>Data jurnal:</t>
        </is>
      </c>
      <c r="B5" s="81" t="str">
        <f>Declarații_PROVIZION!B7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Declarații_PROVIZION!B25</f>
        <v>6812</v>
      </c>
      <c r="C8" s="81">
        <f>Declarații_PROVIZION!B12</f>
        <v>8000</v>
      </c>
      <c r="D8" s="81" t="str">
        <f>"Constituire provizion" &amp; Declarații_PROVIZION!B39</f>
        <v>Constituire provizion - Litigiu comercial cu clientul X</v>
      </c>
      <c r="E8" s="81" t="str">
        <f>Declarații_PROVIZION!B19</f>
        <v>1511</v>
      </c>
      <c r="F8" s="81">
        <f>Declarații_PROVIZION!B12</f>
        <v>8000</v>
      </c>
      <c r="G8" s="81" t="str">
        <f>"Provizion constituit" &amp; Declarații_PROVIZION!B39</f>
        <v>Provizion constituit - Litigiu comercial cu clientul X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Declarativ</t>
        </is>
      </c>
      <c r="B11" s="81" t="str">
        <f>Declarații_PROVIZION!B20</f>
        <v>NU</v>
      </c>
      <c r="C11" s="81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80" t="inlineStr">
        <is>
          <t>Bloc 2 — Factura efectivă (exercițiul N+1) — INDEPENDENT</t>
        </is>
      </c>
    </row>
    <row r="14">
      <c r="A14" s="81" t="inlineStr">
        <is>
          <t>Data jurnal:</t>
        </is>
      </c>
      <c r="B14" s="81" t="str">
        <f>Declarații_PROVIZION!B8</f>
        <v>2027-04-30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Declarații_PROVIZION!B27</f>
        <v>628</v>
      </c>
      <c r="C17" s="81">
        <f>Declarații_PROVIZION!B15</f>
        <v>8000</v>
      </c>
      <c r="D17" s="81" t="str">
        <f>"Cheltuiala efectivă, pe contul ei real" &amp; Declarații_PROVIZION!B39</f>
        <v>Cheltuiala efectivă, pe contul ei real - Litigiu comercial cu clientul X</v>
      </c>
      <c r="E17" s="81" t="str">
        <f>Declarații_PROVIZION!B29</f>
        <v>401</v>
      </c>
      <c r="F17" s="81">
        <f>Declarații_PROVIZION!B15+Declarații_PROVIZION!B16</f>
        <v>9680</v>
      </c>
      <c r="G17" s="81" t="str">
        <f>"Datorie față de furnizor" &amp; Declarații_PROVIZION!B39</f>
        <v>Datorie față de furnizor - Litigiu comercial cu clientul X</v>
      </c>
    </row>
    <row r="18">
      <c r="A18" s="81" t="n">
        <v>2</v>
      </c>
      <c r="B18" s="81">
        <f>Declarații_PROVIZION!B28</f>
        <v>4426</v>
      </c>
      <c r="C18" s="81">
        <f>Declarații_PROVIZION!B16</f>
        <v>1680</v>
      </c>
      <c r="D18" s="81" t="str">
        <f>"TVA deductibilă" &amp; Declarații_PROVIZION!B39</f>
        <v>TVA deductibilă - Litigiu comercial cu clientul X</v>
      </c>
    </row>
    <row r="20">
      <c r="A20" s="81" t="inlineStr">
        <is>
          <t>Check Σ (structural)</t>
        </is>
      </c>
      <c r="B20" s="81">
        <f>SUM(C17:C18)-SUM(F17:F18)</f>
        <v>0</v>
      </c>
      <c r="C20" s="81" t="str">
        <f>IF(ABS(B20)&lt;0.01,"OK — nota se închide","EROARE")</f>
        <v>OK — nota se închide</v>
      </c>
    </row>
    <row r="21">
      <c r="A21" s="81" t="inlineStr">
        <is>
          <t>Check: nu atinge contul de provizion</t>
        </is>
      </c>
      <c r="B21" s="81" t="str">
        <f>Declarații_PROVIZION!B19</f>
        <v>1511</v>
      </c>
      <c r="C21" s="81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80" t="inlineStr">
        <is>
          <t>Bloc 3 — Reluarea provizionului (exercițiul N+1)</t>
        </is>
      </c>
    </row>
    <row r="24">
      <c r="A24" s="81" t="inlineStr">
        <is>
          <t>Data jurnal:</t>
        </is>
      </c>
      <c r="B24" s="81" t="str">
        <f>Declarații_PROVIZION!B8</f>
        <v>2027-04-30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 t="str">
        <f>Declarații_PROVIZION!B19</f>
        <v>1511</v>
      </c>
      <c r="C27" s="81">
        <f>Declarații_PROVIZION!B12</f>
        <v>8000</v>
      </c>
      <c r="D27" s="81" t="str">
        <f>"Reluarea provizionului, obligația s-a stins" &amp; Declarații_PROVIZION!B39</f>
        <v>Reluarea provizionului, obligația s-a stins - Litigiu comercial cu clientul X</v>
      </c>
      <c r="E27" s="81">
        <f>Declarații_PROVIZION!B26</f>
        <v>7812</v>
      </c>
      <c r="F27" s="81">
        <f>Declarații_PROVIZION!B12</f>
        <v>8000</v>
      </c>
      <c r="G27" s="81" t="str">
        <f>"Venit din reluarea provizionului" &amp; Declarații_PROVIZION!B39</f>
        <v>Venit din reluarea provizionului - Litigiu comercial cu clientul X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0">
      <c r="A30" s="81" t="inlineStr">
        <is>
          <t>Check sold provizion după reluare</t>
        </is>
      </c>
      <c r="B30" s="81">
        <f>Declarații_PROVIZION!B12-Declarații_PROVIZION!B12</f>
        <v>0</v>
      </c>
      <c r="C30" s="81" t="str">
        <f>IF(ABS(B30)&lt;0.01,"OK — soldul contului de provizion = 0","EROARE")</f>
        <v>OK — soldul contului de provizion = 0</v>
      </c>
    </row>
    <row r="31">
      <c r="A31" s="81" t="inlineStr">
        <is>
          <t>Efect fiscal pe cei doi ani</t>
        </is>
      </c>
      <c r="B31" s="81">
        <f>Declarații_PROVIZION!B22</f>
        <v>1280</v>
      </c>
      <c r="C31" s="81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9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MOD_PROVIZION — Notă pentru import (1 rând = 1 înregistrare)</t>
        </is>
      </c>
    </row>
    <row r="2">
      <c r="A2" s="79" t="inlineStr">
        <is>
          <t>Blocurile 1 și 3 aparțin exercițiilor diferite. Filtrează pe Include = DA și pe dată înainte de import.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Constituire</t>
        </is>
      </c>
      <c r="C5" s="81" t="str">
        <f>Declarații_PROVIZION!B7</f>
        <v>2026-12-31</v>
      </c>
      <c r="D5" s="81">
        <f>Jurnale_PROVIZION!B8</f>
        <v>6812</v>
      </c>
      <c r="E5" s="81" t="str">
        <f>Jurnale_PROVIZION!E8</f>
        <v>1511</v>
      </c>
      <c r="F5" s="81">
        <f>MAX(N(Jurnale_PROVIZION!C8),N(Jurnale_PROVIZION!F8))</f>
        <v>8000</v>
      </c>
      <c r="G5" s="81" t="str">
        <f>Jurnale_PROVIZION!D8</f>
        <v>Constituire provizion - Litigiu comercial cu clientul X</v>
      </c>
      <c r="H5" s="81" t="inlineStr">
        <is>
          <t>Hotărâre + estimare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Factura efectivă</t>
        </is>
      </c>
      <c r="C6" s="81" t="str">
        <f>Declarații_PROVIZION!B8</f>
        <v>2027-04-30</v>
      </c>
      <c r="D6" s="81">
        <f>Jurnale_PROVIZION!B17</f>
        <v>628</v>
      </c>
      <c r="E6" s="81" t="str">
        <f>Jurnale_PROVIZION!E17</f>
        <v>401</v>
      </c>
      <c r="F6" s="81">
        <f>MAX(N(Jurnale_PROVIZION!C17),N(Jurnale_PROVIZION!F17))</f>
        <v>9680</v>
      </c>
      <c r="G6" s="81" t="str">
        <f>Jurnale_PROVIZION!D17</f>
        <v>Cheltuiala efectivă, pe contul ei real - Litigiu comercial cu clientul X</v>
      </c>
      <c r="H6" s="81" t="inlineStr">
        <is>
          <t>Factură furnizor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2 — Factura efectivă</t>
        </is>
      </c>
      <c r="C7" s="81" t="str">
        <f>Declarații_PROVIZION!B8</f>
        <v>2027-04-30</v>
      </c>
      <c r="D7" s="81">
        <f>Jurnale_PROVIZION!B18</f>
        <v>4426</v>
      </c>
      <c r="E7" s="81">
        <f>Jurnale_PROVIZION!E18</f>
        <v>0</v>
      </c>
      <c r="F7" s="81">
        <f>MAX(N(Jurnale_PROVIZION!C18),N(Jurnale_PROVIZION!F18))</f>
        <v>1680</v>
      </c>
      <c r="G7" s="81" t="str">
        <f>Jurnale_PROVIZION!D18</f>
        <v>TVA deductibilă - Litigiu comercial cu clientul X</v>
      </c>
      <c r="H7" s="81" t="inlineStr">
        <is>
          <t>Factură furnizor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Reluare</t>
        </is>
      </c>
      <c r="C8" s="81" t="str">
        <f>Declarații_PROVIZION!B8</f>
        <v>2027-04-30</v>
      </c>
      <c r="D8" s="81" t="str">
        <f>Jurnale_PROVIZION!B27</f>
        <v>1511</v>
      </c>
      <c r="E8" s="81">
        <f>Jurnale_PROVIZION!E27</f>
        <v>7812</v>
      </c>
      <c r="F8" s="81">
        <f>MAX(N(Jurnale_PROVIZION!C27),N(Jurnale_PROVIZION!F27))</f>
        <v>8000</v>
      </c>
      <c r="G8" s="81" t="str">
        <f>Jurnale_PROVIZION!D27</f>
        <v>Reluarea provizionului, obligația s-a stins - Litigiu comercial cu clientul X</v>
      </c>
      <c r="H8" s="81" t="inlineStr">
        <is>
          <t>Notă contabilă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F-207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(F-207)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MOD_SUBVENTIE — Declarații (input)</t>
        </is>
      </c>
    </row>
    <row r="2">
      <c r="A2" s="79" t="inlineStr">
        <is>
          <t>Valorile implicite reproduc monografia din F-210 (utilaj 50.000, subvenție integrală, 60 de luni). Schimbă valoarea subvenției ca să vezi cazul parțial.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Activul finanțat</t>
        </is>
      </c>
      <c r="B6" s="82" t="inlineStr">
        <is>
          <t>Utilaj tehnologic</t>
        </is>
      </c>
    </row>
    <row r="7">
      <c r="A7" s="81" t="inlineStr">
        <is>
          <t>Contract / program de finanțare</t>
        </is>
      </c>
      <c r="B7" s="82" t="inlineStr">
        <is>
          <t>AFIR 2026-114</t>
        </is>
      </c>
    </row>
    <row r="8">
      <c r="A8" s="81" t="inlineStr">
        <is>
          <t>Data încasării subvenției</t>
        </is>
      </c>
      <c r="B8" s="82" t="inlineStr">
        <is>
          <t>2026-03-10</t>
        </is>
      </c>
    </row>
    <row r="9">
      <c r="A9" s="81" t="inlineStr">
        <is>
          <t>Data punerii în funcțiune</t>
        </is>
      </c>
      <c r="B9" s="82" t="inlineStr">
        <is>
          <t>2026-04-01</t>
        </is>
      </c>
    </row>
    <row r="10">
      <c r="A10" s="81" t="inlineStr">
        <is>
          <t>Luna curentă (AAAA-LL)</t>
        </is>
      </c>
      <c r="B10" s="82" t="inlineStr">
        <is>
          <t>2026-07</t>
        </is>
      </c>
    </row>
    <row r="11">
      <c r="A11" s="81" t="inlineStr">
        <is>
          <t>Data notei lunare (ultima zi a lunii)</t>
        </is>
      </c>
      <c r="B11" s="82" t="inlineStr">
        <is>
          <t>2026-07-31</t>
        </is>
      </c>
    </row>
    <row r="13">
      <c r="A13" s="80" t="inlineStr">
        <is>
          <t>2. Sumele</t>
        </is>
      </c>
    </row>
    <row r="14">
      <c r="A14" s="81" t="inlineStr">
        <is>
          <t>Valoarea subvenției încasate</t>
        </is>
      </c>
      <c r="B14" s="82" t="n">
        <v>50000</v>
      </c>
    </row>
    <row r="15">
      <c r="A15" s="81" t="inlineStr">
        <is>
          <t>Valoarea de intrare a activului</t>
        </is>
      </c>
      <c r="B15" s="82" t="n">
        <v>50000</v>
      </c>
    </row>
    <row r="16">
      <c r="A16" s="81" t="inlineStr">
        <is>
          <t>Durata de amortizare (luni)</t>
        </is>
      </c>
      <c r="B16" s="82" t="n">
        <v>60</v>
      </c>
    </row>
    <row r="17">
      <c r="A17" s="81" t="inlineStr">
        <is>
          <t>Luni de amortizare deja înregistrate</t>
        </is>
      </c>
      <c r="B17" s="82" t="n">
        <v>3</v>
      </c>
      <c r="C17" s="79" t="inlineStr">
        <is>
          <t>Fără luna curentă; se folosește la calculul soldului rămas</t>
        </is>
      </c>
    </row>
    <row r="19">
      <c r="A19" s="80" t="inlineStr">
        <is>
          <t>3. Calcul automat (nu edita)</t>
        </is>
      </c>
    </row>
    <row r="20">
      <c r="A20" s="81" t="inlineStr">
        <is>
          <t>Cota de finanțare din subvenție</t>
        </is>
      </c>
      <c r="B20" s="81">
        <f>IF(B15=0,0,MIN(1,B14/B15))</f>
        <v>1</v>
      </c>
      <c r="C20" s="79" t="inlineStr">
        <is>
          <t>1 = subvenția acoperă integral activul; sub 1 = finanțare parțială</t>
        </is>
      </c>
    </row>
    <row r="21">
      <c r="A21" s="81" t="inlineStr">
        <is>
          <t>Amortizare lunară</t>
        </is>
      </c>
      <c r="B21" s="81">
        <f>ROUND(B15/B16,2)</f>
        <v>833.33</v>
      </c>
    </row>
    <row r="22">
      <c r="A22" s="81" t="inlineStr">
        <is>
          <t>Subvenție eliberată lunar la venit</t>
        </is>
      </c>
      <c r="B22" s="81">
        <f>ROUND(B21*B20,2)</f>
        <v>833.33</v>
      </c>
      <c r="C22" s="79" t="inlineStr">
        <is>
          <t>Amortizarea × cota de finanțare — nu amortizarea întreagă</t>
        </is>
      </c>
    </row>
    <row r="23">
      <c r="A23" s="81" t="inlineStr">
        <is>
          <t>Amortizare rămasă pe cheltuiala firmei</t>
        </is>
      </c>
      <c r="B23" s="81">
        <f>B21-B22</f>
        <v>0</v>
      </c>
    </row>
    <row r="24">
      <c r="A24" s="81" t="inlineStr">
        <is>
          <t>Sold 475 după luna curentă</t>
        </is>
      </c>
      <c r="B24" s="81">
        <f>ROUND(B14-B22*(B17+1),2)</f>
        <v>46666.68</v>
      </c>
    </row>
    <row r="25">
      <c r="A25" s="81" t="inlineStr">
        <is>
          <t>Efect net pe rezultatul lunii</t>
        </is>
      </c>
      <c r="B25" s="81">
        <f>B22-B21</f>
        <v>0</v>
      </c>
      <c r="C25" s="79" t="inlineStr">
        <is>
          <t>Zero doar la finanțare integrală; altfel = partea proprie, cu minus</t>
        </is>
      </c>
    </row>
    <row r="27">
      <c r="A27" s="80" t="inlineStr">
        <is>
          <t>4. Conturi</t>
        </is>
      </c>
    </row>
    <row r="28">
      <c r="A28" s="81" t="inlineStr">
        <is>
          <t>Cont subvenții pentru investiții</t>
        </is>
      </c>
      <c r="B28" s="82" t="n">
        <v>475</v>
      </c>
    </row>
    <row r="29">
      <c r="A29" s="81" t="inlineStr">
        <is>
          <t>Cont creanță din subvenție</t>
        </is>
      </c>
      <c r="B29" s="82" t="inlineStr">
        <is>
          <t>445</t>
        </is>
      </c>
      <c r="C29" s="79" t="inlineStr">
        <is>
          <t>Dacă subvenția e aprobată dar neîncasată încă</t>
        </is>
      </c>
    </row>
    <row r="30">
      <c r="A30" s="81" t="inlineStr">
        <is>
          <t>Cont trezorerie</t>
        </is>
      </c>
      <c r="B30" s="82" t="inlineStr">
        <is>
          <t>5121</t>
        </is>
      </c>
    </row>
    <row r="31">
      <c r="A31" s="81" t="inlineStr">
        <is>
          <t>Cont imobilizare</t>
        </is>
      </c>
      <c r="B31" s="82" t="inlineStr">
        <is>
          <t>2131</t>
        </is>
      </c>
    </row>
    <row r="32">
      <c r="A32" s="81" t="inlineStr">
        <is>
          <t>Cont furnizor de imobilizări</t>
        </is>
      </c>
      <c r="B32" s="82" t="inlineStr">
        <is>
          <t>404</t>
        </is>
      </c>
    </row>
    <row r="33">
      <c r="A33" s="81" t="inlineStr">
        <is>
          <t>Cont amortizare</t>
        </is>
      </c>
      <c r="B33" s="82" t="n">
        <v>2813</v>
      </c>
    </row>
    <row r="34">
      <c r="A34" s="81" t="inlineStr">
        <is>
          <t>Cont cheltuială cu amortizarea</t>
        </is>
      </c>
      <c r="B34" s="82" t="n">
        <v>6811</v>
      </c>
    </row>
    <row r="35">
      <c r="A35" s="81" t="inlineStr">
        <is>
          <t>Cont venit din subvenții pentru investiții</t>
        </is>
      </c>
      <c r="B35" s="82" t="n">
        <v>7584</v>
      </c>
    </row>
    <row r="37">
      <c r="A37" s="80" t="inlineStr">
        <is>
          <t>5. Controale</t>
        </is>
      </c>
    </row>
    <row r="38">
      <c r="A38" s="81" t="inlineStr">
        <is>
          <t>Check cota de finanțare</t>
        </is>
      </c>
      <c r="B38" s="81">
        <f>B20</f>
        <v>1</v>
      </c>
      <c r="C38" s="81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81" t="inlineStr">
        <is>
          <t>Check efect net pe rezultat</t>
        </is>
      </c>
      <c r="B39" s="81">
        <f>B25</f>
        <v>0</v>
      </c>
      <c r="C39" s="81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81" t="inlineStr">
        <is>
          <t>Check sold 475 nu devine negativ</t>
        </is>
      </c>
      <c r="B40" s="81">
        <f>B24</f>
        <v>46666.68</v>
      </c>
      <c r="C40" s="81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81" t="inlineStr">
        <is>
          <t>Check durata eliberării = durata amortizării</t>
        </is>
      </c>
      <c r="B41" s="81">
        <f>IF(B22=0,0,ROUND(B14/B22,0))</f>
        <v>60</v>
      </c>
      <c r="C41" s="81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81" t="inlineStr">
        <is>
          <t>Reminder: NU e venit la încasare</t>
        </is>
      </c>
      <c r="B42" s="81">
        <f>B14</f>
        <v>50000</v>
      </c>
      <c r="C42" s="81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80" t="inlineStr">
        <is>
          <t>6. Sufix generat</t>
        </is>
      </c>
    </row>
    <row r="45">
      <c r="A45" s="81" t="inlineStr">
        <is>
          <t>Sufix</t>
        </is>
      </c>
      <c r="B45" s="81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MOD_SUBVENTIE — Reguli (tabele fixe)</t>
        </is>
      </c>
    </row>
    <row r="3">
      <c r="A3" s="80" t="inlineStr">
        <is>
          <t>Tabel A — Secvența</t>
        </is>
      </c>
    </row>
    <row r="4">
      <c r="A4" s="83" t="inlineStr">
        <is>
          <t>Moment</t>
        </is>
      </c>
      <c r="B4" s="83" t="inlineStr">
        <is>
          <t>Înregistrare</t>
        </is>
      </c>
      <c r="C4" s="83" t="inlineStr">
        <is>
          <t>Cont</t>
        </is>
      </c>
      <c r="D4" s="83" t="inlineStr">
        <is>
          <t>Sumă</t>
        </is>
      </c>
      <c r="E4" s="83" t="inlineStr">
        <is>
          <t>Condiție</t>
        </is>
      </c>
      <c r="F4" s="83" t="inlineStr">
        <is>
          <t>Observație</t>
        </is>
      </c>
    </row>
    <row r="5">
      <c r="A5" s="81" t="inlineStr">
        <is>
          <t>Aprobarea</t>
        </is>
      </c>
      <c r="B5" s="81" t="inlineStr">
        <is>
          <t>445 = 475</t>
        </is>
      </c>
      <c r="C5" s="81" t="inlineStr">
        <is>
          <t>445</t>
        </is>
      </c>
      <c r="D5" s="81" t="inlineStr">
        <is>
          <t>valoarea aprobată</t>
        </is>
      </c>
      <c r="E5" s="81" t="inlineStr">
        <is>
          <t>dacă e aprobată neîncasată</t>
        </is>
      </c>
      <c r="F5" s="81" t="inlineStr">
        <is>
          <t>Creanța față de finanțator; pasul se sare dacă încasarea e simultană</t>
        </is>
      </c>
    </row>
    <row r="6">
      <c r="A6" s="81" t="inlineStr">
        <is>
          <t>Încasarea</t>
        </is>
      </c>
      <c r="B6" s="81" t="inlineStr">
        <is>
          <t>5121 = 475 (sau 445)</t>
        </is>
      </c>
      <c r="C6" s="81" t="inlineStr">
        <is>
          <t>475</t>
        </is>
      </c>
      <c r="D6" s="81" t="inlineStr">
        <is>
          <t>valoarea încasată</t>
        </is>
      </c>
      <c r="E6" s="81" t="inlineStr">
        <is>
          <t>întotdeauna</t>
        </is>
      </c>
      <c r="F6" s="81" t="inlineStr">
        <is>
          <t>475 e cont de REGULARIZARE TEMPORALĂ, nu de venit</t>
        </is>
      </c>
    </row>
    <row r="7">
      <c r="A7" s="81" t="inlineStr">
        <is>
          <t>Achiziția activului</t>
        </is>
      </c>
      <c r="B7" s="81" t="inlineStr">
        <is>
          <t>21x = 404</t>
        </is>
      </c>
      <c r="C7" s="81" t="inlineStr">
        <is>
          <t>21x</t>
        </is>
      </c>
      <c r="D7" s="81" t="inlineStr">
        <is>
          <t>valoarea de intrare</t>
        </is>
      </c>
      <c r="E7" s="81" t="inlineStr">
        <is>
          <t>întotdeauna</t>
        </is>
      </c>
      <c r="F7" s="81" t="inlineStr">
        <is>
          <t>Independentă de subvenție; activul se înregistrează la valoarea lui completă</t>
        </is>
      </c>
    </row>
    <row r="8">
      <c r="A8" s="81" t="inlineStr">
        <is>
          <t>Amortizarea lunară</t>
        </is>
      </c>
      <c r="B8" s="81" t="inlineStr">
        <is>
          <t>6811 = 28x</t>
        </is>
      </c>
      <c r="C8" s="81" t="inlineStr">
        <is>
          <t>6811</t>
        </is>
      </c>
      <c r="D8" s="81" t="inlineStr">
        <is>
          <t>valoare / durată</t>
        </is>
      </c>
      <c r="E8" s="81" t="inlineStr">
        <is>
          <t>lunar</t>
        </is>
      </c>
      <c r="F8" s="81" t="inlineStr">
        <is>
          <t>Pe valoarea INTEGRALĂ a activului, nu pe partea nesubvenționată</t>
        </is>
      </c>
    </row>
    <row r="9">
      <c r="A9" s="81" t="inlineStr">
        <is>
          <t>Eliberarea subvenției</t>
        </is>
      </c>
      <c r="B9" s="81" t="inlineStr">
        <is>
          <t>475 = 7584</t>
        </is>
      </c>
      <c r="C9" s="81" t="inlineStr">
        <is>
          <t>475</t>
        </is>
      </c>
      <c r="D9" s="81" t="inlineStr">
        <is>
          <t>amortizare × cota</t>
        </is>
      </c>
      <c r="E9" s="81" t="inlineStr">
        <is>
          <t>lunar, CONCOMITENT</t>
        </is>
      </c>
      <c r="F9" s="81" t="inlineStr">
        <is>
          <t>Pas revelator: eliberarea urmează amortizarea, nu calendarul</t>
        </is>
      </c>
    </row>
    <row r="11">
      <c r="A11" s="80" t="inlineStr">
        <is>
          <t>Tabel B — Cota de finanțare</t>
        </is>
      </c>
    </row>
    <row r="12">
      <c r="A12" s="83" t="inlineStr">
        <is>
          <t>Situație</t>
        </is>
      </c>
      <c r="B12" s="83" t="inlineStr">
        <is>
          <t>Cota</t>
        </is>
      </c>
      <c r="C12" s="83" t="inlineStr">
        <is>
          <t>Eliberare lunară</t>
        </is>
      </c>
      <c r="D12" s="83" t="inlineStr">
        <is>
          <t>Efect net pe rezultat</t>
        </is>
      </c>
      <c r="E12" s="83" t="inlineStr"/>
      <c r="F12" s="83" t="inlineStr">
        <is>
          <t>Observație</t>
        </is>
      </c>
    </row>
    <row r="13">
      <c r="A13" s="81" t="inlineStr">
        <is>
          <t>Subvenția acoperă integral activul</t>
        </is>
      </c>
      <c r="B13" s="81" t="inlineStr">
        <is>
          <t>1</t>
        </is>
      </c>
      <c r="C13" s="81" t="inlineStr">
        <is>
          <t>cât amortizarea lunară</t>
        </is>
      </c>
      <c r="D13" s="81" t="inlineStr">
        <is>
          <t>zero</t>
        </is>
      </c>
      <c r="E13" s="81" t="inlineStr"/>
      <c r="F13" s="81" t="inlineStr">
        <is>
          <t>Cazul din monografia F-210</t>
        </is>
      </c>
    </row>
    <row r="14">
      <c r="A14" s="81" t="inlineStr">
        <is>
          <t>Subvenția acoperă parțial</t>
        </is>
      </c>
      <c r="B14" s="81" t="inlineStr">
        <is>
          <t>subvenție / activ</t>
        </is>
      </c>
      <c r="C14" s="81" t="inlineStr">
        <is>
          <t>amortizare × cota</t>
        </is>
      </c>
      <c r="D14" s="81" t="inlineStr">
        <is>
          <t>negativ, egal cu partea proprie</t>
        </is>
      </c>
      <c r="E14" s="81" t="inlineStr"/>
      <c r="F14" s="81" t="inlineStr">
        <is>
          <t>Cazul frecvent în practică — cofinanțare</t>
        </is>
      </c>
    </row>
    <row r="15">
      <c r="A15" s="81" t="inlineStr">
        <is>
          <t>Subvenția depășește valoarea activului</t>
        </is>
      </c>
      <c r="B15" s="81" t="inlineStr">
        <is>
          <t>plafonat la 1</t>
        </is>
      </c>
      <c r="C15" s="81" t="inlineStr">
        <is>
          <t>cât amortizarea lunară</t>
        </is>
      </c>
      <c r="D15" s="81" t="inlineStr">
        <is>
          <t>zero</t>
        </is>
      </c>
      <c r="E15" s="81" t="inlineStr"/>
      <c r="F15" s="81" t="inlineStr">
        <is>
          <t>Verifică încadrarea: excedentul nu e subvenție pentru investiții</t>
        </is>
      </c>
    </row>
    <row r="17">
      <c r="A17" s="80" t="inlineStr">
        <is>
          <t>Tabel C — LIMITĂRI DECLARATE ale modulului</t>
        </is>
      </c>
    </row>
    <row r="18">
      <c r="A18" s="83" t="inlineStr">
        <is>
          <t>Ce NU tratează</t>
        </is>
      </c>
      <c r="B18" s="83" t="inlineStr">
        <is>
          <t>De ce</t>
        </is>
      </c>
      <c r="C18" s="83" t="inlineStr">
        <is>
          <t>Ce faci</t>
        </is>
      </c>
      <c r="D18" s="83" t="inlineStr"/>
      <c r="E18" s="83" t="inlineStr"/>
      <c r="F18" s="83" t="inlineStr">
        <is>
          <t>Efect dacă îl ignori</t>
        </is>
      </c>
    </row>
    <row r="19">
      <c r="A19" s="81" t="inlineStr">
        <is>
          <t>Subvenții pentru exploatare (741)</t>
        </is>
      </c>
      <c r="B19" s="81" t="inlineStr">
        <is>
          <t>Acelea sunt venit în perioada în care se produce cheltuiala acoperită, nu se eșalonează pe amortizare.</t>
        </is>
      </c>
      <c r="C19" s="81" t="inlineStr">
        <is>
          <t>Folosește 741, nu 475/7584.</t>
        </is>
      </c>
      <c r="D19" s="81" t="inlineStr"/>
      <c r="E19" s="81" t="inlineStr"/>
      <c r="F19" s="81" t="inlineStr">
        <is>
          <t>Venitul e amânat pe ani, când ar trebui recunoscut imediat</t>
        </is>
      </c>
    </row>
    <row r="20">
      <c r="A20" s="81" t="inlineStr">
        <is>
          <t>Restituirea subvenției</t>
        </is>
      </c>
      <c r="B20" s="81" t="inlineStr">
        <is>
          <t>Neîndeplinirea condițiilor din contract obligă la restituire, cu tratament propriu.</t>
        </is>
      </c>
      <c r="C20" s="81" t="inlineStr">
        <is>
          <t>Stornează partea neeliberată din 475 și tratează restul pe cheltuială.</t>
        </is>
      </c>
      <c r="D20" s="81" t="inlineStr"/>
      <c r="E20" s="81" t="inlineStr"/>
      <c r="F20" s="81" t="inlineStr">
        <is>
          <t>475 rămâne cu sold pentru o subvenție care nu mai există</t>
        </is>
      </c>
    </row>
    <row r="21">
      <c r="A21" s="81" t="inlineStr">
        <is>
          <t>Cedarea activului înainte de finalul amortizării</t>
        </is>
      </c>
      <c r="B21" s="81" t="inlineStr">
        <is>
          <t>Soldul rămas din 475 se reia integral la venit la data ieșirii.</t>
        </is>
      </c>
      <c r="C21" s="81" t="inlineStr">
        <is>
          <t>Reia soldul 475 în 7584 odată cu descărcarea activului (vezi MOD_IESIRE_MF).</t>
        </is>
      </c>
      <c r="D21" s="81" t="inlineStr"/>
      <c r="E21" s="81" t="inlineStr"/>
      <c r="F21" s="81" t="inlineStr">
        <is>
          <t>475 rămâne cu sold pentru un activ care nu mai e în patrimoniu</t>
        </is>
      </c>
    </row>
    <row r="22">
      <c r="A22" s="81" t="inlineStr">
        <is>
          <t>Ajustarea planului de amortizare</t>
        </is>
      </c>
      <c r="B22" s="81" t="inlineStr">
        <is>
          <t>O modificare de durată schimbă și ritmul eliberării subvenției.</t>
        </is>
      </c>
      <c r="C22" s="81" t="inlineStr">
        <is>
          <t>Recalculează ambele; cota rămâne aceeași, amortizarea lunară se schimbă.</t>
        </is>
      </c>
      <c r="D22" s="81" t="inlineStr"/>
      <c r="E22" s="81" t="inlineStr"/>
      <c r="F22" s="81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MOD_SUBVENTIE — Jurnale (generate automat)</t>
        </is>
      </c>
    </row>
    <row r="2">
      <c r="A2" s="79" t="inlineStr">
        <is>
          <t>Blocul 3 se repetă lunar, pe toată durata de amortizare. Cele două înregistrări din el se fac CONCOMITENT — asta e tot mecanismul.</t>
        </is>
      </c>
    </row>
    <row r="4">
      <c r="A4" s="80" t="inlineStr">
        <is>
          <t>Bloc 1 — Încasarea subvenției</t>
        </is>
      </c>
    </row>
    <row r="5">
      <c r="A5" s="81" t="inlineStr">
        <is>
          <t>Data jurnal:</t>
        </is>
      </c>
      <c r="B5" s="81" t="str">
        <f>Declarații_SUBVENTIE!B8</f>
        <v>2026-03-10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Declarații_SUBVENTIE!B30</f>
        <v>5121</v>
      </c>
      <c r="C8" s="81">
        <f>Declarații_SUBVENTIE!B14</f>
        <v>50000</v>
      </c>
      <c r="D8" s="81" t="str">
        <f>"Încasarea subvenției pentru investiții" &amp; Declarații_SUBVENTIE!B45</f>
        <v>Încasarea subvenției pentru investiții - Utilaj tehnologic - 2026-07</v>
      </c>
      <c r="E8" s="81">
        <f>Declarații_SUBVENTIE!B28</f>
        <v>475</v>
      </c>
      <c r="F8" s="81">
        <f>Declarații_SUBVENTIE!B14</f>
        <v>50000</v>
      </c>
      <c r="G8" s="81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Check: nu atinge clasa 7</t>
        </is>
      </c>
      <c r="B11" s="81">
        <f>Declarații_SUBVENTIE!B28</f>
        <v>475</v>
      </c>
      <c r="C11" s="81" t="str">
        <f>"Corect — 475 e regularizare temporală. Venitul apare abia în blocul 3, lunar."</f>
        <v>Corect — 475 e regularizare temporală. Venitul apare abia în blocul 3, lunar.</v>
      </c>
    </row>
    <row r="13">
      <c r="A13" s="80" t="inlineStr">
        <is>
          <t>Bloc 2 — Achiziția activului</t>
        </is>
      </c>
    </row>
    <row r="14">
      <c r="A14" s="81" t="inlineStr">
        <is>
          <t>Data jurnal:</t>
        </is>
      </c>
      <c r="B14" s="81" t="str">
        <f>Declarații_SUBVENTIE!B9</f>
        <v>2026-04-01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Declarații_SUBVENTIE!B31</f>
        <v>2131</v>
      </c>
      <c r="C17" s="81">
        <f>Declarații_SUBVENTIE!B15</f>
        <v>50000</v>
      </c>
      <c r="D17" s="81" t="str">
        <f>"Achiziția activului finanțat, la valoarea integrală" &amp; Declarații_SUBVENTIE!B45</f>
        <v>Achiziția activului finanțat, la valoarea integrală - Utilaj tehnologic - 2026-07</v>
      </c>
      <c r="E17" s="81" t="str">
        <f>Declarații_SUBVENTIE!B32</f>
        <v>404</v>
      </c>
      <c r="F17" s="81">
        <f>Declarații_SUBVENTIE!B15</f>
        <v>50000</v>
      </c>
      <c r="G17" s="81" t="str">
        <f>"Datorie față de furnizorul de imobilizări" &amp; Declarații_SUBVENTIE!B45</f>
        <v>Datorie față de furnizorul de imobilizări - Utilaj tehnologic - 2026-07</v>
      </c>
    </row>
    <row r="19">
      <c r="A19" s="81" t="inlineStr">
        <is>
          <t>Check Σ (structural)</t>
        </is>
      </c>
      <c r="B19" s="81">
        <f>C17-F17</f>
        <v>0</v>
      </c>
      <c r="C19" s="81" t="str">
        <f>IF(ABS(B19)&lt;0.01,"OK — nota se închide","EROARE")</f>
        <v>OK — nota se închide</v>
      </c>
    </row>
    <row r="21">
      <c r="A21" s="80" t="inlineStr">
        <is>
          <t>Bloc 3 — Amortizare + eliberare (LUNAR, concomitent)</t>
        </is>
      </c>
    </row>
    <row r="22">
      <c r="A22" s="81" t="inlineStr">
        <is>
          <t>Data jurnal:</t>
        </is>
      </c>
      <c r="B22" s="81" t="str">
        <f>Declarații_SUBVENTIE!B11</f>
        <v>2026-07-31</v>
      </c>
    </row>
    <row r="24">
      <c r="A24" s="83" t="inlineStr">
        <is>
          <t>Nr</t>
        </is>
      </c>
      <c r="B24" s="83" t="inlineStr">
        <is>
          <t>Cont Dr</t>
        </is>
      </c>
      <c r="C24" s="83" t="inlineStr">
        <is>
          <t>Sumă Dr</t>
        </is>
      </c>
      <c r="D24" s="83" t="inlineStr">
        <is>
          <t>Descriere Dr</t>
        </is>
      </c>
      <c r="E24" s="83" t="inlineStr">
        <is>
          <t>Cont Cr</t>
        </is>
      </c>
      <c r="F24" s="83" t="inlineStr">
        <is>
          <t>Sumă Cr</t>
        </is>
      </c>
      <c r="G24" s="83" t="inlineStr">
        <is>
          <t>Descriere Cr</t>
        </is>
      </c>
    </row>
    <row r="25">
      <c r="A25" s="81" t="n">
        <v>1</v>
      </c>
      <c r="B25" s="81">
        <f>Declarații_SUBVENTIE!B34</f>
        <v>6811</v>
      </c>
      <c r="C25" s="81">
        <f>Declarații_SUBVENTIE!B21</f>
        <v>833.33</v>
      </c>
      <c r="D25" s="81" t="str">
        <f>"Amortizarea lunară a activului" &amp; Declarații_SUBVENTIE!B45</f>
        <v>Amortizarea lunară a activului - Utilaj tehnologic - 2026-07</v>
      </c>
      <c r="E25" s="81">
        <f>Declarații_SUBVENTIE!B33</f>
        <v>2813</v>
      </c>
      <c r="F25" s="81">
        <f>Declarații_SUBVENTIE!B21</f>
        <v>833.33</v>
      </c>
      <c r="G25" s="81" t="str">
        <f>"Amortizare cumulată" &amp; Declarații_SUBVENTIE!B45</f>
        <v>Amortizare cumulată - Utilaj tehnologic - 2026-07</v>
      </c>
    </row>
    <row r="26">
      <c r="A26" s="81" t="n">
        <v>2</v>
      </c>
      <c r="B26" s="81">
        <f>Declarații_SUBVENTIE!B28</f>
        <v>475</v>
      </c>
      <c r="C26" s="81">
        <f>Declarații_SUBVENTIE!B22</f>
        <v>833.33</v>
      </c>
      <c r="D26" s="81" t="str">
        <f>"Eliberarea subvenției pe măsura amortizării" &amp; Declarații_SUBVENTIE!B45</f>
        <v>Eliberarea subvenției pe măsura amortizării - Utilaj tehnologic - 2026-07</v>
      </c>
      <c r="E26" s="81">
        <f>Declarații_SUBVENTIE!B35</f>
        <v>7584</v>
      </c>
      <c r="F26" s="81">
        <f>Declarații_SUBVENTIE!B22</f>
        <v>833.33</v>
      </c>
      <c r="G26" s="81" t="str">
        <f>"Venit din subvenții pentru investiții" &amp; Declarații_SUBVENTIE!B45</f>
        <v>Venit din subvenții pentru investiții - Utilaj tehnologic - 2026-07</v>
      </c>
    </row>
    <row r="28">
      <c r="A28" s="81" t="inlineStr">
        <is>
          <t>Total Dr</t>
        </is>
      </c>
      <c r="B28" s="81">
        <f>SUM(C25:C26)</f>
        <v>1666.66</v>
      </c>
      <c r="C28" s="81" t="inlineStr"/>
    </row>
    <row r="29">
      <c r="A29" s="81" t="inlineStr">
        <is>
          <t>Total Cr</t>
        </is>
      </c>
      <c r="B29" s="81">
        <f>SUM(F25:F26)</f>
        <v>1666.66</v>
      </c>
      <c r="C29" s="81" t="inlineStr"/>
    </row>
    <row r="30">
      <c r="A30" s="81" t="inlineStr">
        <is>
          <t>Check Σ (structural)</t>
        </is>
      </c>
      <c r="B30" s="81">
        <f>SUM(C25:C26)-SUM(F25:F26)</f>
        <v>0</v>
      </c>
      <c r="C30" s="81" t="str">
        <f>IF(ABS(B30)&lt;0.01,"OK — notele se închid","EROARE")</f>
        <v>OK — notele se închid</v>
      </c>
    </row>
    <row r="31">
      <c r="A31" s="81" t="inlineStr">
        <is>
          <t>Check efect pe rezultat</t>
        </is>
      </c>
      <c r="B31" s="81">
        <f>Declarații_SUBVENTIE!B25</f>
        <v>0</v>
      </c>
      <c r="C31" s="81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9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MOD_SUBVENTIE — Notă pentru import (1 rând = 1 înregistrare)</t>
        </is>
      </c>
    </row>
    <row r="2">
      <c r="A2" s="79" t="inlineStr">
        <is>
          <t>Blocurile 1 și 2 se importă o singură dată; blocul 3 se repetă lunar.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Încasare (o dată)</t>
        </is>
      </c>
      <c r="C5" s="81" t="str">
        <f>Declarații_SUBVENTIE!B8</f>
        <v>2026-03-10</v>
      </c>
      <c r="D5" s="81" t="str">
        <f>Jurnale_SUBVENTIE!B8</f>
        <v>5121</v>
      </c>
      <c r="E5" s="81">
        <f>Jurnale_SUBVENTIE!E8</f>
        <v>475</v>
      </c>
      <c r="F5" s="81">
        <f>MAX(N(Jurnale_SUBVENTIE!C8),N(Jurnale_SUBVENTIE!F8))</f>
        <v>50000</v>
      </c>
      <c r="G5" s="81" t="str">
        <f>Jurnale_SUBVENTIE!D8</f>
        <v>Încasarea subvenției pentru investiții - Utilaj tehnologic - 2026-07</v>
      </c>
      <c r="H5" s="81" t="inlineStr">
        <is>
          <t>Contract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Achiziție (o dată)</t>
        </is>
      </c>
      <c r="C6" s="81" t="str">
        <f>Declarații_SUBVENTIE!B9</f>
        <v>2026-04-01</v>
      </c>
      <c r="D6" s="81" t="str">
        <f>Jurnale_SUBVENTIE!B17</f>
        <v>2131</v>
      </c>
      <c r="E6" s="81" t="str">
        <f>Jurnale_SUBVENTIE!E17</f>
        <v>404</v>
      </c>
      <c r="F6" s="81">
        <f>MAX(N(Jurnale_SUBVENTIE!C17),N(Jurnale_SUBVENTIE!F17))</f>
        <v>50000</v>
      </c>
      <c r="G6" s="81" t="str">
        <f>Jurnale_SUBVENTIE!D17</f>
        <v>Achiziția activului finanțat, la valoarea integrală - Utilaj tehnologic - 2026-07</v>
      </c>
      <c r="H6" s="81" t="inlineStr">
        <is>
          <t>Factură + PV recepție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3 — Lunar</t>
        </is>
      </c>
      <c r="C7" s="81" t="str">
        <f>Declarații_SUBVENTIE!B11</f>
        <v>2026-07-31</v>
      </c>
      <c r="D7" s="81">
        <f>Jurnale_SUBVENTIE!B25</f>
        <v>6811</v>
      </c>
      <c r="E7" s="81">
        <f>Jurnale_SUBVENTIE!E25</f>
        <v>2813</v>
      </c>
      <c r="F7" s="81">
        <f>MAX(N(Jurnale_SUBVENTIE!C25),N(Jurnale_SUBVENTIE!F25))</f>
        <v>833.33</v>
      </c>
      <c r="G7" s="81" t="str">
        <f>Jurnale_SUBVENTIE!D25</f>
        <v>Amortizarea lunară a activului - Utilaj tehnologic - 2026-07</v>
      </c>
      <c r="H7" s="81" t="inlineStr">
        <is>
          <t>Notă contabilă lunară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Lunar</t>
        </is>
      </c>
      <c r="C8" s="81" t="str">
        <f>Declarații_SUBVENTIE!B11</f>
        <v>2026-07-31</v>
      </c>
      <c r="D8" s="81">
        <f>Jurnale_SUBVENTIE!B26</f>
        <v>475</v>
      </c>
      <c r="E8" s="81">
        <f>Jurnale_SUBVENTIE!E26</f>
        <v>7584</v>
      </c>
      <c r="F8" s="81">
        <f>MAX(N(Jurnale_SUBVENTIE!C26),N(Jurnale_SUBVENTIE!F26))</f>
        <v>833.33</v>
      </c>
      <c r="G8" s="81" t="str">
        <f>Jurnale_SUBVENTIE!D26</f>
        <v>Eliberarea subvenției pe măsura amortizării - Utilaj tehnologic - 2026-07</v>
      </c>
      <c r="H8" s="81" t="inlineStr">
        <is>
          <t>Notă contabilă lunară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(F-308)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2026-08-21T06:21:37Z</dcterms:modified>
  <cp:revision>0</cp:revision>
</cp:coreProperties>
</file>