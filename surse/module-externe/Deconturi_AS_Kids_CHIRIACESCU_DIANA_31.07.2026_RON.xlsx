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tpgsrv06\public\_Clienti conta_ACTUALI\AS Kids Toys SRL\zM\"/>
    </mc:Choice>
  </mc:AlternateContent>
  <xr:revisionPtr revIDLastSave="0" documentId="13_ncr:1_{14D25CB0-50B3-4A22-A999-CC134ABC64BE}" xr6:coauthVersionLast="47" xr6:coauthVersionMax="47" xr10:uidLastSave="{00000000-0000-0000-0000-000000000000}"/>
  <bookViews>
    <workbookView xWindow="-120" yWindow="-120" windowWidth="29040" windowHeight="15720" tabRatio="500" firstSheet="1" activeTab="1" xr2:uid="{00000000-000D-0000-FFFF-FFFF00000000}"/>
  </bookViews>
  <sheets>
    <sheet name="Instructiuni" sheetId="1" r:id="rId1"/>
    <sheet name="Declaratii" sheetId="2" r:id="rId2"/>
    <sheet name="Reguli" sheetId="3" r:id="rId3"/>
    <sheet name="Decont" sheetId="4" r:id="rId4"/>
    <sheet name="Jurnale" sheetId="5" r:id="rId5"/>
    <sheet name="NotaExport" sheetId="6" r:id="rId6"/>
  </sheets>
  <definedNames>
    <definedName name="_xlnm._FilterDatabase" localSheetId="5" hidden="1">NotaExport!$B$7:$K$19</definedName>
    <definedName name="dec_sold_de_platit">Decont!$D$61</definedName>
    <definedName name="dec_total_datorat">Decont!$D$58</definedName>
    <definedName name="dec_total_neacceptat">Decont!$D$59</definedName>
    <definedName name="dec_tva_deductibil">Decont!$R$29</definedName>
    <definedName name="decl_avans">Declaratii!$E$35</definedName>
    <definedName name="decl_cont_avans">Declaratii!$E$28</definedName>
    <definedName name="decl_cont_datorie">Declaratii!$E$27</definedName>
    <definedName name="decl_cont_masa">Declaratii!$E$30</definedName>
    <definedName name="decl_cont_transport">Declaratii!$E$29</definedName>
    <definedName name="decl_cont_trezorerie">Declaratii!$E$31</definedName>
    <definedName name="decl_cota_redusa">Declaratii!$E$19</definedName>
    <definedName name="decl_cota_standard">Declaratii!$E$18</definedName>
    <definedName name="decl_cui">Declaratii!$E$10</definedName>
    <definedName name="decl_curs_eur">Declaratii!$E$21</definedName>
    <definedName name="decl_data_avans">Declaratii!$E$36</definedName>
    <definedName name="decl_data_decont">Declaratii!$E$12</definedName>
    <definedName name="decl_data_plata">Declaratii!$E$40</definedName>
    <definedName name="decl_ded_vehicule">Declaratii!$E$23</definedName>
    <definedName name="decl_moneda">Declaratii!$E$13</definedName>
    <definedName name="decl_nr_decont">Declaratii!#REF!</definedName>
    <definedName name="decl_plafon_eur">Declaratii!$E$20</definedName>
    <definedName name="decl_plafon_lei">Declaratii!$E$22</definedName>
    <definedName name="decl_platitor_tva">Declaratii!$E$17</definedName>
    <definedName name="decl_societate">Declaratii!$E$9</definedName>
    <definedName name="decl_sold_avans_balanta">Declaratii!$E$37</definedName>
    <definedName name="decl_titular">Declaratii!$E$11</definedName>
    <definedName name="desc_sufix">Declaratii!$E$44</definedName>
    <definedName name="lst_cont_avans">Reguli!$I$31:$I$32</definedName>
    <definedName name="lst_cont_datorie">Reguli!$E$31:$E$33</definedName>
    <definedName name="lst_cont_masa">Reguli!$G$31:$G$33</definedName>
    <definedName name="lst_cont_transport">Reguli!$F$31:$F$32</definedName>
    <definedName name="lst_cont_trezorerie">Reguli!$H$31:$H$32</definedName>
    <definedName name="lst_danu">Reguli!$D$31:$D$32</definedName>
    <definedName name="lst_natura">Reguli!$B$31:$B$41</definedName>
    <definedName name="lst_tipdoc">Reguli!$C$31:$C$33</definedName>
    <definedName name="tbl_deducere">Reguli!$B$21:$G$26</definedName>
    <definedName name="tbl_natura">Reguli!$B$7:$J$17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8" i="4" l="1"/>
  <c r="N8" i="4"/>
  <c r="L8" i="4"/>
  <c r="T8" i="4" s="1"/>
  <c r="L9" i="4"/>
  <c r="K8" i="4"/>
  <c r="E7" i="3"/>
  <c r="J9" i="4" s="1"/>
  <c r="E44" i="2"/>
  <c r="L70" i="5" s="1"/>
  <c r="J19" i="6"/>
  <c r="I19" i="6"/>
  <c r="J18" i="6"/>
  <c r="I18" i="6"/>
  <c r="J17" i="6"/>
  <c r="I17" i="6"/>
  <c r="J16" i="6"/>
  <c r="I16" i="6"/>
  <c r="J15" i="6"/>
  <c r="I15" i="6"/>
  <c r="F15" i="6"/>
  <c r="E15" i="6"/>
  <c r="J14" i="6"/>
  <c r="I14" i="6"/>
  <c r="J13" i="6"/>
  <c r="I13" i="6"/>
  <c r="F13" i="6"/>
  <c r="J12" i="6"/>
  <c r="I12" i="6"/>
  <c r="F12" i="6"/>
  <c r="J11" i="6"/>
  <c r="I11" i="6"/>
  <c r="F11" i="6"/>
  <c r="J10" i="6"/>
  <c r="I10" i="6"/>
  <c r="J9" i="6"/>
  <c r="I9" i="6"/>
  <c r="J8" i="6"/>
  <c r="I8" i="6"/>
  <c r="E8" i="6"/>
  <c r="D8" i="6"/>
  <c r="F98" i="5"/>
  <c r="F97" i="5"/>
  <c r="F96" i="5"/>
  <c r="J91" i="5"/>
  <c r="F19" i="6" s="1"/>
  <c r="G91" i="5"/>
  <c r="E19" i="6" s="1"/>
  <c r="J90" i="5"/>
  <c r="F18" i="6" s="1"/>
  <c r="G90" i="5"/>
  <c r="E18" i="6" s="1"/>
  <c r="F76" i="5"/>
  <c r="F75" i="5"/>
  <c r="K70" i="5"/>
  <c r="I76" i="5" s="1"/>
  <c r="I78" i="5" s="1"/>
  <c r="J70" i="5"/>
  <c r="F17" i="6" s="1"/>
  <c r="H70" i="5"/>
  <c r="G17" i="6" s="1"/>
  <c r="K17" i="6" s="1"/>
  <c r="G70" i="5"/>
  <c r="E17" i="6" s="1"/>
  <c r="C63" i="5"/>
  <c r="F56" i="5"/>
  <c r="G55" i="5"/>
  <c r="G54" i="5"/>
  <c r="G53" i="5"/>
  <c r="G52" i="5"/>
  <c r="G51" i="5"/>
  <c r="G50" i="5"/>
  <c r="G49" i="5"/>
  <c r="G48" i="5"/>
  <c r="G43" i="5"/>
  <c r="F55" i="5" s="1"/>
  <c r="G42" i="5"/>
  <c r="F54" i="5" s="1"/>
  <c r="G41" i="5"/>
  <c r="F53" i="5" s="1"/>
  <c r="G40" i="5"/>
  <c r="F52" i="5" s="1"/>
  <c r="G39" i="5"/>
  <c r="F51" i="5" s="1"/>
  <c r="G38" i="5"/>
  <c r="E11" i="6" s="1"/>
  <c r="G37" i="5"/>
  <c r="F49" i="5" s="1"/>
  <c r="J36" i="5"/>
  <c r="F10" i="6" s="1"/>
  <c r="G36" i="5"/>
  <c r="F48" i="5" s="1"/>
  <c r="F22" i="5"/>
  <c r="H21" i="5"/>
  <c r="H24" i="5" s="1"/>
  <c r="J24" i="5" s="1"/>
  <c r="F21" i="5"/>
  <c r="K16" i="5"/>
  <c r="I22" i="5" s="1"/>
  <c r="I24" i="5" s="1"/>
  <c r="J16" i="5"/>
  <c r="F8" i="6" s="1"/>
  <c r="H16" i="5"/>
  <c r="G8" i="6" s="1"/>
  <c r="K8" i="6" s="1"/>
  <c r="G16" i="5"/>
  <c r="C10" i="5"/>
  <c r="C9" i="5"/>
  <c r="D60" i="4"/>
  <c r="T27" i="4"/>
  <c r="S27" i="4"/>
  <c r="R27" i="4"/>
  <c r="Q27" i="4"/>
  <c r="P27" i="4"/>
  <c r="O27" i="4"/>
  <c r="N27" i="4"/>
  <c r="M27" i="4"/>
  <c r="L27" i="4"/>
  <c r="K27" i="4"/>
  <c r="J27" i="4"/>
  <c r="T26" i="4"/>
  <c r="S26" i="4"/>
  <c r="R26" i="4"/>
  <c r="Q26" i="4"/>
  <c r="P26" i="4"/>
  <c r="O26" i="4"/>
  <c r="N26" i="4"/>
  <c r="M26" i="4"/>
  <c r="L26" i="4"/>
  <c r="K26" i="4"/>
  <c r="J26" i="4"/>
  <c r="T25" i="4"/>
  <c r="S25" i="4"/>
  <c r="R25" i="4"/>
  <c r="Q25" i="4"/>
  <c r="P25" i="4"/>
  <c r="O25" i="4"/>
  <c r="N25" i="4"/>
  <c r="M25" i="4"/>
  <c r="L25" i="4"/>
  <c r="K25" i="4"/>
  <c r="J25" i="4"/>
  <c r="T24" i="4"/>
  <c r="S24" i="4"/>
  <c r="R24" i="4"/>
  <c r="Q24" i="4"/>
  <c r="P24" i="4"/>
  <c r="O24" i="4"/>
  <c r="N24" i="4"/>
  <c r="M24" i="4"/>
  <c r="L24" i="4"/>
  <c r="K24" i="4"/>
  <c r="J24" i="4"/>
  <c r="T23" i="4"/>
  <c r="S23" i="4"/>
  <c r="R23" i="4"/>
  <c r="Q23" i="4"/>
  <c r="P23" i="4"/>
  <c r="O23" i="4"/>
  <c r="N23" i="4"/>
  <c r="M23" i="4"/>
  <c r="L23" i="4"/>
  <c r="K23" i="4"/>
  <c r="J23" i="4"/>
  <c r="T22" i="4"/>
  <c r="S22" i="4"/>
  <c r="R22" i="4"/>
  <c r="Q22" i="4"/>
  <c r="P22" i="4"/>
  <c r="O22" i="4"/>
  <c r="N22" i="4"/>
  <c r="M22" i="4"/>
  <c r="L22" i="4"/>
  <c r="K22" i="4"/>
  <c r="J22" i="4"/>
  <c r="T21" i="4"/>
  <c r="S21" i="4"/>
  <c r="R21" i="4"/>
  <c r="Q21" i="4"/>
  <c r="P21" i="4"/>
  <c r="O21" i="4"/>
  <c r="N21" i="4"/>
  <c r="M21" i="4"/>
  <c r="L21" i="4"/>
  <c r="K21" i="4"/>
  <c r="J21" i="4"/>
  <c r="T20" i="4"/>
  <c r="S20" i="4"/>
  <c r="R20" i="4"/>
  <c r="Q20" i="4"/>
  <c r="P20" i="4"/>
  <c r="O20" i="4"/>
  <c r="N20" i="4"/>
  <c r="M20" i="4"/>
  <c r="L20" i="4"/>
  <c r="K20" i="4"/>
  <c r="J20" i="4"/>
  <c r="T19" i="4"/>
  <c r="S19" i="4"/>
  <c r="R19" i="4"/>
  <c r="Q19" i="4"/>
  <c r="P19" i="4"/>
  <c r="O19" i="4"/>
  <c r="N19" i="4"/>
  <c r="M19" i="4"/>
  <c r="L19" i="4"/>
  <c r="K19" i="4"/>
  <c r="J19" i="4"/>
  <c r="T18" i="4"/>
  <c r="S18" i="4"/>
  <c r="R18" i="4"/>
  <c r="Q18" i="4"/>
  <c r="P18" i="4"/>
  <c r="O18" i="4"/>
  <c r="N18" i="4"/>
  <c r="M18" i="4"/>
  <c r="L18" i="4"/>
  <c r="K18" i="4"/>
  <c r="J18" i="4"/>
  <c r="T17" i="4"/>
  <c r="S17" i="4"/>
  <c r="R17" i="4"/>
  <c r="Q17" i="4"/>
  <c r="P17" i="4"/>
  <c r="O17" i="4"/>
  <c r="N17" i="4"/>
  <c r="M17" i="4"/>
  <c r="L17" i="4"/>
  <c r="K17" i="4"/>
  <c r="J17" i="4"/>
  <c r="T16" i="4"/>
  <c r="S16" i="4"/>
  <c r="R16" i="4"/>
  <c r="Q16" i="4"/>
  <c r="P16" i="4"/>
  <c r="O16" i="4"/>
  <c r="N16" i="4"/>
  <c r="M16" i="4"/>
  <c r="L16" i="4"/>
  <c r="K16" i="4"/>
  <c r="J16" i="4"/>
  <c r="T15" i="4"/>
  <c r="S15" i="4"/>
  <c r="R15" i="4"/>
  <c r="Q15" i="4"/>
  <c r="P15" i="4"/>
  <c r="O15" i="4"/>
  <c r="N15" i="4"/>
  <c r="M15" i="4"/>
  <c r="L15" i="4"/>
  <c r="K15" i="4"/>
  <c r="J15" i="4"/>
  <c r="T14" i="4"/>
  <c r="S14" i="4"/>
  <c r="R14" i="4"/>
  <c r="Q14" i="4"/>
  <c r="P14" i="4"/>
  <c r="O14" i="4"/>
  <c r="N14" i="4"/>
  <c r="M14" i="4"/>
  <c r="L14" i="4"/>
  <c r="K14" i="4"/>
  <c r="J14" i="4"/>
  <c r="T13" i="4"/>
  <c r="S13" i="4"/>
  <c r="R13" i="4"/>
  <c r="Q13" i="4"/>
  <c r="P13" i="4"/>
  <c r="O13" i="4"/>
  <c r="N13" i="4"/>
  <c r="M13" i="4"/>
  <c r="L13" i="4"/>
  <c r="K13" i="4"/>
  <c r="J13" i="4"/>
  <c r="S12" i="4"/>
  <c r="O12" i="4"/>
  <c r="M12" i="4"/>
  <c r="L12" i="4"/>
  <c r="S11" i="4"/>
  <c r="O11" i="4"/>
  <c r="M11" i="4"/>
  <c r="L11" i="4"/>
  <c r="S10" i="4"/>
  <c r="O10" i="4"/>
  <c r="N10" i="4"/>
  <c r="Q10" i="4" s="1"/>
  <c r="M10" i="4"/>
  <c r="L10" i="4"/>
  <c r="S9" i="4"/>
  <c r="O9" i="4"/>
  <c r="M9" i="4"/>
  <c r="K9" i="4"/>
  <c r="S8" i="4"/>
  <c r="F16" i="3"/>
  <c r="F15" i="3"/>
  <c r="H14" i="3"/>
  <c r="F14" i="3"/>
  <c r="F13" i="3"/>
  <c r="F12" i="3"/>
  <c r="E12" i="3"/>
  <c r="J10" i="4" s="1"/>
  <c r="F11" i="3"/>
  <c r="F10" i="3"/>
  <c r="E10" i="3"/>
  <c r="F9" i="3"/>
  <c r="K12" i="4" s="1"/>
  <c r="E9" i="3"/>
  <c r="J12" i="4" s="1"/>
  <c r="F8" i="3"/>
  <c r="E8" i="3"/>
  <c r="E38" i="2"/>
  <c r="E39" i="2" s="1"/>
  <c r="E22" i="2"/>
  <c r="Q8" i="4" l="1"/>
  <c r="O8" i="4"/>
  <c r="P8" i="4" s="1"/>
  <c r="F29" i="4"/>
  <c r="M8" i="4"/>
  <c r="E13" i="6"/>
  <c r="E12" i="6"/>
  <c r="P10" i="4"/>
  <c r="R10" i="4"/>
  <c r="I43" i="5"/>
  <c r="H16" i="6" s="1"/>
  <c r="I41" i="5"/>
  <c r="H14" i="6" s="1"/>
  <c r="I91" i="5"/>
  <c r="H19" i="6" s="1"/>
  <c r="D53" i="4"/>
  <c r="I39" i="5"/>
  <c r="H12" i="6" s="1"/>
  <c r="H75" i="5"/>
  <c r="H78" i="5" s="1"/>
  <c r="J78" i="5" s="1"/>
  <c r="T11" i="4"/>
  <c r="I16" i="5"/>
  <c r="H8" i="6" s="1"/>
  <c r="I36" i="5"/>
  <c r="H9" i="6" s="1"/>
  <c r="L91" i="5"/>
  <c r="F9" i="6"/>
  <c r="F16" i="6"/>
  <c r="I40" i="5"/>
  <c r="H13" i="6" s="1"/>
  <c r="F14" i="6"/>
  <c r="L36" i="5"/>
  <c r="L16" i="5"/>
  <c r="I90" i="5"/>
  <c r="H18" i="6" s="1"/>
  <c r="D17" i="6"/>
  <c r="K11" i="4"/>
  <c r="N11" i="4" s="1"/>
  <c r="Q11" i="4" s="1"/>
  <c r="R11" i="4" s="1"/>
  <c r="I37" i="5"/>
  <c r="H10" i="6" s="1"/>
  <c r="I42" i="5"/>
  <c r="H15" i="6" s="1"/>
  <c r="F50" i="5"/>
  <c r="E9" i="6"/>
  <c r="E10" i="6"/>
  <c r="E14" i="6"/>
  <c r="E16" i="6"/>
  <c r="D52" i="4"/>
  <c r="I38" i="5"/>
  <c r="H11" i="6" s="1"/>
  <c r="I70" i="5"/>
  <c r="H17" i="6" s="1"/>
  <c r="L90" i="5"/>
  <c r="T9" i="4"/>
  <c r="T12" i="4"/>
  <c r="D51" i="4"/>
  <c r="N9" i="4"/>
  <c r="T10" i="4"/>
  <c r="N12" i="4"/>
  <c r="Q12" i="4" s="1"/>
  <c r="P12" i="4" s="1"/>
  <c r="J11" i="4"/>
  <c r="Q9" i="4" l="1"/>
  <c r="R9" i="4" s="1"/>
  <c r="R8" i="4"/>
  <c r="D59" i="4"/>
  <c r="R12" i="4"/>
  <c r="D37" i="4"/>
  <c r="D43" i="4"/>
  <c r="H42" i="5" s="1"/>
  <c r="D42" i="4"/>
  <c r="H41" i="5" s="1"/>
  <c r="D40" i="4"/>
  <c r="H39" i="5" s="1"/>
  <c r="D41" i="4"/>
  <c r="H40" i="5" s="1"/>
  <c r="D39" i="4"/>
  <c r="H38" i="5" s="1"/>
  <c r="P11" i="4"/>
  <c r="P9" i="4" l="1"/>
  <c r="D50" i="4" s="1"/>
  <c r="R29" i="4"/>
  <c r="D44" i="4" s="1"/>
  <c r="H43" i="5" s="1"/>
  <c r="H55" i="5" s="1"/>
  <c r="C106" i="5"/>
  <c r="C105" i="5"/>
  <c r="S29" i="4"/>
  <c r="D11" i="6"/>
  <c r="G11" i="6"/>
  <c r="K11" i="6" s="1"/>
  <c r="H50" i="5"/>
  <c r="D13" i="6"/>
  <c r="G13" i="6"/>
  <c r="K13" i="6" s="1"/>
  <c r="H52" i="5"/>
  <c r="D12" i="6"/>
  <c r="H51" i="5"/>
  <c r="G12" i="6"/>
  <c r="K12" i="6" s="1"/>
  <c r="D14" i="6"/>
  <c r="H53" i="5"/>
  <c r="G14" i="6"/>
  <c r="K14" i="6" s="1"/>
  <c r="D15" i="6"/>
  <c r="H54" i="5"/>
  <c r="G15" i="6"/>
  <c r="K15" i="6" s="1"/>
  <c r="H36" i="5"/>
  <c r="D16" i="6" l="1"/>
  <c r="G16" i="6"/>
  <c r="K16" i="6" s="1"/>
  <c r="D38" i="4"/>
  <c r="H37" i="5" s="1"/>
  <c r="D10" i="6" s="1"/>
  <c r="Q29" i="4"/>
  <c r="Q31" i="4" s="1"/>
  <c r="R31" i="4" s="1"/>
  <c r="S31" i="4" s="1"/>
  <c r="D9" i="6"/>
  <c r="H48" i="5"/>
  <c r="G9" i="6"/>
  <c r="K9" i="6" s="1"/>
  <c r="G10" i="6" l="1"/>
  <c r="K10" i="6" s="1"/>
  <c r="D45" i="4"/>
  <c r="D46" i="4" s="1"/>
  <c r="H49" i="5"/>
  <c r="H58" i="5" s="1"/>
  <c r="D58" i="4"/>
  <c r="D61" i="4" s="1"/>
  <c r="K36" i="5"/>
  <c r="I56" i="5" s="1"/>
  <c r="I58" i="5" s="1"/>
  <c r="J58" i="5" l="1"/>
  <c r="H90" i="5"/>
  <c r="H91" i="5"/>
  <c r="K91" i="5"/>
  <c r="I97" i="5" s="1"/>
  <c r="K90" i="5"/>
  <c r="I98" i="5" s="1"/>
  <c r="D18" i="6" l="1"/>
  <c r="G18" i="6"/>
  <c r="K18" i="6" s="1"/>
  <c r="H96" i="5"/>
  <c r="I100" i="5"/>
  <c r="D19" i="6"/>
  <c r="H98" i="5"/>
  <c r="G19" i="6"/>
  <c r="K19" i="6" s="1"/>
  <c r="G21" i="6" l="1"/>
  <c r="H100" i="5"/>
  <c r="J100" i="5" s="1"/>
  <c r="H111" i="5" s="1"/>
  <c r="I111" i="5" s="1"/>
</calcChain>
</file>

<file path=xl/sharedStrings.xml><?xml version="1.0" encoding="utf-8"?>
<sst xmlns="http://schemas.openxmlformats.org/spreadsheetml/2006/main" count="469" uniqueCount="291">
  <si>
    <t>Template decont de cheltuieli — jurnale generate declarativ</t>
  </si>
  <si>
    <t>Expense claim template — journals generated from declarations</t>
  </si>
  <si>
    <t>Cum funcționează / How it works</t>
  </si>
  <si>
    <t>1.  Declarații — completezi o singură dată antetul, regimul de TVA și politica de conturi.</t>
  </si>
  <si>
    <t>2.  Reguli — tabelele fiscale: natura cheltuielii → cont + cotă TVA + regim; matricea dreptului de deducere.</t>
  </si>
  <si>
    <t>3.  Decont — lipești liniile din decontul primit; motorul clasifică fiecare rând automat.</t>
  </si>
  <si>
    <t>4.  Jurnale — se populează singure, pe momente contabile, cu Sumar și Check pe fiecare bloc.</t>
  </si>
  <si>
    <t>5.  NotaExport — o linie = o înregistrare, gata de import în programul de contabilitate.</t>
  </si>
  <si>
    <t>Ce se editează manual / What to fill in</t>
  </si>
  <si>
    <t>Doar celulele cu fond galben și scris albastru. Restul sunt formule — nu le suprascrie.</t>
  </si>
  <si>
    <t>Only the yellow cells with blue text. Everything else is a formula — do not overwrite.</t>
  </si>
  <si>
    <t>Variabilele care schimbă jurnalele / Levers that rewrite the journals</t>
  </si>
  <si>
    <t>decl_platitor_tva      DA → NU  colapsează 4426 la zero și trece TVA-ul integral în cheltuială.</t>
  </si>
  <si>
    <t>decl_cota_standard     21% → orice valoare: recalculează baza și TVA pe toate liniile la cotă standard.</t>
  </si>
  <si>
    <t>decl_cont_datorie      542 / 462 / 4281: schimbă contul de datorie față de titular în toate blocurile.</t>
  </si>
  <si>
    <t>decl_cont_transport    624 / 625: comută politica pentru bilete, parcări, taxi.</t>
  </si>
  <si>
    <t>decl_cont_masa         625 / 6231 / 6588: comută tratamentul consumațiilor din deplasare.</t>
  </si>
  <si>
    <t>decl_avans             &gt; 0 activează blocurile de acordare și regularizare a avansului.</t>
  </si>
  <si>
    <t>decl_ded_vehicule      50%: procentul de deducere TVA pentru cheltuielile cu vehiculele (art. 298).</t>
  </si>
  <si>
    <t>Controale încorporate / Built-in controls</t>
  </si>
  <si>
    <t>•  Fiecare bloc de jurnal are rând Check = total Dr − total Cr, care trebuie să fie zero.</t>
  </si>
  <si>
    <t>•  Decont!Control verifică: bază + TVA deductibil + sume neacceptate = total decont.</t>
  </si>
  <si>
    <t>•  Declarații!Verdict control compară avansul declarat de titular cu soldul din balanță.</t>
  </si>
  <si>
    <t>•  Coloana „Regula aplicată” din Decont arată de ce fiecare linie a primit tratamentul respectiv.</t>
  </si>
  <si>
    <t>Surse pentru constantele fiscale / Sources for the tax constants</t>
  </si>
  <si>
    <t>Cote TVA 21% / 11%: Legea 141/2025, aplicabile de la 01.08.2025 (art. 291 Cod fiscal).</t>
  </si>
  <si>
    <t>Scutire cu drept de deducere, transport internațional de persoane: art. 294 alin. (1) Cod fiscal.</t>
  </si>
  <si>
    <t>Factură simplificată / bon fiscal până la 100 EUR cu CUI: art. 319 Cod fiscal.</t>
  </si>
  <si>
    <t>Deducere TVA 50% pentru vehicule fără utilizare exclusivă: art. 298 Cod fiscal.</t>
  </si>
  <si>
    <t>Curs EUR și plafonul în lei: introduse de utilizator — de actualizat la data fiecărui decont.</t>
  </si>
  <si>
    <t>Limitare cunoscută / Known limitation</t>
  </si>
  <si>
    <t>Liniile fără document justificativ nu se înregistrează pe cheltuială. Dacă societatea decide</t>
  </si>
  <si>
    <t>totuși plata, suma devine avantaj de natură salarială și se tratează în statul de plată</t>
  </si>
  <si>
    <t>(impozit, CAS, CASS, CAM) — nu în acest template. Blocul 5 din Jurnale semnalează situația.</t>
  </si>
  <si>
    <t>Declarații / Declarations</t>
  </si>
  <si>
    <t>Se completează manual doar celulele galbene. Tot restul fișierului derivă din ele.</t>
  </si>
  <si>
    <t>Fill in only the yellow cells. Everything else in the workbook derives from them.</t>
  </si>
  <si>
    <t>1.  Antet decont / Claim header</t>
  </si>
  <si>
    <t>Societate</t>
  </si>
  <si>
    <t>Company</t>
  </si>
  <si>
    <t>SC AS KIDS TOYS SRL</t>
  </si>
  <si>
    <t>CUI</t>
  </si>
  <si>
    <t>Tax ID</t>
  </si>
  <si>
    <t>RO39195258</t>
  </si>
  <si>
    <t>Titular decont</t>
  </si>
  <si>
    <t>Expense claimant</t>
  </si>
  <si>
    <t>CHIRIACESCU DIANA</t>
  </si>
  <si>
    <t>Data decontului</t>
  </si>
  <si>
    <t>Claim date</t>
  </si>
  <si>
    <t>Moneda</t>
  </si>
  <si>
    <t>Currency</t>
  </si>
  <si>
    <t>RON</t>
  </si>
  <si>
    <t>2.  Declarații fiscale / Tax declarations</t>
  </si>
  <si>
    <t>Societate plătitoare de TVA</t>
  </si>
  <si>
    <t>VAT registered</t>
  </si>
  <si>
    <t>DA</t>
  </si>
  <si>
    <t>DA / NU</t>
  </si>
  <si>
    <t>Cota TVA standard</t>
  </si>
  <si>
    <t>Standard VAT rate</t>
  </si>
  <si>
    <t>Legea 141/2025, în vigoare de la 01.08.2025</t>
  </si>
  <si>
    <t>Cota TVA redusă</t>
  </si>
  <si>
    <t>Reduced VAT rate</t>
  </si>
  <si>
    <t>HoReCa, transport de persoane, cazare</t>
  </si>
  <si>
    <t>Plafon factură simplificată (EUR)</t>
  </si>
  <si>
    <t>Simplified invoice cap (EUR)</t>
  </si>
  <si>
    <t>art. 319 Cod fiscal</t>
  </si>
  <si>
    <t>Curs EUR la data decontului</t>
  </si>
  <si>
    <t>EUR rate at claim date</t>
  </si>
  <si>
    <t>introdus manual — de actualizat (curs BNR)</t>
  </si>
  <si>
    <t>Plafon în lei</t>
  </si>
  <si>
    <t>Cap in RON</t>
  </si>
  <si>
    <t>calculat</t>
  </si>
  <si>
    <t>Procent deducere TVA vehicule</t>
  </si>
  <si>
    <t>VAT deduction rate, vehicles</t>
  </si>
  <si>
    <t>art. 298 — 50% dacă nu e utilizare exclusivă</t>
  </si>
  <si>
    <t>3.  Politica de conturi / Account policy</t>
  </si>
  <si>
    <t>Cont datorie față de titular</t>
  </si>
  <si>
    <t>Payable to claimant</t>
  </si>
  <si>
    <t>542 / 462 / 4281 — comutator</t>
  </si>
  <si>
    <t>Cont avans de trezorerie</t>
  </si>
  <si>
    <t>Cash advance account</t>
  </si>
  <si>
    <t>542 / 425</t>
  </si>
  <si>
    <t>Cont transport și parcare</t>
  </si>
  <si>
    <t>Transport &amp; parking account</t>
  </si>
  <si>
    <t>624 / 625 — comutator</t>
  </si>
  <si>
    <t>Cont masă în deplasare</t>
  </si>
  <si>
    <t>Meals on business trip</t>
  </si>
  <si>
    <t>625 / 6231 / 6588 — comutator</t>
  </si>
  <si>
    <t>Cont trezorerie pentru plăți</t>
  </si>
  <si>
    <t>Treasury account for payments</t>
  </si>
  <si>
    <t>5121 / 5311</t>
  </si>
  <si>
    <t>4.  Avans și control / Advance and control</t>
  </si>
  <si>
    <t>Avans primit (declarat în decont)</t>
  </si>
  <si>
    <t>Advance per claim form</t>
  </si>
  <si>
    <t>Data acordării avansului</t>
  </si>
  <si>
    <t>Advance date</t>
  </si>
  <si>
    <t>se completează doar dacă există avans</t>
  </si>
  <si>
    <t>Sold cont avans din balanță</t>
  </si>
  <si>
    <t>Advance balance per trial balance</t>
  </si>
  <si>
    <t>din fișa contului la data decontului</t>
  </si>
  <si>
    <t>Diferență de verificat</t>
  </si>
  <si>
    <t>Difference to check</t>
  </si>
  <si>
    <t>Verdict control</t>
  </si>
  <si>
    <t>Control verdict</t>
  </si>
  <si>
    <t>compară declarația titularului cu evidența contabilă</t>
  </si>
  <si>
    <t>Data plății / restituirii</t>
  </si>
  <si>
    <t>Settlement date</t>
  </si>
  <si>
    <t>5.  Sufix generat pentru descrieri / Generated description suffix</t>
  </si>
  <si>
    <t>Sufix descriere</t>
  </si>
  <si>
    <t>Description suffix</t>
  </si>
  <si>
    <t>Reguli fiscale / Tax rules</t>
  </si>
  <si>
    <t>Regula fiscală este dată, nu formulă. Când se schimbă legea, se editează tabelul — nu jurnalele.</t>
  </si>
  <si>
    <t>Tabel A — Natura cheltuielii / Expense nature</t>
  </si>
  <si>
    <t>Cod</t>
  </si>
  <si>
    <t>Natura cheltuielii</t>
  </si>
  <si>
    <t>Expense nature</t>
  </si>
  <si>
    <t>Cont</t>
  </si>
  <si>
    <t>Cotă TVA</t>
  </si>
  <si>
    <t>Regim TVA</t>
  </si>
  <si>
    <t>% deducere</t>
  </si>
  <si>
    <t>Impozit pe profit</t>
  </si>
  <si>
    <t>Temei / observație</t>
  </si>
  <si>
    <t>TRANSP_INT</t>
  </si>
  <si>
    <t>Transport aerian internațional de persoane</t>
  </si>
  <si>
    <t>International air travel</t>
  </si>
  <si>
    <t>Scutit cu drept de deducere</t>
  </si>
  <si>
    <t>Deductibil</t>
  </si>
  <si>
    <t>art. 294 alin. (1) — scutire cu drept de deducere, TVA zero</t>
  </si>
  <si>
    <t>TRANSP_INTERN</t>
  </si>
  <si>
    <t>Transport intern de persoane</t>
  </si>
  <si>
    <t>Domestic passenger transport</t>
  </si>
  <si>
    <t>Taxabil</t>
  </si>
  <si>
    <t>cotă redusă</t>
  </si>
  <si>
    <t>PARCARE</t>
  </si>
  <si>
    <t>Parcare, taxe de drum</t>
  </si>
  <si>
    <t>Parking, road tolls</t>
  </si>
  <si>
    <t>cotă standard</t>
  </si>
  <si>
    <t>TAXI</t>
  </si>
  <si>
    <t>Taxi, transfer aeroport</t>
  </si>
  <si>
    <t>Taxi, airport transfer</t>
  </si>
  <si>
    <t>transport de persoane</t>
  </si>
  <si>
    <t>CAZARE</t>
  </si>
  <si>
    <t>Cazare hotelieră</t>
  </si>
  <si>
    <t>Hotel accommodation</t>
  </si>
  <si>
    <t>cotă redusă HoReCa</t>
  </si>
  <si>
    <t>MASA</t>
  </si>
  <si>
    <t>Masă în deplasare</t>
  </si>
  <si>
    <t>restaurant/catering; dacă se acordă diurnă, comută pe 6588</t>
  </si>
  <si>
    <t>PROTOCOL</t>
  </si>
  <si>
    <t>Protocol cu partener / client</t>
  </si>
  <si>
    <t>Client entertainment</t>
  </si>
  <si>
    <t>Deductibil limitat 2%</t>
  </si>
  <si>
    <t>limita de 2% din profitul contabil</t>
  </si>
  <si>
    <t>COMBUSTIBIL</t>
  </si>
  <si>
    <t>Combustibil auto</t>
  </si>
  <si>
    <t>Vehicle fuel</t>
  </si>
  <si>
    <t>Deductibil limitat 50%</t>
  </si>
  <si>
    <t>art. 298 — deducere TVA 50% fără utilizare exclusivă</t>
  </si>
  <si>
    <t>SERVICII</t>
  </si>
  <si>
    <t>Alte servicii executate de terți</t>
  </si>
  <si>
    <t>Other third-party services</t>
  </si>
  <si>
    <t>MATERIALE</t>
  </si>
  <si>
    <t>Materiale consumabile</t>
  </si>
  <si>
    <t>Consumables</t>
  </si>
  <si>
    <t>PERSONAL</t>
  </si>
  <si>
    <t>Cheltuială personală / nejustificată</t>
  </si>
  <si>
    <t>Personal, unjustified</t>
  </si>
  <si>
    <t>Fără drept de deducere</t>
  </si>
  <si>
    <t>Nedeductibil</t>
  </si>
  <si>
    <t>nu se acceptă la deducere fiscală</t>
  </si>
  <si>
    <t>Tabel B — Matricea dreptului de deducere / VAT deduction matrix</t>
  </si>
  <si>
    <t>Cheie</t>
  </si>
  <si>
    <t>Tip document</t>
  </si>
  <si>
    <t>CUI pe document</t>
  </si>
  <si>
    <t>Deducere TVA</t>
  </si>
  <si>
    <t>Cheltuială acceptată</t>
  </si>
  <si>
    <t>Motivare</t>
  </si>
  <si>
    <t>Factura|DA</t>
  </si>
  <si>
    <t>Factura</t>
  </si>
  <si>
    <t>Factură completă conform art. 319 — TVA deductibil</t>
  </si>
  <si>
    <t>Factura|NU</t>
  </si>
  <si>
    <t>NU</t>
  </si>
  <si>
    <t>Lipsesc datele cumpărătorului — TVA nedeductibil, cheltuiala rămâne</t>
  </si>
  <si>
    <t>Bon fiscal|DA</t>
  </si>
  <si>
    <t>Bon fiscal</t>
  </si>
  <si>
    <t>Factură simplificată — deducere permisă sub plafon</t>
  </si>
  <si>
    <t>Bon fiscal|NU</t>
  </si>
  <si>
    <t>Bon fără CUI — TVA nedeductibil; justificare cu ordin de deplasare</t>
  </si>
  <si>
    <t>Lipsa document|DA</t>
  </si>
  <si>
    <t>Lipsa document</t>
  </si>
  <si>
    <t>Fără document justificativ — decontul nu se acceptă</t>
  </si>
  <si>
    <t>Lipsa document|NU</t>
  </si>
  <si>
    <t>Liste pentru validare / Validation lists</t>
  </si>
  <si>
    <t>Cod natură</t>
  </si>
  <si>
    <t>Cont datorie</t>
  </si>
  <si>
    <t>Cont transport</t>
  </si>
  <si>
    <t>Cont masă</t>
  </si>
  <si>
    <t>Cont trezorerie</t>
  </si>
  <si>
    <t>Cont avans</t>
  </si>
  <si>
    <t>Registrul liniilor de decont / Expense claim line register</t>
  </si>
  <si>
    <t>Coloanele B–J se completează (galben). Coloanele K–U sunt motorul de clasificare — formule.</t>
  </si>
  <si>
    <t>Fill in columns B–J. Columns K–U are the classification engine — formulas only.</t>
  </si>
  <si>
    <t>Nr.</t>
  </si>
  <si>
    <t>Denumire furnizor</t>
  </si>
  <si>
    <t>Data doc.</t>
  </si>
  <si>
    <t>Sumă brută</t>
  </si>
  <si>
    <t>Monedă</t>
  </si>
  <si>
    <t>Natura chelt.</t>
  </si>
  <si>
    <t>CUI pe doc.</t>
  </si>
  <si>
    <t>Cotă</t>
  </si>
  <si>
    <t>% ded.</t>
  </si>
  <si>
    <t>Deducere</t>
  </si>
  <si>
    <t>Acceptat</t>
  </si>
  <si>
    <t>Bază cheltuială</t>
  </si>
  <si>
    <t>TVA deductibil</t>
  </si>
  <si>
    <t>TVA în cheltuială</t>
  </si>
  <si>
    <t>Regula aplicată</t>
  </si>
  <si>
    <t>WIZZ AIR MALTA LIMITED</t>
  </si>
  <si>
    <t>CITY CAFÉ EXPRESS</t>
  </si>
  <si>
    <t>OLIMPIA PARKING</t>
  </si>
  <si>
    <t>TOTAL</t>
  </si>
  <si>
    <t>Control: bază + TVA deductibil + sume neacceptate = total decont</t>
  </si>
  <si>
    <t>Sinteză pe cont — alimentează jurnalul de cheltuieli / Account summary</t>
  </si>
  <si>
    <t>Denumire cont</t>
  </si>
  <si>
    <t>Sumă</t>
  </si>
  <si>
    <t>Cheltuieli cu transportul de bunuri și personal</t>
  </si>
  <si>
    <t>Cheltuieli cu deplasări, detașări și transferări</t>
  </si>
  <si>
    <t>Cheltuieli de protocol</t>
  </si>
  <si>
    <t>Cheltuieli cu combustibilul</t>
  </si>
  <si>
    <t>Cheltuieli cu alte materiale consumabile</t>
  </si>
  <si>
    <t>Alte cheltuieli cu serviciile executate de terți</t>
  </si>
  <si>
    <t>Alte cheltuieli de exploatare</t>
  </si>
  <si>
    <t>TVA deductibilă</t>
  </si>
  <si>
    <t>Total sinteză</t>
  </si>
  <si>
    <t>Verificare acoperire conturi (trebuie 0)</t>
  </si>
  <si>
    <t>Memo fiscal — impozit pe profit / Corporate tax memo</t>
  </si>
  <si>
    <t>Deductibil integral</t>
  </si>
  <si>
    <t>Deductibil limitat 2% (protocol)</t>
  </si>
  <si>
    <t>Deductibil limitat 50% (vehicule)</t>
  </si>
  <si>
    <t>Recapitulație decont / Claim recap</t>
  </si>
  <si>
    <t>Total datorat titularului (cheltuieli acceptate + TVA)</t>
  </si>
  <si>
    <t>Total neacceptat (fără document justificativ)</t>
  </si>
  <si>
    <t>Avans acordat</t>
  </si>
  <si>
    <t>De plătit titularului (+) / de restituit de titular (−)</t>
  </si>
  <si>
    <t>Jurnale pe momente contabile / Journals by accounting moment</t>
  </si>
  <si>
    <t>Nu se scrie nimic manual în acest sheet. Toate sumele derivă din Declarații și Decont.</t>
  </si>
  <si>
    <t>Nothing is typed here. All amounts derive from Declarations and the claim register.</t>
  </si>
  <si>
    <t>Bloc 1 — Acordarea avansului de trezorerie / Cash advance granted</t>
  </si>
  <si>
    <t>Înregistrări / Entries</t>
  </si>
  <si>
    <t>Dr</t>
  </si>
  <si>
    <t>Cr</t>
  </si>
  <si>
    <t>Descriere</t>
  </si>
  <si>
    <t>Avans</t>
  </si>
  <si>
    <t>Sumar / Summary</t>
  </si>
  <si>
    <t>Avansuri de trezorerie</t>
  </si>
  <si>
    <t>Trezorerie</t>
  </si>
  <si>
    <t>Check (Dr − Cr = 0)</t>
  </si>
  <si>
    <t>Bloc 2 — Recunoașterea cheltuielilor din decont / Expense recognition</t>
  </si>
  <si>
    <t>Data jurnal: data decontului. Sumele vin din sinteza pe cont a registrului de linii.</t>
  </si>
  <si>
    <t>Journal date: claim date. Amounts come from the account summary of the line register.</t>
  </si>
  <si>
    <t>Cheltuieli decont</t>
  </si>
  <si>
    <t>Datorie față de titular</t>
  </si>
  <si>
    <t>Bloc 3 — Regularizarea avansului / Advance clearing</t>
  </si>
  <si>
    <t>Journal date: claim date. Only applies when the payable and advance accounts differ.</t>
  </si>
  <si>
    <t>Compensare</t>
  </si>
  <si>
    <t>Bloc 4 — Plata soldului / restituirea de la titular / Settlement</t>
  </si>
  <si>
    <t>Data jurnal: de pe extrasul de cont sau din registrul de casă. Un singur rând din cele două va fi nenul.</t>
  </si>
  <si>
    <t>Journal date: per bank statement or cash register. Only one of the two rows will be non-zero.</t>
  </si>
  <si>
    <t>Plata către titular</t>
  </si>
  <si>
    <t>Restituire de la titular</t>
  </si>
  <si>
    <t>Bloc 5 — Sume fără document justificativ (memo, nu jurnal) / Undocumented amounts</t>
  </si>
  <si>
    <t>Control general / Overall control</t>
  </si>
  <si>
    <t>Suma tuturor rândurilor Check (trebuie 0)</t>
  </si>
  <si>
    <t>Notă contabilă pentru import / Journal entry export</t>
  </si>
  <si>
    <t>Un rând = o înregistrare. Filtrează pe coloana „Include” = DA înainte de import.</t>
  </si>
  <si>
    <t>One row = one entry. Filter Include = DA before importing.</t>
  </si>
  <si>
    <t>Bloc</t>
  </si>
  <si>
    <t>Data</t>
  </si>
  <si>
    <t>Cont Dr</t>
  </si>
  <si>
    <t>Cont Cr</t>
  </si>
  <si>
    <t>Analitic</t>
  </si>
  <si>
    <t>Document</t>
  </si>
  <si>
    <t>Include</t>
  </si>
  <si>
    <t>Bloc 1 — Avans</t>
  </si>
  <si>
    <t>Bloc 2 — Cheltuieli</t>
  </si>
  <si>
    <t>Bloc 3 — Regularizare</t>
  </si>
  <si>
    <t>Bloc 4 — Plată</t>
  </si>
  <si>
    <t>Bloc 4 — Restituire</t>
  </si>
  <si>
    <t>Rânduri de importat (Include = DA)</t>
  </si>
  <si>
    <t>Echilibrul Dr = Cr se verifică pe fiecare bloc în sheet-ul Jurnale, nu pe totalul acestei liste.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</si>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</sst>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000"/>
    <numFmt numFmtId="166" formatCode="#,##0.00;\(#,##0.00\);\-"/>
  </numFmts>
  <fonts count="12" x14ac:knownFonts="1">
    <font>
      <sz val="11"/>
      <color theme="1"/>
      <name val="Calibri"/>
      <family val="2"/>
      <charset val="1"/>
    </font>
    <font>
      <b/>
      <sz val="14"/>
      <name val="Arial"/>
      <charset val="1"/>
    </font>
    <font>
      <i/>
      <sz val="10"/>
      <color rgb="FF808080"/>
      <name val="Arial"/>
      <charset val="1"/>
    </font>
    <font>
      <b/>
      <sz val="11"/>
      <name val="Arial"/>
      <charset val="1"/>
    </font>
    <font>
      <sz val="10"/>
      <name val="Arial"/>
      <charset val="1"/>
    </font>
    <font>
      <sz val="9"/>
      <name val="Arial"/>
      <charset val="1"/>
    </font>
    <font>
      <i/>
      <sz val="9"/>
      <color rgb="FF808080"/>
      <name val="Arial"/>
      <charset val="1"/>
    </font>
    <font>
      <sz val="10"/>
      <color rgb="FF0000FF"/>
      <name val="Arial"/>
      <charset val="1"/>
    </font>
    <font>
      <b/>
      <sz val="10"/>
      <color rgb="FFFFFFFF"/>
      <name val="Arial"/>
      <charset val="1"/>
    </font>
    <font>
      <sz val="10"/>
      <color rgb="FF008000"/>
      <name val="Arial"/>
      <charset val="1"/>
    </font>
    <font>
      <b/>
      <sz val="10"/>
      <name val="Arial"/>
      <charset val="1"/>
    </font>
    <font>
      <sz val="10"/>
      <color rgb="FFFF0000"/>
      <name val="Arial"/>
      <family val="2"/>
    </font>
  </fonts>
  <fills count="7">
    <fill>
      <patternFill patternType="none"/>
    </fill>
    <fill>
      <patternFill patternType="gray125"/>
    </fill>
    <fill>
      <patternFill patternType="solid">
        <fgColor rgb="FFFFFF99"/>
        <bgColor rgb="FFEDEDED"/>
      </patternFill>
    </fill>
    <fill>
      <patternFill patternType="solid">
        <fgColor rgb="FF44546A"/>
        <bgColor rgb="FF333399"/>
      </patternFill>
    </fill>
    <fill>
      <patternFill patternType="solid">
        <fgColor rgb="FFEDEDED"/>
        <bgColor rgb="FFD9E1F2"/>
      </patternFill>
    </fill>
    <fill>
      <patternFill patternType="solid">
        <fgColor rgb="FFD9E1F2"/>
        <bgColor rgb="FFEDEDED"/>
      </patternFill>
    </fill>
    <fill>
      <patternFill patternType="solid">
        <fgColor rgb="FFFFC000"/>
        <bgColor rgb="FFEDEDED"/>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2" borderId="1" xfId="0" applyFont="1" applyFill="1" applyBorder="1"/>
    <xf numFmtId="164" fontId="7" fillId="2" borderId="1" xfId="0" applyNumberFormat="1" applyFont="1" applyFill="1" applyBorder="1"/>
    <xf numFmtId="166" fontId="4" fillId="0" borderId="1" xfId="0" applyNumberFormat="1" applyFont="1" applyBorder="1"/>
    <xf numFmtId="166" fontId="7" fillId="2" borderId="1" xfId="0" applyNumberFormat="1" applyFont="1" applyFill="1" applyBorder="1"/>
    <xf numFmtId="0" fontId="4" fillId="0" borderId="1" xfId="0" applyFont="1" applyBorder="1"/>
    <xf numFmtId="0" fontId="8" fillId="3" borderId="1" xfId="0" applyFont="1" applyFill="1" applyBorder="1" applyAlignment="1">
      <alignment horizontal="center" vertical="center"/>
    </xf>
    <xf numFmtId="1" fontId="9" fillId="0" borderId="1" xfId="0" applyNumberFormat="1" applyFont="1" applyBorder="1"/>
    <xf numFmtId="10" fontId="4" fillId="0" borderId="1" xfId="0" applyNumberFormat="1" applyFont="1" applyBorder="1"/>
    <xf numFmtId="0" fontId="5" fillId="0" borderId="1" xfId="0" applyFont="1" applyBorder="1"/>
    <xf numFmtId="10" fontId="9" fillId="0" borderId="1" xfId="0" applyNumberFormat="1" applyFont="1" applyBorder="1"/>
    <xf numFmtId="1" fontId="4" fillId="0" borderId="1" xfId="0" applyNumberFormat="1" applyFont="1" applyBorder="1"/>
    <xf numFmtId="1" fontId="5" fillId="0" borderId="1" xfId="0" applyNumberFormat="1" applyFont="1" applyBorder="1"/>
    <xf numFmtId="0" fontId="10" fillId="0" borderId="0" xfId="0" applyFont="1"/>
    <xf numFmtId="166" fontId="10" fillId="4" borderId="1" xfId="0" applyNumberFormat="1" applyFont="1" applyFill="1" applyBorder="1"/>
    <xf numFmtId="166" fontId="10" fillId="0" borderId="1" xfId="0" applyNumberFormat="1" applyFont="1" applyBorder="1"/>
    <xf numFmtId="0" fontId="10" fillId="0" borderId="1" xfId="0" applyFont="1" applyBorder="1"/>
    <xf numFmtId="0" fontId="10" fillId="5" borderId="0" xfId="0" applyFont="1" applyFill="1" applyAlignment="1">
      <alignment horizontal="center" vertical="center"/>
    </xf>
    <xf numFmtId="164" fontId="4" fillId="0" borderId="1" xfId="0" applyNumberFormat="1" applyFont="1" applyBorder="1"/>
    <xf numFmtId="0" fontId="4" fillId="0" borderId="1" xfId="0" applyFont="1" applyBorder="1" applyAlignment="1">
      <alignment horizontal="center" vertical="center"/>
    </xf>
    <xf numFmtId="1" fontId="10" fillId="4" borderId="1" xfId="0" applyNumberFormat="1" applyFont="1" applyFill="1" applyBorder="1"/>
    <xf numFmtId="0" fontId="0" fillId="0" borderId="0" xfId="0" applyAlignment="1">
      <alignment horizontal="center"/>
    </xf>
    <xf numFmtId="0" fontId="7" fillId="2" borderId="1" xfId="0" applyFont="1" applyFill="1" applyBorder="1" applyAlignment="1">
      <alignment horizontal="center"/>
    </xf>
    <xf numFmtId="0" fontId="7" fillId="6" borderId="1" xfId="0" applyFont="1" applyFill="1" applyBorder="1" applyAlignment="1">
      <alignment horizontal="center"/>
    </xf>
    <xf numFmtId="164" fontId="7" fillId="2" borderId="1" xfId="0" applyNumberFormat="1" applyFont="1" applyFill="1" applyBorder="1" applyAlignment="1">
      <alignment horizontal="center"/>
    </xf>
    <xf numFmtId="10" fontId="7" fillId="2" borderId="1" xfId="0" applyNumberFormat="1" applyFont="1" applyFill="1" applyBorder="1" applyAlignment="1">
      <alignment horizontal="center"/>
    </xf>
    <xf numFmtId="165" fontId="7" fillId="2" borderId="1" xfId="0" applyNumberFormat="1" applyFont="1" applyFill="1" applyBorder="1" applyAlignment="1">
      <alignment horizontal="center"/>
    </xf>
    <xf numFmtId="166" fontId="4" fillId="0" borderId="1" xfId="0" applyNumberFormat="1" applyFont="1" applyBorder="1" applyAlignment="1">
      <alignment horizontal="center"/>
    </xf>
    <xf numFmtId="1" fontId="7" fillId="2" borderId="1" xfId="0" applyNumberFormat="1" applyFont="1" applyFill="1" applyBorder="1" applyAlignment="1">
      <alignment horizontal="center"/>
    </xf>
    <xf numFmtId="166" fontId="7" fillId="2" borderId="1" xfId="0" applyNumberFormat="1" applyFont="1" applyFill="1" applyBorder="1" applyAlignment="1">
      <alignment horizontal="center"/>
    </xf>
    <xf numFmtId="0" fontId="4" fillId="0" borderId="1" xfId="0" applyFont="1" applyBorder="1" applyAlignment="1">
      <alignment horizontal="center"/>
    </xf>
    <xf numFmtId="0" fontId="4" fillId="0" borderId="1" xfId="0" applyFont="1" applyBorder="1" applyAlignment="1">
      <alignment horizontal="left"/>
    </xf>
    <xf numFmtId="10" fontId="11"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47"/>
  <sheetViews>
    <sheetView showGridLines="0" zoomScaleNormal="100" workbookViewId="0">
      <selection activeCell="C20" sqref="C20"/>
    </sheetView>
  </sheetViews>
  <sheetFormatPr defaultColWidth="8.7109375" defaultRowHeight="15" x14ac:dyDescent="0.25"/>
  <cols>
    <col min="1" max="1" width="2" customWidth="1"/>
    <col min="2" max="2" width="34" customWidth="1"/>
    <col min="3" max="3" width="78" customWidth="1"/>
    <col min="4" max="8" width="12" customWidth="1"/>
  </cols>
  <sheetData>
    <row r="2" spans="2:3" ht="18" x14ac:dyDescent="0.25">
      <c r="B2" s="1" t="s">
        <v>0</v>
      </c>
    </row>
    <row r="3" spans="2:3" x14ac:dyDescent="0.25">
      <c r="B3" s="2" t="s">
        <v>1</v>
      </c>
    </row>
    <row r="5" spans="2:3" x14ac:dyDescent="0.25">
      <c r="B5" s="3" t="s">
        <v>2</v>
      </c>
    </row>
    <row r="7" spans="2:3" x14ac:dyDescent="0.25">
      <c r="C7" s="4" t="s">
        <v>3</v>
      </c>
    </row>
    <row r="8" spans="2:3" x14ac:dyDescent="0.25">
      <c r="C8" s="4" t="s">
        <v>4</v>
      </c>
    </row>
    <row r="9" spans="2:3" x14ac:dyDescent="0.25">
      <c r="C9" s="4" t="s">
        <v>5</v>
      </c>
    </row>
    <row r="10" spans="2:3" x14ac:dyDescent="0.25">
      <c r="C10" s="4" t="s">
        <v>6</v>
      </c>
    </row>
    <row r="11" spans="2:3" x14ac:dyDescent="0.25">
      <c r="C11" s="4" t="s">
        <v>7</v>
      </c>
    </row>
    <row r="13" spans="2:3" x14ac:dyDescent="0.25">
      <c r="B13" s="3" t="s">
        <v>8</v>
      </c>
    </row>
    <row r="15" spans="2:3" x14ac:dyDescent="0.25">
      <c r="C15" s="4" t="s">
        <v>9</v>
      </c>
    </row>
    <row r="16" spans="2:3" x14ac:dyDescent="0.25">
      <c r="C16" s="2" t="s">
        <v>10</v>
      </c>
    </row>
    <row r="18" spans="2:3" x14ac:dyDescent="0.25">
      <c r="B18" s="3" t="s">
        <v>11</v>
      </c>
    </row>
    <row r="20" spans="2:3" x14ac:dyDescent="0.25">
      <c r="C20" s="5" t="s">
        <v>12</v>
      </c>
    </row>
    <row r="21" spans="2:3" x14ac:dyDescent="0.25">
      <c r="C21" s="5" t="s">
        <v>13</v>
      </c>
    </row>
    <row r="22" spans="2:3" x14ac:dyDescent="0.25">
      <c r="C22" s="5" t="s">
        <v>14</v>
      </c>
    </row>
    <row r="23" spans="2:3" x14ac:dyDescent="0.25">
      <c r="C23" s="5" t="s">
        <v>15</v>
      </c>
    </row>
    <row r="24" spans="2:3" x14ac:dyDescent="0.25">
      <c r="C24" s="5" t="s">
        <v>16</v>
      </c>
    </row>
    <row r="25" spans="2:3" x14ac:dyDescent="0.25">
      <c r="C25" s="5" t="s">
        <v>17</v>
      </c>
    </row>
    <row r="26" spans="2:3" x14ac:dyDescent="0.25">
      <c r="C26" s="5" t="s">
        <v>18</v>
      </c>
    </row>
    <row r="28" spans="2:3" x14ac:dyDescent="0.25">
      <c r="B28" s="3" t="s">
        <v>19</v>
      </c>
    </row>
    <row r="30" spans="2:3" x14ac:dyDescent="0.25">
      <c r="C30" s="4" t="s">
        <v>20</v>
      </c>
    </row>
    <row r="31" spans="2:3" x14ac:dyDescent="0.25">
      <c r="C31" s="4" t="s">
        <v>21</v>
      </c>
    </row>
    <row r="32" spans="2:3" x14ac:dyDescent="0.25">
      <c r="C32" s="4" t="s">
        <v>22</v>
      </c>
    </row>
    <row r="33" spans="2:3" x14ac:dyDescent="0.25">
      <c r="C33" s="4" t="s">
        <v>23</v>
      </c>
    </row>
    <row r="35" spans="2:3" x14ac:dyDescent="0.25">
      <c r="B35" s="3" t="s">
        <v>24</v>
      </c>
    </row>
    <row r="37" spans="2:3" x14ac:dyDescent="0.25">
      <c r="C37" s="5" t="s">
        <v>25</v>
      </c>
    </row>
    <row r="38" spans="2:3" x14ac:dyDescent="0.25">
      <c r="C38" s="5" t="s">
        <v>26</v>
      </c>
    </row>
    <row r="39" spans="2:3" x14ac:dyDescent="0.25">
      <c r="C39" s="5" t="s">
        <v>27</v>
      </c>
    </row>
    <row r="40" spans="2:3" x14ac:dyDescent="0.25">
      <c r="C40" s="5" t="s">
        <v>28</v>
      </c>
    </row>
    <row r="41" spans="2:3" x14ac:dyDescent="0.25">
      <c r="C41" s="5" t="s">
        <v>29</v>
      </c>
    </row>
    <row r="43" spans="2:3" x14ac:dyDescent="0.25">
      <c r="B43" s="3" t="s">
        <v>30</v>
      </c>
    </row>
    <row r="45" spans="2:3" x14ac:dyDescent="0.25">
      <c r="C45" s="4" t="s">
        <v>31</v>
      </c>
    </row>
    <row r="46" spans="2:3" x14ac:dyDescent="0.25">
      <c r="C46" s="4" t="s">
        <v>32</v>
      </c>
    </row>
    <row r="47" spans="2:3" x14ac:dyDescent="0.25">
      <c r="C47" s="4" t="s">
        <v>33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4"/>
  <sheetViews>
    <sheetView showGridLines="0" tabSelected="1" topLeftCell="A6" zoomScaleNormal="100" workbookViewId="0">
      <selection activeCell="H12" sqref="H12"/>
    </sheetView>
  </sheetViews>
  <sheetFormatPr defaultColWidth="8.7109375" defaultRowHeight="15" x14ac:dyDescent="0.25"/>
  <cols>
    <col min="1" max="1" width="2" customWidth="1"/>
    <col min="2" max="2" width="3" customWidth="1"/>
    <col min="3" max="3" width="38" customWidth="1"/>
    <col min="4" max="4" width="34" customWidth="1"/>
    <col min="5" max="5" width="22.5703125" style="27" customWidth="1"/>
    <col min="6" max="6" width="52" customWidth="1"/>
    <col min="7" max="7" width="4" customWidth="1"/>
  </cols>
  <sheetData>
    <row r="2" spans="2:5" ht="18" x14ac:dyDescent="0.25">
      <c r="B2" s="1" t="s">
        <v>34</v>
      </c>
    </row>
    <row r="4" spans="2:5" x14ac:dyDescent="0.25">
      <c r="C4" s="6" t="s">
        <v>35</v>
      </c>
    </row>
    <row r="5" spans="2:5" x14ac:dyDescent="0.25">
      <c r="C5" s="6" t="s">
        <v>36</v>
      </c>
    </row>
    <row r="7" spans="2:5" x14ac:dyDescent="0.25">
      <c r="B7" s="3" t="s">
        <v>37</v>
      </c>
    </row>
    <row r="9" spans="2:5" x14ac:dyDescent="0.25">
      <c r="C9" s="4" t="s">
        <v>38</v>
      </c>
      <c r="D9" s="2" t="s">
        <v>39</v>
      </c>
      <c r="E9" s="28" t="s">
        <v>40</v>
      </c>
    </row>
    <row r="10" spans="2:5" x14ac:dyDescent="0.25">
      <c r="C10" s="4" t="s">
        <v>41</v>
      </c>
      <c r="D10" s="2" t="s">
        <v>42</v>
      </c>
      <c r="E10" s="28" t="s">
        <v>43</v>
      </c>
    </row>
    <row r="11" spans="2:5" x14ac:dyDescent="0.25">
      <c r="C11" s="4" t="s">
        <v>44</v>
      </c>
      <c r="D11" s="2" t="s">
        <v>45</v>
      </c>
      <c r="E11" s="29" t="s">
        <v>46</v>
      </c>
    </row>
    <row r="12" spans="2:5" x14ac:dyDescent="0.25">
      <c r="C12" s="4" t="s">
        <v>47</v>
      </c>
      <c r="D12" s="2" t="s">
        <v>48</v>
      </c>
      <c r="E12" s="30">
        <v>46234</v>
      </c>
    </row>
    <row r="13" spans="2:5" x14ac:dyDescent="0.25">
      <c r="C13" s="4" t="s">
        <v>49</v>
      </c>
      <c r="D13" s="2" t="s">
        <v>50</v>
      </c>
      <c r="E13" s="28" t="s">
        <v>51</v>
      </c>
    </row>
    <row r="15" spans="2:5" x14ac:dyDescent="0.25">
      <c r="B15" s="3" t="s">
        <v>52</v>
      </c>
    </row>
    <row r="17" spans="2:6" x14ac:dyDescent="0.25">
      <c r="C17" s="4" t="s">
        <v>53</v>
      </c>
      <c r="D17" s="2" t="s">
        <v>54</v>
      </c>
      <c r="E17" s="28" t="s">
        <v>55</v>
      </c>
      <c r="F17" s="6" t="s">
        <v>56</v>
      </c>
    </row>
    <row r="18" spans="2:6" x14ac:dyDescent="0.25">
      <c r="C18" s="4" t="s">
        <v>57</v>
      </c>
      <c r="D18" s="2" t="s">
        <v>58</v>
      </c>
      <c r="E18" s="31">
        <v>0.21</v>
      </c>
      <c r="F18" s="6" t="s">
        <v>59</v>
      </c>
    </row>
    <row r="19" spans="2:6" x14ac:dyDescent="0.25">
      <c r="C19" s="4" t="s">
        <v>60</v>
      </c>
      <c r="D19" s="2" t="s">
        <v>61</v>
      </c>
      <c r="E19" s="31">
        <v>0.11</v>
      </c>
      <c r="F19" s="6" t="s">
        <v>62</v>
      </c>
    </row>
    <row r="20" spans="2:6" x14ac:dyDescent="0.25">
      <c r="C20" s="4" t="s">
        <v>63</v>
      </c>
      <c r="D20" s="2" t="s">
        <v>64</v>
      </c>
      <c r="E20" s="28">
        <v>100</v>
      </c>
      <c r="F20" s="6" t="s">
        <v>65</v>
      </c>
    </row>
    <row r="21" spans="2:6" x14ac:dyDescent="0.25">
      <c r="C21" s="4" t="s">
        <v>66</v>
      </c>
      <c r="D21" s="2" t="s">
        <v>67</v>
      </c>
      <c r="E21" s="32">
        <v>5.2473000000000001</v>
      </c>
      <c r="F21" s="6" t="s">
        <v>68</v>
      </c>
    </row>
    <row r="22" spans="2:6" x14ac:dyDescent="0.25">
      <c r="C22" s="4" t="s">
        <v>69</v>
      </c>
      <c r="D22" s="2" t="s">
        <v>70</v>
      </c>
      <c r="E22" s="33">
        <f>E20*E21</f>
        <v>524.73</v>
      </c>
      <c r="F22" s="6" t="s">
        <v>71</v>
      </c>
    </row>
    <row r="23" spans="2:6" x14ac:dyDescent="0.25">
      <c r="C23" s="4" t="s">
        <v>72</v>
      </c>
      <c r="D23" s="2" t="s">
        <v>73</v>
      </c>
      <c r="E23" s="31">
        <v>0.5</v>
      </c>
      <c r="F23" s="6" t="s">
        <v>74</v>
      </c>
    </row>
    <row r="25" spans="2:6" x14ac:dyDescent="0.25">
      <c r="B25" s="3" t="s">
        <v>75</v>
      </c>
    </row>
    <row r="27" spans="2:6" x14ac:dyDescent="0.25">
      <c r="C27" s="4" t="s">
        <v>76</v>
      </c>
      <c r="D27" s="2" t="s">
        <v>77</v>
      </c>
      <c r="E27" s="34">
        <v>542</v>
      </c>
      <c r="F27" s="6" t="s">
        <v>78</v>
      </c>
    </row>
    <row r="28" spans="2:6" x14ac:dyDescent="0.25">
      <c r="C28" s="4" t="s">
        <v>79</v>
      </c>
      <c r="D28" s="2" t="s">
        <v>80</v>
      </c>
      <c r="E28" s="34">
        <v>542</v>
      </c>
      <c r="F28" s="6" t="s">
        <v>81</v>
      </c>
    </row>
    <row r="29" spans="2:6" x14ac:dyDescent="0.25">
      <c r="C29" s="4" t="s">
        <v>82</v>
      </c>
      <c r="D29" s="2" t="s">
        <v>83</v>
      </c>
      <c r="E29" s="34">
        <v>625</v>
      </c>
      <c r="F29" s="6" t="s">
        <v>84</v>
      </c>
    </row>
    <row r="30" spans="2:6" x14ac:dyDescent="0.25">
      <c r="C30" s="4" t="s">
        <v>85</v>
      </c>
      <c r="D30" s="2" t="s">
        <v>86</v>
      </c>
      <c r="E30" s="34">
        <v>625</v>
      </c>
      <c r="F30" s="6" t="s">
        <v>87</v>
      </c>
    </row>
    <row r="31" spans="2:6" x14ac:dyDescent="0.25">
      <c r="C31" s="4" t="s">
        <v>88</v>
      </c>
      <c r="D31" s="2" t="s">
        <v>89</v>
      </c>
      <c r="E31" s="34">
        <v>5121</v>
      </c>
      <c r="F31" s="6" t="s">
        <v>90</v>
      </c>
    </row>
    <row r="33" spans="2:6" x14ac:dyDescent="0.25">
      <c r="B33" s="3" t="s">
        <v>91</v>
      </c>
    </row>
    <row r="35" spans="2:6" x14ac:dyDescent="0.25">
      <c r="C35" s="4" t="s">
        <v>92</v>
      </c>
      <c r="D35" s="2" t="s">
        <v>93</v>
      </c>
      <c r="E35" s="35">
        <v>0</v>
      </c>
    </row>
    <row r="36" spans="2:6" x14ac:dyDescent="0.25">
      <c r="C36" s="4" t="s">
        <v>94</v>
      </c>
      <c r="D36" s="2" t="s">
        <v>95</v>
      </c>
      <c r="E36" s="30"/>
      <c r="F36" s="6" t="s">
        <v>96</v>
      </c>
    </row>
    <row r="37" spans="2:6" x14ac:dyDescent="0.25">
      <c r="C37" s="4" t="s">
        <v>97</v>
      </c>
      <c r="D37" s="2" t="s">
        <v>98</v>
      </c>
      <c r="E37" s="35">
        <v>0</v>
      </c>
      <c r="F37" s="6" t="s">
        <v>99</v>
      </c>
    </row>
    <row r="38" spans="2:6" x14ac:dyDescent="0.25">
      <c r="C38" s="4" t="s">
        <v>100</v>
      </c>
      <c r="D38" s="2" t="s">
        <v>101</v>
      </c>
      <c r="E38" s="33">
        <f>E37-E35</f>
        <v>0</v>
      </c>
    </row>
    <row r="39" spans="2:6" x14ac:dyDescent="0.25">
      <c r="C39" s="4" t="s">
        <v>102</v>
      </c>
      <c r="D39" s="2" t="s">
        <v>103</v>
      </c>
      <c r="E39" s="36" t="str">
        <f>IF(E38=0,"OK — avansul declarat corespunde balanței","ATENȚIE — verificați fișa contului de avans")</f>
        <v>OK — avansul declarat corespunde balanței</v>
      </c>
      <c r="F39" s="6" t="s">
        <v>104</v>
      </c>
    </row>
    <row r="40" spans="2:6" x14ac:dyDescent="0.25">
      <c r="C40" s="4" t="s">
        <v>105</v>
      </c>
      <c r="D40" s="2" t="s">
        <v>106</v>
      </c>
      <c r="E40" s="30">
        <v>46239</v>
      </c>
    </row>
    <row r="42" spans="2:6" x14ac:dyDescent="0.25">
      <c r="B42" s="3" t="s">
        <v>107</v>
      </c>
    </row>
    <row r="44" spans="2:6" x14ac:dyDescent="0.25">
      <c r="C44" s="4" t="s">
        <v>108</v>
      </c>
      <c r="D44" s="2" t="s">
        <v>109</v>
      </c>
      <c r="E44" s="37" t="str">
        <f>" - decont "&amp;"/"&amp;IF(DAY(E12)&lt;10,"0","")&amp;DAY(E12)&amp;"."&amp;IF(MONTH(E12)&lt;10,"0","")&amp;MONTH(E12)&amp;"."&amp;YEAR(E12)&amp;" - "&amp;E11</f>
        <v xml:space="preserve"> - decont /31.07.2026 - CHIRIACESCU DIANA</v>
      </c>
    </row>
  </sheetData>
  <dataValidations count="6">
    <dataValidation type="list" sqref="E17" xr:uid="{00000000-0002-0000-0100-000000000000}">
      <formula1>lst_danu</formula1>
      <formula2>0</formula2>
    </dataValidation>
    <dataValidation type="list" sqref="E27" xr:uid="{00000000-0002-0000-0100-000001000000}">
      <formula1>lst_cont_datorie</formula1>
      <formula2>0</formula2>
    </dataValidation>
    <dataValidation type="list" sqref="E28" xr:uid="{00000000-0002-0000-0100-000002000000}">
      <formula1>lst_cont_avans</formula1>
      <formula2>0</formula2>
    </dataValidation>
    <dataValidation type="list" sqref="E29" xr:uid="{00000000-0002-0000-0100-000003000000}">
      <formula1>lst_cont_transport</formula1>
      <formula2>0</formula2>
    </dataValidation>
    <dataValidation type="list" sqref="E30" xr:uid="{00000000-0002-0000-0100-000004000000}">
      <formula1>lst_cont_masa</formula1>
      <formula2>0</formula2>
    </dataValidation>
    <dataValidation type="list" sqref="E31" xr:uid="{00000000-0002-0000-0100-000005000000}">
      <formula1>lst_cont_trezorerie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41"/>
  <sheetViews>
    <sheetView showGridLines="0" zoomScaleNormal="100" workbookViewId="0">
      <selection activeCell="A12" sqref="A12:XFD12"/>
    </sheetView>
  </sheetViews>
  <sheetFormatPr defaultColWidth="8.7109375" defaultRowHeight="15" x14ac:dyDescent="0.25"/>
  <cols>
    <col min="1" max="1" width="2" customWidth="1"/>
    <col min="2" max="2" width="16" customWidth="1"/>
    <col min="3" max="3" width="38" customWidth="1"/>
    <col min="4" max="4" width="34" customWidth="1"/>
    <col min="5" max="6" width="10" customWidth="1"/>
    <col min="7" max="7" width="24" customWidth="1"/>
    <col min="8" max="8" width="12" customWidth="1"/>
    <col min="9" max="9" width="22" customWidth="1"/>
    <col min="10" max="10" width="46" customWidth="1"/>
  </cols>
  <sheetData>
    <row r="2" spans="2:10" ht="18" x14ac:dyDescent="0.25">
      <c r="B2" s="1" t="s">
        <v>110</v>
      </c>
    </row>
    <row r="4" spans="2:10" x14ac:dyDescent="0.25">
      <c r="C4" s="6" t="s">
        <v>111</v>
      </c>
    </row>
    <row r="5" spans="2:10" x14ac:dyDescent="0.25">
      <c r="B5" s="3" t="s">
        <v>112</v>
      </c>
    </row>
    <row r="6" spans="2:10" x14ac:dyDescent="0.25">
      <c r="B6" s="12" t="s">
        <v>113</v>
      </c>
      <c r="C6" s="12" t="s">
        <v>114</v>
      </c>
      <c r="D6" s="12" t="s">
        <v>115</v>
      </c>
      <c r="E6" s="12" t="s">
        <v>116</v>
      </c>
      <c r="F6" s="12" t="s">
        <v>117</v>
      </c>
      <c r="G6" s="12" t="s">
        <v>118</v>
      </c>
      <c r="H6" s="12" t="s">
        <v>119</v>
      </c>
      <c r="I6" s="12" t="s">
        <v>120</v>
      </c>
      <c r="J6" s="12" t="s">
        <v>121</v>
      </c>
    </row>
    <row r="7" spans="2:10" x14ac:dyDescent="0.25">
      <c r="B7" s="11" t="s">
        <v>122</v>
      </c>
      <c r="C7" s="11" t="s">
        <v>123</v>
      </c>
      <c r="D7" s="11" t="s">
        <v>124</v>
      </c>
      <c r="E7" s="13">
        <f>decl_cont_transport</f>
        <v>625</v>
      </c>
      <c r="F7" s="14">
        <v>0</v>
      </c>
      <c r="G7" s="11" t="s">
        <v>125</v>
      </c>
      <c r="H7" s="14">
        <v>1</v>
      </c>
      <c r="I7" s="11" t="s">
        <v>126</v>
      </c>
      <c r="J7" s="15" t="s">
        <v>127</v>
      </c>
    </row>
    <row r="8" spans="2:10" x14ac:dyDescent="0.25">
      <c r="B8" s="11" t="s">
        <v>128</v>
      </c>
      <c r="C8" s="11" t="s">
        <v>129</v>
      </c>
      <c r="D8" s="11" t="s">
        <v>130</v>
      </c>
      <c r="E8" s="13">
        <f>decl_cont_transport</f>
        <v>625</v>
      </c>
      <c r="F8" s="16">
        <f>decl_cota_redusa</f>
        <v>0.11</v>
      </c>
      <c r="G8" s="11" t="s">
        <v>131</v>
      </c>
      <c r="H8" s="14">
        <v>1</v>
      </c>
      <c r="I8" s="11" t="s">
        <v>126</v>
      </c>
      <c r="J8" s="15" t="s">
        <v>132</v>
      </c>
    </row>
    <row r="9" spans="2:10" x14ac:dyDescent="0.25">
      <c r="B9" s="11" t="s">
        <v>133</v>
      </c>
      <c r="C9" s="11" t="s">
        <v>134</v>
      </c>
      <c r="D9" s="11" t="s">
        <v>135</v>
      </c>
      <c r="E9" s="13">
        <f>decl_cont_transport</f>
        <v>625</v>
      </c>
      <c r="F9" s="16">
        <f>decl_cota_standard</f>
        <v>0.21</v>
      </c>
      <c r="G9" s="11" t="s">
        <v>131</v>
      </c>
      <c r="H9" s="14">
        <v>1</v>
      </c>
      <c r="I9" s="11" t="s">
        <v>126</v>
      </c>
      <c r="J9" s="15" t="s">
        <v>136</v>
      </c>
    </row>
    <row r="10" spans="2:10" x14ac:dyDescent="0.25">
      <c r="B10" s="11" t="s">
        <v>137</v>
      </c>
      <c r="C10" s="11" t="s">
        <v>138</v>
      </c>
      <c r="D10" s="11" t="s">
        <v>139</v>
      </c>
      <c r="E10" s="13">
        <f>decl_cont_transport</f>
        <v>625</v>
      </c>
      <c r="F10" s="16">
        <f>decl_cota_redusa</f>
        <v>0.11</v>
      </c>
      <c r="G10" s="11" t="s">
        <v>131</v>
      </c>
      <c r="H10" s="14">
        <v>1</v>
      </c>
      <c r="I10" s="11" t="s">
        <v>126</v>
      </c>
      <c r="J10" s="15" t="s">
        <v>140</v>
      </c>
    </row>
    <row r="11" spans="2:10" x14ac:dyDescent="0.25">
      <c r="B11" s="11" t="s">
        <v>141</v>
      </c>
      <c r="C11" s="11" t="s">
        <v>142</v>
      </c>
      <c r="D11" s="11" t="s">
        <v>143</v>
      </c>
      <c r="E11" s="17">
        <v>625</v>
      </c>
      <c r="F11" s="16">
        <f>decl_cota_redusa</f>
        <v>0.11</v>
      </c>
      <c r="G11" s="11" t="s">
        <v>131</v>
      </c>
      <c r="H11" s="14">
        <v>1</v>
      </c>
      <c r="I11" s="11" t="s">
        <v>126</v>
      </c>
      <c r="J11" s="15" t="s">
        <v>144</v>
      </c>
    </row>
    <row r="12" spans="2:10" x14ac:dyDescent="0.25">
      <c r="B12" s="11" t="s">
        <v>145</v>
      </c>
      <c r="C12" s="11" t="s">
        <v>146</v>
      </c>
      <c r="D12" s="11" t="s">
        <v>86</v>
      </c>
      <c r="E12" s="13">
        <f>decl_cont_masa</f>
        <v>625</v>
      </c>
      <c r="F12" s="16">
        <f>decl_cota_redusa</f>
        <v>0.11</v>
      </c>
      <c r="G12" s="11" t="s">
        <v>131</v>
      </c>
      <c r="H12" s="14">
        <v>1</v>
      </c>
      <c r="I12" s="11" t="s">
        <v>126</v>
      </c>
      <c r="J12" s="15" t="s">
        <v>147</v>
      </c>
    </row>
    <row r="13" spans="2:10" x14ac:dyDescent="0.25">
      <c r="B13" s="11" t="s">
        <v>148</v>
      </c>
      <c r="C13" s="11" t="s">
        <v>149</v>
      </c>
      <c r="D13" s="11" t="s">
        <v>150</v>
      </c>
      <c r="E13" s="17">
        <v>6231</v>
      </c>
      <c r="F13" s="16">
        <f>decl_cota_redusa</f>
        <v>0.11</v>
      </c>
      <c r="G13" s="11" t="s">
        <v>131</v>
      </c>
      <c r="H13" s="14">
        <v>1</v>
      </c>
      <c r="I13" s="11" t="s">
        <v>151</v>
      </c>
      <c r="J13" s="15" t="s">
        <v>152</v>
      </c>
    </row>
    <row r="14" spans="2:10" x14ac:dyDescent="0.25">
      <c r="B14" s="11" t="s">
        <v>153</v>
      </c>
      <c r="C14" s="11" t="s">
        <v>154</v>
      </c>
      <c r="D14" s="11" t="s">
        <v>155</v>
      </c>
      <c r="E14" s="17">
        <v>6022</v>
      </c>
      <c r="F14" s="16">
        <f>decl_cota_standard</f>
        <v>0.21</v>
      </c>
      <c r="G14" s="11" t="s">
        <v>131</v>
      </c>
      <c r="H14" s="16">
        <f>decl_ded_vehicule</f>
        <v>0.5</v>
      </c>
      <c r="I14" s="11" t="s">
        <v>156</v>
      </c>
      <c r="J14" s="15" t="s">
        <v>157</v>
      </c>
    </row>
    <row r="15" spans="2:10" x14ac:dyDescent="0.25">
      <c r="B15" s="11" t="s">
        <v>158</v>
      </c>
      <c r="C15" s="11" t="s">
        <v>159</v>
      </c>
      <c r="D15" s="11" t="s">
        <v>160</v>
      </c>
      <c r="E15" s="17">
        <v>628</v>
      </c>
      <c r="F15" s="16">
        <f>decl_cota_standard</f>
        <v>0.21</v>
      </c>
      <c r="G15" s="11" t="s">
        <v>131</v>
      </c>
      <c r="H15" s="14">
        <v>1</v>
      </c>
      <c r="I15" s="11" t="s">
        <v>126</v>
      </c>
      <c r="J15" s="15"/>
    </row>
    <row r="16" spans="2:10" x14ac:dyDescent="0.25">
      <c r="B16" s="11" t="s">
        <v>161</v>
      </c>
      <c r="C16" s="11" t="s">
        <v>162</v>
      </c>
      <c r="D16" s="11" t="s">
        <v>163</v>
      </c>
      <c r="E16" s="17">
        <v>6028</v>
      </c>
      <c r="F16" s="16">
        <f>decl_cota_standard</f>
        <v>0.21</v>
      </c>
      <c r="G16" s="11" t="s">
        <v>131</v>
      </c>
      <c r="H16" s="14">
        <v>1</v>
      </c>
      <c r="I16" s="11" t="s">
        <v>126</v>
      </c>
      <c r="J16" s="15"/>
    </row>
    <row r="17" spans="2:10" x14ac:dyDescent="0.25">
      <c r="B17" s="11" t="s">
        <v>164</v>
      </c>
      <c r="C17" s="11" t="s">
        <v>165</v>
      </c>
      <c r="D17" s="11" t="s">
        <v>166</v>
      </c>
      <c r="E17" s="17">
        <v>6588</v>
      </c>
      <c r="F17" s="14">
        <v>0</v>
      </c>
      <c r="G17" s="11" t="s">
        <v>167</v>
      </c>
      <c r="H17" s="14">
        <v>0</v>
      </c>
      <c r="I17" s="11" t="s">
        <v>168</v>
      </c>
      <c r="J17" s="15" t="s">
        <v>169</v>
      </c>
    </row>
    <row r="19" spans="2:10" x14ac:dyDescent="0.25">
      <c r="B19" s="3" t="s">
        <v>170</v>
      </c>
    </row>
    <row r="20" spans="2:10" x14ac:dyDescent="0.25">
      <c r="B20" s="12" t="s">
        <v>171</v>
      </c>
      <c r="C20" s="12" t="s">
        <v>172</v>
      </c>
      <c r="D20" s="12" t="s">
        <v>173</v>
      </c>
      <c r="E20" s="12" t="s">
        <v>174</v>
      </c>
      <c r="F20" s="12" t="s">
        <v>175</v>
      </c>
      <c r="G20" s="12" t="s">
        <v>176</v>
      </c>
    </row>
    <row r="21" spans="2:10" x14ac:dyDescent="0.25">
      <c r="B21" s="11" t="s">
        <v>177</v>
      </c>
      <c r="C21" s="11" t="s">
        <v>178</v>
      </c>
      <c r="D21" s="11" t="s">
        <v>55</v>
      </c>
      <c r="E21" s="11" t="s">
        <v>55</v>
      </c>
      <c r="F21" s="11" t="s">
        <v>55</v>
      </c>
      <c r="G21" s="15" t="s">
        <v>179</v>
      </c>
    </row>
    <row r="22" spans="2:10" x14ac:dyDescent="0.25">
      <c r="B22" s="11" t="s">
        <v>180</v>
      </c>
      <c r="C22" s="11" t="s">
        <v>178</v>
      </c>
      <c r="D22" s="11" t="s">
        <v>181</v>
      </c>
      <c r="E22" s="11" t="s">
        <v>181</v>
      </c>
      <c r="F22" s="11" t="s">
        <v>55</v>
      </c>
      <c r="G22" s="15" t="s">
        <v>182</v>
      </c>
    </row>
    <row r="23" spans="2:10" x14ac:dyDescent="0.25">
      <c r="B23" s="11" t="s">
        <v>183</v>
      </c>
      <c r="C23" s="11" t="s">
        <v>184</v>
      </c>
      <c r="D23" s="11" t="s">
        <v>55</v>
      </c>
      <c r="E23" s="11" t="s">
        <v>55</v>
      </c>
      <c r="F23" s="11" t="s">
        <v>55</v>
      </c>
      <c r="G23" s="15" t="s">
        <v>185</v>
      </c>
    </row>
    <row r="24" spans="2:10" x14ac:dyDescent="0.25">
      <c r="B24" s="11" t="s">
        <v>186</v>
      </c>
      <c r="C24" s="11" t="s">
        <v>184</v>
      </c>
      <c r="D24" s="11" t="s">
        <v>181</v>
      </c>
      <c r="E24" s="11" t="s">
        <v>181</v>
      </c>
      <c r="F24" s="11" t="s">
        <v>55</v>
      </c>
      <c r="G24" s="15" t="s">
        <v>187</v>
      </c>
    </row>
    <row r="25" spans="2:10" x14ac:dyDescent="0.25">
      <c r="B25" s="11" t="s">
        <v>188</v>
      </c>
      <c r="C25" s="11" t="s">
        <v>189</v>
      </c>
      <c r="D25" s="11" t="s">
        <v>55</v>
      </c>
      <c r="E25" s="11" t="s">
        <v>181</v>
      </c>
      <c r="F25" s="11" t="s">
        <v>181</v>
      </c>
      <c r="G25" s="15" t="s">
        <v>190</v>
      </c>
    </row>
    <row r="26" spans="2:10" x14ac:dyDescent="0.25">
      <c r="B26" s="11" t="s">
        <v>191</v>
      </c>
      <c r="C26" s="11" t="s">
        <v>189</v>
      </c>
      <c r="D26" s="11" t="s">
        <v>181</v>
      </c>
      <c r="E26" s="11" t="s">
        <v>181</v>
      </c>
      <c r="F26" s="11" t="s">
        <v>181</v>
      </c>
      <c r="G26" s="15" t="s">
        <v>190</v>
      </c>
    </row>
    <row r="29" spans="2:10" x14ac:dyDescent="0.25">
      <c r="B29" s="3" t="s">
        <v>192</v>
      </c>
    </row>
    <row r="30" spans="2:10" x14ac:dyDescent="0.25">
      <c r="B30" s="12" t="s">
        <v>193</v>
      </c>
      <c r="C30" s="12" t="s">
        <v>172</v>
      </c>
      <c r="D30" s="12" t="s">
        <v>56</v>
      </c>
      <c r="E30" s="12" t="s">
        <v>194</v>
      </c>
      <c r="F30" s="12" t="s">
        <v>195</v>
      </c>
      <c r="G30" s="12" t="s">
        <v>196</v>
      </c>
      <c r="H30" s="12" t="s">
        <v>197</v>
      </c>
      <c r="I30" s="12" t="s">
        <v>198</v>
      </c>
    </row>
    <row r="31" spans="2:10" x14ac:dyDescent="0.25">
      <c r="B31" s="15" t="s">
        <v>122</v>
      </c>
      <c r="C31" s="15" t="s">
        <v>178</v>
      </c>
      <c r="D31" s="15" t="s">
        <v>55</v>
      </c>
      <c r="E31" s="18">
        <v>542</v>
      </c>
      <c r="F31" s="18">
        <v>624</v>
      </c>
      <c r="G31" s="18">
        <v>625</v>
      </c>
      <c r="H31" s="18">
        <v>5121</v>
      </c>
      <c r="I31" s="18">
        <v>542</v>
      </c>
    </row>
    <row r="32" spans="2:10" x14ac:dyDescent="0.25">
      <c r="B32" s="15" t="s">
        <v>128</v>
      </c>
      <c r="C32" s="15" t="s">
        <v>184</v>
      </c>
      <c r="D32" s="15" t="s">
        <v>181</v>
      </c>
      <c r="E32" s="18">
        <v>462</v>
      </c>
      <c r="F32" s="18">
        <v>625</v>
      </c>
      <c r="G32" s="18">
        <v>6231</v>
      </c>
      <c r="H32" s="18">
        <v>5311</v>
      </c>
      <c r="I32" s="18">
        <v>425</v>
      </c>
    </row>
    <row r="33" spans="2:7" x14ac:dyDescent="0.25">
      <c r="B33" s="15" t="s">
        <v>133</v>
      </c>
      <c r="C33" s="15" t="s">
        <v>189</v>
      </c>
      <c r="E33" s="18">
        <v>4281</v>
      </c>
      <c r="G33" s="18">
        <v>6588</v>
      </c>
    </row>
    <row r="34" spans="2:7" x14ac:dyDescent="0.25">
      <c r="B34" s="15" t="s">
        <v>137</v>
      </c>
    </row>
    <row r="35" spans="2:7" x14ac:dyDescent="0.25">
      <c r="B35" s="15" t="s">
        <v>141</v>
      </c>
    </row>
    <row r="36" spans="2:7" x14ac:dyDescent="0.25">
      <c r="B36" s="15" t="s">
        <v>145</v>
      </c>
    </row>
    <row r="37" spans="2:7" x14ac:dyDescent="0.25">
      <c r="B37" s="15" t="s">
        <v>148</v>
      </c>
    </row>
    <row r="38" spans="2:7" x14ac:dyDescent="0.25">
      <c r="B38" s="15" t="s">
        <v>153</v>
      </c>
    </row>
    <row r="39" spans="2:7" x14ac:dyDescent="0.25">
      <c r="B39" s="15" t="s">
        <v>158</v>
      </c>
    </row>
    <row r="40" spans="2:7" x14ac:dyDescent="0.25">
      <c r="B40" s="15" t="s">
        <v>161</v>
      </c>
    </row>
    <row r="41" spans="2:7" x14ac:dyDescent="0.25">
      <c r="B41" s="15" t="s">
        <v>164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U61"/>
  <sheetViews>
    <sheetView showGridLines="0" zoomScaleNormal="100" workbookViewId="0">
      <pane xSplit="2" ySplit="7" topLeftCell="C8" activePane="bottomRight" state="frozen"/>
      <selection pane="topRight" activeCell="C1" sqref="C1"/>
      <selection pane="bottomLeft" activeCell="A8" sqref="A8"/>
      <selection pane="bottomRight" activeCell="F29" sqref="F29"/>
    </sheetView>
  </sheetViews>
  <sheetFormatPr defaultColWidth="8.7109375" defaultRowHeight="15" x14ac:dyDescent="0.25"/>
  <cols>
    <col min="1" max="1" width="2" customWidth="1"/>
    <col min="2" max="2" width="5" customWidth="1"/>
    <col min="3" max="3" width="27.140625" customWidth="1"/>
    <col min="4" max="4" width="10.140625" bestFit="1" customWidth="1"/>
    <col min="5" max="5" width="11.5703125" bestFit="1" customWidth="1"/>
    <col min="6" max="6" width="8.28515625" bestFit="1" customWidth="1"/>
    <col min="7" max="7" width="12.5703125" bestFit="1" customWidth="1"/>
    <col min="8" max="8" width="13.5703125" bestFit="1" customWidth="1"/>
    <col min="9" max="9" width="11.42578125" bestFit="1" customWidth="1"/>
    <col min="10" max="10" width="8" customWidth="1"/>
    <col min="11" max="11" width="8.28515625" bestFit="1" customWidth="1"/>
    <col min="12" max="12" width="24.28515625" bestFit="1" customWidth="1"/>
    <col min="13" max="13" width="8.28515625" bestFit="1" customWidth="1"/>
    <col min="14" max="14" width="10" customWidth="1"/>
    <col min="15" max="15" width="8.85546875" bestFit="1" customWidth="1"/>
    <col min="16" max="16" width="15.28515625" bestFit="1" customWidth="1"/>
    <col min="17" max="17" width="14.42578125" bestFit="1" customWidth="1"/>
    <col min="18" max="18" width="16.7109375" bestFit="1" customWidth="1"/>
    <col min="19" max="19" width="16" bestFit="1" customWidth="1"/>
    <col min="20" max="20" width="68.42578125" customWidth="1"/>
    <col min="21" max="21" width="62" customWidth="1"/>
  </cols>
  <sheetData>
    <row r="2" spans="2:21" ht="18" x14ac:dyDescent="0.25">
      <c r="B2" s="1" t="s">
        <v>199</v>
      </c>
    </row>
    <row r="4" spans="2:21" x14ac:dyDescent="0.25">
      <c r="C4" s="6" t="s">
        <v>200</v>
      </c>
    </row>
    <row r="5" spans="2:21" x14ac:dyDescent="0.25">
      <c r="C5" s="6" t="s">
        <v>201</v>
      </c>
    </row>
    <row r="7" spans="2:21" x14ac:dyDescent="0.25">
      <c r="B7" s="12" t="s">
        <v>202</v>
      </c>
      <c r="C7" s="12" t="s">
        <v>203</v>
      </c>
      <c r="D7" s="12" t="s">
        <v>204</v>
      </c>
      <c r="E7" s="12" t="s">
        <v>205</v>
      </c>
      <c r="F7" s="12" t="s">
        <v>206</v>
      </c>
      <c r="G7" s="12" t="s">
        <v>207</v>
      </c>
      <c r="H7" s="12" t="s">
        <v>172</v>
      </c>
      <c r="I7" s="12" t="s">
        <v>208</v>
      </c>
      <c r="J7" s="12" t="s">
        <v>116</v>
      </c>
      <c r="K7" s="12" t="s">
        <v>209</v>
      </c>
      <c r="L7" s="12" t="s">
        <v>118</v>
      </c>
      <c r="M7" s="12" t="s">
        <v>210</v>
      </c>
      <c r="N7" s="12" t="s">
        <v>211</v>
      </c>
      <c r="O7" s="12" t="s">
        <v>212</v>
      </c>
      <c r="P7" s="12" t="s">
        <v>213</v>
      </c>
      <c r="Q7" s="12" t="s">
        <v>214</v>
      </c>
      <c r="R7" s="12" t="s">
        <v>215</v>
      </c>
      <c r="S7" s="12" t="s">
        <v>120</v>
      </c>
      <c r="T7" s="12" t="s">
        <v>216</v>
      </c>
    </row>
    <row r="8" spans="2:21" x14ac:dyDescent="0.25">
      <c r="B8" s="7">
        <v>1</v>
      </c>
      <c r="C8" s="7" t="s">
        <v>217</v>
      </c>
      <c r="D8" s="8">
        <v>46223</v>
      </c>
      <c r="E8" s="10">
        <v>1780.38</v>
      </c>
      <c r="F8" s="7" t="s">
        <v>51</v>
      </c>
      <c r="G8" s="7" t="s">
        <v>122</v>
      </c>
      <c r="H8" s="7" t="s">
        <v>178</v>
      </c>
      <c r="I8" s="7" t="s">
        <v>55</v>
      </c>
      <c r="J8" s="17">
        <f>IF($E8="","",IFERROR(VLOOKUP($G8,tbl_natura,4,FALSE()),"cod invalid"))</f>
        <v>625</v>
      </c>
      <c r="K8" s="14">
        <f>IF($E8="","",IFERROR(VLOOKUP($G8,tbl_natura,5,FALSE()),0))</f>
        <v>0</v>
      </c>
      <c r="L8" s="11" t="str">
        <f>IF($E8="","",IFERROR(VLOOKUP($G8,tbl_natura,6,FALSE()),""))</f>
        <v>Scutit cu drept de deducere</v>
      </c>
      <c r="M8" s="14">
        <f>IF($E8="","",IFERROR(VLOOKUP($G8,tbl_natura,7,FALSE()),0))</f>
        <v>1</v>
      </c>
      <c r="N8" s="11" t="str">
        <f>IF($E8="","",IF(decl_platitor_tva&lt;&gt;"DA","NU",IF(IFERROR(VLOOKUP($H8&amp;"|"&amp;$I8,tbl_deducere,4,FALSE()),"NU")&lt;&gt;"DA","NU",IF(AND($H8="Bon fiscal",$E8&gt;decl_plafon_lei),"NU",IF($K8=0,"NU","DA")))))</f>
        <v>NU</v>
      </c>
      <c r="O8" s="11" t="str">
        <f>IF($E8="","",IFERROR(VLOOKUP($H8&amp;"|"&amp;$I8,tbl_deducere,5,FALSE()),"NU"))</f>
        <v>DA</v>
      </c>
      <c r="P8" s="9">
        <f>IF($E8="","",IF($O8&lt;&gt;"DA",0,$E8-$Q8))</f>
        <v>1780.38</v>
      </c>
      <c r="Q8" s="9">
        <f>IF($E8="","",IF($N8&lt;&gt;"DA",0,ROUND(($E8-$E8/(1+$K8))*$M8,2)))</f>
        <v>0</v>
      </c>
      <c r="R8" s="9">
        <f>IF($E8="","",IF($O8&lt;&gt;"DA",0,ROUND($E8-$E8/(1+$K8),2)-$Q8))</f>
        <v>0</v>
      </c>
      <c r="S8" s="11" t="str">
        <f>IF($E8="","",IFERROR(VLOOKUP($G8,tbl_natura,8,FALSE()),""))</f>
        <v>Deductibil</v>
      </c>
      <c r="T8" s="15" t="str">
        <f>IF($E8="","",IFERROR(VLOOKUP($H8&amp;"|"&amp;$I8,tbl_deducere,6,FALSE()),"")&amp;IF(AND($H8="Bon fiscal",$E8&gt;decl_plafon_lei)," | peste plafonul facturii simplificate","")&amp;IF(decl_platitor_tva&lt;&gt;"DA"," | societate neplătitoare de TVA","")&amp;IF($L8="Scutit cu drept de deducere"," | operațiune scutită — TVA zero",""))</f>
        <v>Factură completă conform art. 319 — TVA deductibil | operațiune scutită — TVA zero</v>
      </c>
      <c r="U8" t="s">
        <v>290</v>
      </c>
    </row>
    <row r="9" spans="2:21" x14ac:dyDescent="0.25">
      <c r="B9" s="7">
        <v>2</v>
      </c>
      <c r="C9" s="7" t="s">
        <v>217</v>
      </c>
      <c r="D9" s="8">
        <v>46232</v>
      </c>
      <c r="E9" s="10">
        <v>1720.38</v>
      </c>
      <c r="F9" s="7" t="s">
        <v>51</v>
      </c>
      <c r="G9" s="7" t="s">
        <v>122</v>
      </c>
      <c r="H9" s="7" t="s">
        <v>178</v>
      </c>
      <c r="I9" s="7" t="s">
        <v>55</v>
      </c>
      <c r="J9" s="17">
        <f>IF($E9="","",IFERROR(VLOOKUP($G9,tbl_natura,4,FALSE()),"cod invalid"))</f>
        <v>625</v>
      </c>
      <c r="K9" s="14">
        <f>IF($E9="","",IFERROR(VLOOKUP($G9,tbl_natura,5,FALSE()),0))</f>
        <v>0</v>
      </c>
      <c r="L9" s="11" t="str">
        <f>IF($E9="","",IFERROR(VLOOKUP($G9,tbl_natura,6,FALSE()),""))</f>
        <v>Scutit cu drept de deducere</v>
      </c>
      <c r="M9" s="14">
        <f>IF($E9="","",IFERROR(VLOOKUP($G9,tbl_natura,7,FALSE()),0))</f>
        <v>1</v>
      </c>
      <c r="N9" s="11" t="str">
        <f>IF($E9="","",IF(decl_platitor_tva&lt;&gt;"DA","NU",IF(IFERROR(VLOOKUP($H9&amp;"|"&amp;$I9,tbl_deducere,4,FALSE()),"NU")&lt;&gt;"DA","NU",IF(AND($H9="Bon fiscal",$E9&gt;decl_plafon_lei),"NU",IF($K9=0,"NU","DA")))))</f>
        <v>NU</v>
      </c>
      <c r="O9" s="11" t="str">
        <f>IF($E9="","",IFERROR(VLOOKUP($H9&amp;"|"&amp;$I9,tbl_deducere,5,FALSE()),"NU"))</f>
        <v>DA</v>
      </c>
      <c r="P9" s="9">
        <f>IF($E9="","",IF($O9&lt;&gt;"DA",0,$E9-$Q9))</f>
        <v>1720.38</v>
      </c>
      <c r="Q9" s="9">
        <f>IF($E9="","",IF($N9&lt;&gt;"DA",0,ROUND(($E9-$E9/(1+$K9))*$M9,2)))</f>
        <v>0</v>
      </c>
      <c r="R9" s="9">
        <f>IF($E9="","",IF($O9&lt;&gt;"DA",0,ROUND($E9-$E9/(1+$K9),2)-$Q9))</f>
        <v>0</v>
      </c>
      <c r="S9" s="11" t="str">
        <f>IF($E9="","",IFERROR(VLOOKUP($G9,tbl_natura,8,FALSE()),""))</f>
        <v>Deductibil</v>
      </c>
      <c r="T9" s="15" t="str">
        <f>IF($E9="","",IFERROR(VLOOKUP($H9&amp;"|"&amp;$I9,tbl_deducere,6,FALSE()),"")&amp;IF(AND($H9="Bon fiscal",$E9&gt;decl_plafon_lei)," | peste plafonul facturii simplificate","")&amp;IF(decl_platitor_tva&lt;&gt;"DA"," | societate neplătitoare de TVA","")&amp;IF($L9="Scutit cu drept de deducere"," | operațiune scutită — TVA zero",""))</f>
        <v>Factură completă conform art. 319 — TVA deductibil | operațiune scutită — TVA zero</v>
      </c>
      <c r="U9" t="s">
        <v>290</v>
      </c>
    </row>
    <row r="10" spans="2:21" x14ac:dyDescent="0.25">
      <c r="B10" s="7">
        <v>3</v>
      </c>
      <c r="C10" s="7" t="s">
        <v>218</v>
      </c>
      <c r="D10" s="8">
        <v>46217</v>
      </c>
      <c r="E10" s="10">
        <v>38</v>
      </c>
      <c r="F10" s="7" t="s">
        <v>51</v>
      </c>
      <c r="G10" s="7" t="s">
        <v>145</v>
      </c>
      <c r="H10" s="7" t="s">
        <v>184</v>
      </c>
      <c r="I10" s="7" t="s">
        <v>181</v>
      </c>
      <c r="J10" s="17">
        <f>IF($E10="","",IFERROR(VLOOKUP($G10,tbl_natura,4,FALSE()),"cod invalid"))</f>
        <v>625</v>
      </c>
      <c r="K10" s="38">
        <v>0.21</v>
      </c>
      <c r="L10" s="11" t="str">
        <f>IF($E10="","",IFERROR(VLOOKUP($G10,tbl_natura,6,FALSE()),""))</f>
        <v>Taxabil</v>
      </c>
      <c r="M10" s="14">
        <f>IF($E10="","",IFERROR(VLOOKUP($G10,tbl_natura,7,FALSE()),0))</f>
        <v>1</v>
      </c>
      <c r="N10" s="11" t="str">
        <f>IF($E10="","",IF(decl_platitor_tva&lt;&gt;"DA","NU",IF(IFERROR(VLOOKUP($H10&amp;"|"&amp;$I10,tbl_deducere,4,FALSE()),"NU")&lt;&gt;"DA","NU",IF(AND($H10="Bon fiscal",$E10&gt;decl_plafon_lei),"NU",IF($K10=0,"NU","DA")))))</f>
        <v>NU</v>
      </c>
      <c r="O10" s="11" t="str">
        <f>IF($E10="","",IFERROR(VLOOKUP($H10&amp;"|"&amp;$I10,tbl_deducere,5,FALSE()),"NU"))</f>
        <v>DA</v>
      </c>
      <c r="P10" s="9">
        <f>IF($E10="","",IF($O10&lt;&gt;"DA",0,$E10-$Q10))</f>
        <v>38</v>
      </c>
      <c r="Q10" s="9">
        <f>IF($E10="","",IF($N10&lt;&gt;"DA",0,ROUND(($E10-$E10/(1+$K10))*$M10,2)))</f>
        <v>0</v>
      </c>
      <c r="R10" s="9">
        <f>IF($E10="","",IF($O10&lt;&gt;"DA",0,ROUND($E10-$E10/(1+$K10),2)-$Q10))</f>
        <v>6.6</v>
      </c>
      <c r="S10" s="11" t="str">
        <f>IF($E10="","",IFERROR(VLOOKUP($G10,tbl_natura,8,FALSE()),""))</f>
        <v>Deductibil</v>
      </c>
      <c r="T10" s="15" t="str">
        <f>IF($E10="","",IFERROR(VLOOKUP($H10&amp;"|"&amp;$I10,tbl_deducere,6,FALSE()),"")&amp;IF(AND($H10="Bon fiscal",$E10&gt;decl_plafon_lei)," | peste plafonul facturii simplificate","")&amp;IF(decl_platitor_tva&lt;&gt;"DA"," | societate neplătitoare de TVA","")&amp;IF($L10="Scutit cu drept de deducere"," | operațiune scutită — TVA zero",""))</f>
        <v>Bon fără CUI — TVA nedeductibil; justificare cu ordin de deplasare</v>
      </c>
      <c r="U10" t="s">
        <v>290</v>
      </c>
    </row>
    <row r="11" spans="2:21" x14ac:dyDescent="0.25">
      <c r="B11" s="7">
        <v>4</v>
      </c>
      <c r="C11" s="7" t="s">
        <v>219</v>
      </c>
      <c r="D11" s="8">
        <v>46219</v>
      </c>
      <c r="E11" s="10">
        <v>200</v>
      </c>
      <c r="F11" s="7" t="s">
        <v>51</v>
      </c>
      <c r="G11" s="7" t="s">
        <v>133</v>
      </c>
      <c r="H11" s="7" t="s">
        <v>184</v>
      </c>
      <c r="I11" s="7" t="s">
        <v>181</v>
      </c>
      <c r="J11" s="17">
        <f>IF($E11="","",IFERROR(VLOOKUP($G11,tbl_natura,4,FALSE()),"cod invalid"))</f>
        <v>625</v>
      </c>
      <c r="K11" s="14">
        <f>IF($E11="","",IFERROR(VLOOKUP($G11,tbl_natura,5,FALSE()),0))</f>
        <v>0.21</v>
      </c>
      <c r="L11" s="11" t="str">
        <f>IF($E11="","",IFERROR(VLOOKUP($G11,tbl_natura,6,FALSE()),""))</f>
        <v>Taxabil</v>
      </c>
      <c r="M11" s="14">
        <f>IF($E11="","",IFERROR(VLOOKUP($G11,tbl_natura,7,FALSE()),0))</f>
        <v>1</v>
      </c>
      <c r="N11" s="11" t="str">
        <f>IF($E11="","",IF(decl_platitor_tva&lt;&gt;"DA","NU",IF(IFERROR(VLOOKUP($H11&amp;"|"&amp;$I11,tbl_deducere,4,FALSE()),"NU")&lt;&gt;"DA","NU",IF(AND($H11="Bon fiscal",$E11&gt;decl_plafon_lei),"NU",IF($K11=0,"NU","DA")))))</f>
        <v>NU</v>
      </c>
      <c r="O11" s="11" t="str">
        <f>IF($E11="","",IFERROR(VLOOKUP($H11&amp;"|"&amp;$I11,tbl_deducere,5,FALSE()),"NU"))</f>
        <v>DA</v>
      </c>
      <c r="P11" s="9">
        <f>IF($E11="","",IF($O11&lt;&gt;"DA",0,$E11-$Q11))</f>
        <v>200</v>
      </c>
      <c r="Q11" s="9">
        <f>IF($E11="","",IF($N11&lt;&gt;"DA",0,ROUND(($E11-$E11/(1+$K11))*$M11,2)))</f>
        <v>0</v>
      </c>
      <c r="R11" s="9">
        <f>IF($E11="","",IF($O11&lt;&gt;"DA",0,ROUND($E11-$E11/(1+$K11),2)-$Q11))</f>
        <v>34.71</v>
      </c>
      <c r="S11" s="11" t="str">
        <f>IF($E11="","",IFERROR(VLOOKUP($G11,tbl_natura,8,FALSE()),""))</f>
        <v>Deductibil</v>
      </c>
      <c r="T11" s="15" t="str">
        <f>IF($E11="","",IFERROR(VLOOKUP($H11&amp;"|"&amp;$I11,tbl_deducere,6,FALSE()),"")&amp;IF(AND($H11="Bon fiscal",$E11&gt;decl_plafon_lei)," | peste plafonul facturii simplificate","")&amp;IF(decl_platitor_tva&lt;&gt;"DA"," | societate neplătitoare de TVA","")&amp;IF($L11="Scutit cu drept de deducere"," | operațiune scutită — TVA zero",""))</f>
        <v>Bon fără CUI — TVA nedeductibil; justificare cu ordin de deplasare</v>
      </c>
      <c r="U11" t="s">
        <v>290</v>
      </c>
    </row>
    <row r="12" spans="2:21" x14ac:dyDescent="0.25">
      <c r="B12" s="7">
        <v>5</v>
      </c>
      <c r="C12" s="7" t="s">
        <v>219</v>
      </c>
      <c r="D12" s="8">
        <v>46233</v>
      </c>
      <c r="E12" s="10">
        <v>200</v>
      </c>
      <c r="F12" s="7" t="s">
        <v>51</v>
      </c>
      <c r="G12" s="7" t="s">
        <v>133</v>
      </c>
      <c r="H12" s="7" t="s">
        <v>184</v>
      </c>
      <c r="I12" s="7" t="s">
        <v>181</v>
      </c>
      <c r="J12" s="17">
        <f>IF($E12="","",IFERROR(VLOOKUP($G12,tbl_natura,4,FALSE()),"cod invalid"))</f>
        <v>625</v>
      </c>
      <c r="K12" s="14">
        <f>IF($E12="","",IFERROR(VLOOKUP($G12,tbl_natura,5,FALSE()),0))</f>
        <v>0.21</v>
      </c>
      <c r="L12" s="11" t="str">
        <f>IF($E12="","",IFERROR(VLOOKUP($G12,tbl_natura,6,FALSE()),""))</f>
        <v>Taxabil</v>
      </c>
      <c r="M12" s="14">
        <f>IF($E12="","",IFERROR(VLOOKUP($G12,tbl_natura,7,FALSE()),0))</f>
        <v>1</v>
      </c>
      <c r="N12" s="11" t="str">
        <f>IF($E12="","",IF(decl_platitor_tva&lt;&gt;"DA","NU",IF(IFERROR(VLOOKUP($H12&amp;"|"&amp;$I12,tbl_deducere,4,FALSE()),"NU")&lt;&gt;"DA","NU",IF(AND($H12="Bon fiscal",$E12&gt;decl_plafon_lei),"NU",IF($K12=0,"NU","DA")))))</f>
        <v>NU</v>
      </c>
      <c r="O12" s="11" t="str">
        <f>IF($E12="","",IFERROR(VLOOKUP($H12&amp;"|"&amp;$I12,tbl_deducere,5,FALSE()),"NU"))</f>
        <v>DA</v>
      </c>
      <c r="P12" s="9">
        <f>IF($E12="","",IF($O12&lt;&gt;"DA",0,$E12-$Q12))</f>
        <v>200</v>
      </c>
      <c r="Q12" s="9">
        <f>IF($E12="","",IF($N12&lt;&gt;"DA",0,ROUND(($E12-$E12/(1+$K12))*$M12,2)))</f>
        <v>0</v>
      </c>
      <c r="R12" s="9">
        <f>IF($E12="","",IF($O12&lt;&gt;"DA",0,ROUND($E12-$E12/(1+$K12),2)-$Q12))</f>
        <v>34.71</v>
      </c>
      <c r="S12" s="11" t="str">
        <f>IF($E12="","",IFERROR(VLOOKUP($G12,tbl_natura,8,FALSE()),""))</f>
        <v>Deductibil</v>
      </c>
      <c r="T12" s="15" t="str">
        <f>IF($E12="","",IFERROR(VLOOKUP($H12&amp;"|"&amp;$I12,tbl_deducere,6,FALSE()),"")&amp;IF(AND($H12="Bon fiscal",$E12&gt;decl_plafon_lei)," | peste plafonul facturii simplificate","")&amp;IF(decl_platitor_tva&lt;&gt;"DA"," | societate neplătitoare de TVA","")&amp;IF($L12="Scutit cu drept de deducere"," | operațiune scutită — TVA zero",""))</f>
        <v>Bon fără CUI — TVA nedeductibil; justificare cu ordin de deplasare</v>
      </c>
      <c r="U12" t="s">
        <v>290</v>
      </c>
    </row>
    <row r="13" spans="2:21" x14ac:dyDescent="0.25">
      <c r="B13" s="7"/>
      <c r="C13" s="7"/>
      <c r="D13" s="8"/>
      <c r="E13" s="10"/>
      <c r="F13" s="7"/>
      <c r="G13" s="7"/>
      <c r="H13" s="7"/>
      <c r="I13" s="7"/>
      <c r="J13" s="17" t="str">
        <f>IF($E13="","",IFERROR(VLOOKUP($G13,tbl_natura,4,FALSE()),"cod invalid"))</f>
        <v/>
      </c>
      <c r="K13" s="14" t="str">
        <f>IF($E13="","",IFERROR(VLOOKUP($G13,tbl_natura,5,FALSE()),0))</f>
        <v/>
      </c>
      <c r="L13" s="11" t="str">
        <f>IF($E13="","",IFERROR(VLOOKUP($G13,tbl_natura,6,FALSE()),""))</f>
        <v/>
      </c>
      <c r="M13" s="14" t="str">
        <f>IF($E13="","",IFERROR(VLOOKUP($G13,tbl_natura,7,FALSE()),0))</f>
        <v/>
      </c>
      <c r="N13" s="11" t="str">
        <f>IF($E13="","",IF(decl_platitor_tva&lt;&gt;"DA","NU",IF(IFERROR(VLOOKUP($H13&amp;"|"&amp;$I13,tbl_deducere,4,FALSE()),"NU")&lt;&gt;"DA","NU",IF(AND($H13="Bon fiscal",$E13&gt;decl_plafon_lei),"NU",IF($K13=0,"NU","DA")))))</f>
        <v/>
      </c>
      <c r="O13" s="11" t="str">
        <f>IF($E13="","",IFERROR(VLOOKUP($H13&amp;"|"&amp;$I13,tbl_deducere,5,FALSE()),"NU"))</f>
        <v/>
      </c>
      <c r="P13" s="9" t="str">
        <f>IF($E13="","",IF($O13&lt;&gt;"DA",0,$E13-$Q13))</f>
        <v/>
      </c>
      <c r="Q13" s="9" t="str">
        <f>IF($E13="","",IF($N13&lt;&gt;"DA",0,ROUND(($E13-$E13/(1+$K13))*$M13,2)))</f>
        <v/>
      </c>
      <c r="R13" s="9" t="str">
        <f>IF($E13="","",IF($O13&lt;&gt;"DA",0,ROUND($E13-$E13/(1+$K13),2)-$Q13))</f>
        <v/>
      </c>
      <c r="S13" s="11" t="str">
        <f>IF($E13="","",IFERROR(VLOOKUP($G13,tbl_natura,8,FALSE()),""))</f>
        <v/>
      </c>
      <c r="T13" s="15" t="str">
        <f>IF($E13="","",IFERROR(VLOOKUP($H13&amp;"|"&amp;$I13,tbl_deducere,6,FALSE()),"")&amp;IF(AND($H13="Bon fiscal",$E13&gt;decl_plafon_lei)," | peste plafonul facturii simplificate","")&amp;IF(decl_platitor_tva&lt;&gt;"DA"," | societate neplătitoare de TVA","")&amp;IF($L13="Scutit cu drept de deducere"," | operațiune scutită — TVA zero",""))</f>
        <v/>
      </c>
      <c r="U13" t="s">
        <v>290</v>
      </c>
    </row>
    <row r="14" spans="2:21" x14ac:dyDescent="0.25">
      <c r="B14" s="7"/>
      <c r="C14" s="7"/>
      <c r="D14" s="8"/>
      <c r="E14" s="10"/>
      <c r="F14" s="7"/>
      <c r="G14" s="7"/>
      <c r="H14" s="7"/>
      <c r="I14" s="7"/>
      <c r="J14" s="17" t="str">
        <f>IF($E14="","",IFERROR(VLOOKUP($G14,tbl_natura,4,FALSE()),"cod invalid"))</f>
        <v/>
      </c>
      <c r="K14" s="14" t="str">
        <f>IF($E14="","",IFERROR(VLOOKUP($G14,tbl_natura,5,FALSE()),0))</f>
        <v/>
      </c>
      <c r="L14" s="11" t="str">
        <f>IF($E14="","",IFERROR(VLOOKUP($G14,tbl_natura,6,FALSE()),""))</f>
        <v/>
      </c>
      <c r="M14" s="14" t="str">
        <f>IF($E14="","",IFERROR(VLOOKUP($G14,tbl_natura,7,FALSE()),0))</f>
        <v/>
      </c>
      <c r="N14" s="11" t="str">
        <f>IF($E14="","",IF(decl_platitor_tva&lt;&gt;"DA","NU",IF(IFERROR(VLOOKUP($H14&amp;"|"&amp;$I14,tbl_deducere,4,FALSE()),"NU")&lt;&gt;"DA","NU",IF(AND($H14="Bon fiscal",$E14&gt;decl_plafon_lei),"NU",IF($K14=0,"NU","DA")))))</f>
        <v/>
      </c>
      <c r="O14" s="11" t="str">
        <f>IF($E14="","",IFERROR(VLOOKUP($H14&amp;"|"&amp;$I14,tbl_deducere,5,FALSE()),"NU"))</f>
        <v/>
      </c>
      <c r="P14" s="9" t="str">
        <f>IF($E14="","",IF($O14&lt;&gt;"DA",0,$E14-$Q14))</f>
        <v/>
      </c>
      <c r="Q14" s="9" t="str">
        <f>IF($E14="","",IF($N14&lt;&gt;"DA",0,ROUND(($E14-$E14/(1+$K14))*$M14,2)))</f>
        <v/>
      </c>
      <c r="R14" s="9" t="str">
        <f>IF($E14="","",IF($O14&lt;&gt;"DA",0,ROUND($E14-$E14/(1+$K14),2)-$Q14))</f>
        <v/>
      </c>
      <c r="S14" s="11" t="str">
        <f>IF($E14="","",IFERROR(VLOOKUP($G14,tbl_natura,8,FALSE()),""))</f>
        <v/>
      </c>
      <c r="T14" s="15" t="str">
        <f>IF($E14="","",IFERROR(VLOOKUP($H14&amp;"|"&amp;$I14,tbl_deducere,6,FALSE()),"")&amp;IF(AND($H14="Bon fiscal",$E14&gt;decl_plafon_lei)," | peste plafonul facturii simplificate","")&amp;IF(decl_platitor_tva&lt;&gt;"DA"," | societate neplătitoare de TVA","")&amp;IF($L14="Scutit cu drept de deducere"," | operațiune scutită — TVA zero",""))</f>
        <v/>
      </c>
      <c r="U14" t="s">
        <v>290</v>
      </c>
    </row>
    <row r="15" spans="2:21" x14ac:dyDescent="0.25">
      <c r="B15" s="7"/>
      <c r="C15" s="7"/>
      <c r="D15" s="8"/>
      <c r="E15" s="10"/>
      <c r="F15" s="7"/>
      <c r="G15" s="7"/>
      <c r="H15" s="7"/>
      <c r="I15" s="7"/>
      <c r="J15" s="17" t="str">
        <f>IF($E15="","",IFERROR(VLOOKUP($G15,tbl_natura,4,FALSE()),"cod invalid"))</f>
        <v/>
      </c>
      <c r="K15" s="14" t="str">
        <f>IF($E15="","",IFERROR(VLOOKUP($G15,tbl_natura,5,FALSE()),0))</f>
        <v/>
      </c>
      <c r="L15" s="11" t="str">
        <f>IF($E15="","",IFERROR(VLOOKUP($G15,tbl_natura,6,FALSE()),""))</f>
        <v/>
      </c>
      <c r="M15" s="14" t="str">
        <f>IF($E15="","",IFERROR(VLOOKUP($G15,tbl_natura,7,FALSE()),0))</f>
        <v/>
      </c>
      <c r="N15" s="11" t="str">
        <f>IF($E15="","",IF(decl_platitor_tva&lt;&gt;"DA","NU",IF(IFERROR(VLOOKUP($H15&amp;"|"&amp;$I15,tbl_deducere,4,FALSE()),"NU")&lt;&gt;"DA","NU",IF(AND($H15="Bon fiscal",$E15&gt;decl_plafon_lei),"NU",IF($K15=0,"NU","DA")))))</f>
        <v/>
      </c>
      <c r="O15" s="11" t="str">
        <f>IF($E15="","",IFERROR(VLOOKUP($H15&amp;"|"&amp;$I15,tbl_deducere,5,FALSE()),"NU"))</f>
        <v/>
      </c>
      <c r="P15" s="9" t="str">
        <f>IF($E15="","",IF($O15&lt;&gt;"DA",0,$E15-$Q15))</f>
        <v/>
      </c>
      <c r="Q15" s="9" t="str">
        <f>IF($E15="","",IF($N15&lt;&gt;"DA",0,ROUND(($E15-$E15/(1+$K15))*$M15,2)))</f>
        <v/>
      </c>
      <c r="R15" s="9" t="str">
        <f>IF($E15="","",IF($O15&lt;&gt;"DA",0,ROUND($E15-$E15/(1+$K15),2)-$Q15))</f>
        <v/>
      </c>
      <c r="S15" s="11" t="str">
        <f>IF($E15="","",IFERROR(VLOOKUP($G15,tbl_natura,8,FALSE()),""))</f>
        <v/>
      </c>
      <c r="T15" s="15" t="str">
        <f>IF($E15="","",IFERROR(VLOOKUP($H15&amp;"|"&amp;$I15,tbl_deducere,6,FALSE()),"")&amp;IF(AND($H15="Bon fiscal",$E15&gt;decl_plafon_lei)," | peste plafonul facturii simplificate","")&amp;IF(decl_platitor_tva&lt;&gt;"DA"," | societate neplătitoare de TVA","")&amp;IF($L15="Scutit cu drept de deducere"," | operațiune scutită — TVA zero",""))</f>
        <v/>
      </c>
      <c r="U15" t="s">
        <v>290</v>
      </c>
    </row>
    <row r="16" spans="2:21" x14ac:dyDescent="0.25">
      <c r="B16" s="7"/>
      <c r="C16" s="7"/>
      <c r="D16" s="8"/>
      <c r="E16" s="10"/>
      <c r="F16" s="7"/>
      <c r="G16" s="7"/>
      <c r="H16" s="7"/>
      <c r="I16" s="7"/>
      <c r="J16" s="17" t="str">
        <f>IF($E16="","",IFERROR(VLOOKUP($G16,tbl_natura,4,FALSE()),"cod invalid"))</f>
        <v/>
      </c>
      <c r="K16" s="14" t="str">
        <f>IF($E16="","",IFERROR(VLOOKUP($G16,tbl_natura,5,FALSE()),0))</f>
        <v/>
      </c>
      <c r="L16" s="11" t="str">
        <f>IF($E16="","",IFERROR(VLOOKUP($G16,tbl_natura,6,FALSE()),""))</f>
        <v/>
      </c>
      <c r="M16" s="14" t="str">
        <f>IF($E16="","",IFERROR(VLOOKUP($G16,tbl_natura,7,FALSE()),0))</f>
        <v/>
      </c>
      <c r="N16" s="11" t="str">
        <f>IF($E16="","",IF(decl_platitor_tva&lt;&gt;"DA","NU",IF(IFERROR(VLOOKUP($H16&amp;"|"&amp;$I16,tbl_deducere,4,FALSE()),"NU")&lt;&gt;"DA","NU",IF(AND($H16="Bon fiscal",$E16&gt;decl_plafon_lei),"NU",IF($K16=0,"NU","DA")))))</f>
        <v/>
      </c>
      <c r="O16" s="11" t="str">
        <f>IF($E16="","",IFERROR(VLOOKUP($H16&amp;"|"&amp;$I16,tbl_deducere,5,FALSE()),"NU"))</f>
        <v/>
      </c>
      <c r="P16" s="9" t="str">
        <f>IF($E16="","",IF($O16&lt;&gt;"DA",0,$E16-$Q16))</f>
        <v/>
      </c>
      <c r="Q16" s="9" t="str">
        <f>IF($E16="","",IF($N16&lt;&gt;"DA",0,ROUND(($E16-$E16/(1+$K16))*$M16,2)))</f>
        <v/>
      </c>
      <c r="R16" s="9" t="str">
        <f>IF($E16="","",IF($O16&lt;&gt;"DA",0,ROUND($E16-$E16/(1+$K16),2)-$Q16))</f>
        <v/>
      </c>
      <c r="S16" s="11" t="str">
        <f>IF($E16="","",IFERROR(VLOOKUP($G16,tbl_natura,8,FALSE()),""))</f>
        <v/>
      </c>
      <c r="T16" s="15" t="str">
        <f>IF($E16="","",IFERROR(VLOOKUP($H16&amp;"|"&amp;$I16,tbl_deducere,6,FALSE()),"")&amp;IF(AND($H16="Bon fiscal",$E16&gt;decl_plafon_lei)," | peste plafonul facturii simplificate","")&amp;IF(decl_platitor_tva&lt;&gt;"DA"," | societate neplătitoare de TVA","")&amp;IF($L16="Scutit cu drept de deducere"," | operațiune scutită — TVA zero",""))</f>
        <v/>
      </c>
      <c r="U16" t="s">
        <v>290</v>
      </c>
    </row>
    <row r="17" spans="2:21" x14ac:dyDescent="0.25">
      <c r="B17" s="7"/>
      <c r="C17" s="7"/>
      <c r="D17" s="8"/>
      <c r="E17" s="10"/>
      <c r="F17" s="7"/>
      <c r="G17" s="7"/>
      <c r="H17" s="7"/>
      <c r="I17" s="7"/>
      <c r="J17" s="17" t="str">
        <f>IF($E17="","",IFERROR(VLOOKUP($G17,tbl_natura,4,FALSE()),"cod invalid"))</f>
        <v/>
      </c>
      <c r="K17" s="14" t="str">
        <f>IF($E17="","",IFERROR(VLOOKUP($G17,tbl_natura,5,FALSE()),0))</f>
        <v/>
      </c>
      <c r="L17" s="11" t="str">
        <f>IF($E17="","",IFERROR(VLOOKUP($G17,tbl_natura,6,FALSE()),""))</f>
        <v/>
      </c>
      <c r="M17" s="14" t="str">
        <f>IF($E17="","",IFERROR(VLOOKUP($G17,tbl_natura,7,FALSE()),0))</f>
        <v/>
      </c>
      <c r="N17" s="11" t="str">
        <f>IF($E17="","",IF(decl_platitor_tva&lt;&gt;"DA","NU",IF(IFERROR(VLOOKUP($H17&amp;"|"&amp;$I17,tbl_deducere,4,FALSE()),"NU")&lt;&gt;"DA","NU",IF(AND($H17="Bon fiscal",$E17&gt;decl_plafon_lei),"NU",IF($K17=0,"NU","DA")))))</f>
        <v/>
      </c>
      <c r="O17" s="11" t="str">
        <f>IF($E17="","",IFERROR(VLOOKUP($H17&amp;"|"&amp;$I17,tbl_deducere,5,FALSE()),"NU"))</f>
        <v/>
      </c>
      <c r="P17" s="9" t="str">
        <f>IF($E17="","",IF($O17&lt;&gt;"DA",0,$E17-$Q17))</f>
        <v/>
      </c>
      <c r="Q17" s="9" t="str">
        <f>IF($E17="","",IF($N17&lt;&gt;"DA",0,ROUND(($E17-$E17/(1+$K17))*$M17,2)))</f>
        <v/>
      </c>
      <c r="R17" s="9" t="str">
        <f>IF($E17="","",IF($O17&lt;&gt;"DA",0,ROUND($E17-$E17/(1+$K17),2)-$Q17))</f>
        <v/>
      </c>
      <c r="S17" s="11" t="str">
        <f>IF($E17="","",IFERROR(VLOOKUP($G17,tbl_natura,8,FALSE()),""))</f>
        <v/>
      </c>
      <c r="T17" s="15" t="str">
        <f>IF($E17="","",IFERROR(VLOOKUP($H17&amp;"|"&amp;$I17,tbl_deducere,6,FALSE()),"")&amp;IF(AND($H17="Bon fiscal",$E17&gt;decl_plafon_lei)," | peste plafonul facturii simplificate","")&amp;IF(decl_platitor_tva&lt;&gt;"DA"," | societate neplătitoare de TVA","")&amp;IF($L17="Scutit cu drept de deducere"," | operațiune scutită — TVA zero",""))</f>
        <v/>
      </c>
      <c r="U17" t="s">
        <v>290</v>
      </c>
    </row>
    <row r="18" spans="2:21" x14ac:dyDescent="0.25">
      <c r="B18" s="7"/>
      <c r="C18" s="7"/>
      <c r="D18" s="8"/>
      <c r="E18" s="10"/>
      <c r="F18" s="7"/>
      <c r="G18" s="7"/>
      <c r="H18" s="7"/>
      <c r="I18" s="7"/>
      <c r="J18" s="17" t="str">
        <f>IF($E18="","",IFERROR(VLOOKUP($G18,tbl_natura,4,FALSE()),"cod invalid"))</f>
        <v/>
      </c>
      <c r="K18" s="14" t="str">
        <f>IF($E18="","",IFERROR(VLOOKUP($G18,tbl_natura,5,FALSE()),0))</f>
        <v/>
      </c>
      <c r="L18" s="11" t="str">
        <f>IF($E18="","",IFERROR(VLOOKUP($G18,tbl_natura,6,FALSE()),""))</f>
        <v/>
      </c>
      <c r="M18" s="14" t="str">
        <f>IF($E18="","",IFERROR(VLOOKUP($G18,tbl_natura,7,FALSE()),0))</f>
        <v/>
      </c>
      <c r="N18" s="11" t="str">
        <f>IF($E18="","",IF(decl_platitor_tva&lt;&gt;"DA","NU",IF(IFERROR(VLOOKUP($H18&amp;"|"&amp;$I18,tbl_deducere,4,FALSE()),"NU")&lt;&gt;"DA","NU",IF(AND($H18="Bon fiscal",$E18&gt;decl_plafon_lei),"NU",IF($K18=0,"NU","DA")))))</f>
        <v/>
      </c>
      <c r="O18" s="11" t="str">
        <f>IF($E18="","",IFERROR(VLOOKUP($H18&amp;"|"&amp;$I18,tbl_deducere,5,FALSE()),"NU"))</f>
        <v/>
      </c>
      <c r="P18" s="9" t="str">
        <f>IF($E18="","",IF($O18&lt;&gt;"DA",0,$E18-$Q18))</f>
        <v/>
      </c>
      <c r="Q18" s="9" t="str">
        <f>IF($E18="","",IF($N18&lt;&gt;"DA",0,ROUND(($E18-$E18/(1+$K18))*$M18,2)))</f>
        <v/>
      </c>
      <c r="R18" s="9" t="str">
        <f>IF($E18="","",IF($O18&lt;&gt;"DA",0,ROUND($E18-$E18/(1+$K18),2)-$Q18))</f>
        <v/>
      </c>
      <c r="S18" s="11" t="str">
        <f>IF($E18="","",IFERROR(VLOOKUP($G18,tbl_natura,8,FALSE()),""))</f>
        <v/>
      </c>
      <c r="T18" s="15" t="str">
        <f>IF($E18="","",IFERROR(VLOOKUP($H18&amp;"|"&amp;$I18,tbl_deducere,6,FALSE()),"")&amp;IF(AND($H18="Bon fiscal",$E18&gt;decl_plafon_lei)," | peste plafonul facturii simplificate","")&amp;IF(decl_platitor_tva&lt;&gt;"DA"," | societate neplătitoare de TVA","")&amp;IF($L18="Scutit cu drept de deducere"," | operațiune scutită — TVA zero",""))</f>
        <v/>
      </c>
      <c r="U18" t="s">
        <v>290</v>
      </c>
    </row>
    <row r="19" spans="2:21" x14ac:dyDescent="0.25">
      <c r="B19" s="7"/>
      <c r="C19" s="7"/>
      <c r="D19" s="8"/>
      <c r="E19" s="10"/>
      <c r="F19" s="7"/>
      <c r="G19" s="7"/>
      <c r="H19" s="7"/>
      <c r="I19" s="7"/>
      <c r="J19" s="17" t="str">
        <f>IF($E19="","",IFERROR(VLOOKUP($G19,tbl_natura,4,FALSE()),"cod invalid"))</f>
        <v/>
      </c>
      <c r="K19" s="14" t="str">
        <f>IF($E19="","",IFERROR(VLOOKUP($G19,tbl_natura,5,FALSE()),0))</f>
        <v/>
      </c>
      <c r="L19" s="11" t="str">
        <f>IF($E19="","",IFERROR(VLOOKUP($G19,tbl_natura,6,FALSE()),""))</f>
        <v/>
      </c>
      <c r="M19" s="14" t="str">
        <f>IF($E19="","",IFERROR(VLOOKUP($G19,tbl_natura,7,FALSE()),0))</f>
        <v/>
      </c>
      <c r="N19" s="11" t="str">
        <f>IF($E19="","",IF(decl_platitor_tva&lt;&gt;"DA","NU",IF(IFERROR(VLOOKUP($H19&amp;"|"&amp;$I19,tbl_deducere,4,FALSE()),"NU")&lt;&gt;"DA","NU",IF(AND($H19="Bon fiscal",$E19&gt;decl_plafon_lei),"NU",IF($K19=0,"NU","DA")))))</f>
        <v/>
      </c>
      <c r="O19" s="11" t="str">
        <f>IF($E19="","",IFERROR(VLOOKUP($H19&amp;"|"&amp;$I19,tbl_deducere,5,FALSE()),"NU"))</f>
        <v/>
      </c>
      <c r="P19" s="9" t="str">
        <f>IF($E19="","",IF($O19&lt;&gt;"DA",0,$E19-$Q19))</f>
        <v/>
      </c>
      <c r="Q19" s="9" t="str">
        <f>IF($E19="","",IF($N19&lt;&gt;"DA",0,ROUND(($E19-$E19/(1+$K19))*$M19,2)))</f>
        <v/>
      </c>
      <c r="R19" s="9" t="str">
        <f>IF($E19="","",IF($O19&lt;&gt;"DA",0,ROUND($E19-$E19/(1+$K19),2)-$Q19))</f>
        <v/>
      </c>
      <c r="S19" s="11" t="str">
        <f>IF($E19="","",IFERROR(VLOOKUP($G19,tbl_natura,8,FALSE()),""))</f>
        <v/>
      </c>
      <c r="T19" s="15" t="str">
        <f>IF($E19="","",IFERROR(VLOOKUP($H19&amp;"|"&amp;$I19,tbl_deducere,6,FALSE()),"")&amp;IF(AND($H19="Bon fiscal",$E19&gt;decl_plafon_lei)," | peste plafonul facturii simplificate","")&amp;IF(decl_platitor_tva&lt;&gt;"DA"," | societate neplătitoare de TVA","")&amp;IF($L19="Scutit cu drept de deducere"," | operațiune scutită — TVA zero",""))</f>
        <v/>
      </c>
      <c r="U19" t="s">
        <v>290</v>
      </c>
    </row>
    <row r="20" spans="2:21" x14ac:dyDescent="0.25">
      <c r="B20" s="7"/>
      <c r="C20" s="7"/>
      <c r="D20" s="8"/>
      <c r="E20" s="10"/>
      <c r="F20" s="7"/>
      <c r="G20" s="7"/>
      <c r="H20" s="7"/>
      <c r="I20" s="7"/>
      <c r="J20" s="17" t="str">
        <f>IF($E20="","",IFERROR(VLOOKUP($G20,tbl_natura,4,FALSE()),"cod invalid"))</f>
        <v/>
      </c>
      <c r="K20" s="14" t="str">
        <f>IF($E20="","",IFERROR(VLOOKUP($G20,tbl_natura,5,FALSE()),0))</f>
        <v/>
      </c>
      <c r="L20" s="11" t="str">
        <f>IF($E20="","",IFERROR(VLOOKUP($G20,tbl_natura,6,FALSE()),""))</f>
        <v/>
      </c>
      <c r="M20" s="14" t="str">
        <f>IF($E20="","",IFERROR(VLOOKUP($G20,tbl_natura,7,FALSE()),0))</f>
        <v/>
      </c>
      <c r="N20" s="11" t="str">
        <f>IF($E20="","",IF(decl_platitor_tva&lt;&gt;"DA","NU",IF(IFERROR(VLOOKUP($H20&amp;"|"&amp;$I20,tbl_deducere,4,FALSE()),"NU")&lt;&gt;"DA","NU",IF(AND($H20="Bon fiscal",$E20&gt;decl_plafon_lei),"NU",IF($K20=0,"NU","DA")))))</f>
        <v/>
      </c>
      <c r="O20" s="11" t="str">
        <f>IF($E20="","",IFERROR(VLOOKUP($H20&amp;"|"&amp;$I20,tbl_deducere,5,FALSE()),"NU"))</f>
        <v/>
      </c>
      <c r="P20" s="9" t="str">
        <f>IF($E20="","",IF($O20&lt;&gt;"DA",0,$E20-$Q20))</f>
        <v/>
      </c>
      <c r="Q20" s="9" t="str">
        <f>IF($E20="","",IF($N20&lt;&gt;"DA",0,ROUND(($E20-$E20/(1+$K20))*$M20,2)))</f>
        <v/>
      </c>
      <c r="R20" s="9" t="str">
        <f>IF($E20="","",IF($O20&lt;&gt;"DA",0,ROUND($E20-$E20/(1+$K20),2)-$Q20))</f>
        <v/>
      </c>
      <c r="S20" s="11" t="str">
        <f>IF($E20="","",IFERROR(VLOOKUP($G20,tbl_natura,8,FALSE()),""))</f>
        <v/>
      </c>
      <c r="T20" s="15" t="str">
        <f>IF($E20="","",IFERROR(VLOOKUP($H20&amp;"|"&amp;$I20,tbl_deducere,6,FALSE()),"")&amp;IF(AND($H20="Bon fiscal",$E20&gt;decl_plafon_lei)," | peste plafonul facturii simplificate","")&amp;IF(decl_platitor_tva&lt;&gt;"DA"," | societate neplătitoare de TVA","")&amp;IF($L20="Scutit cu drept de deducere"," | operațiune scutită — TVA zero",""))</f>
        <v/>
      </c>
      <c r="U20" t="s">
        <v>290</v>
      </c>
    </row>
    <row r="21" spans="2:21" x14ac:dyDescent="0.25">
      <c r="B21" s="7"/>
      <c r="C21" s="7"/>
      <c r="D21" s="8"/>
      <c r="E21" s="10"/>
      <c r="F21" s="7"/>
      <c r="G21" s="7"/>
      <c r="H21" s="7"/>
      <c r="I21" s="7"/>
      <c r="J21" s="17" t="str">
        <f>IF($E21="","",IFERROR(VLOOKUP($G21,tbl_natura,4,FALSE()),"cod invalid"))</f>
        <v/>
      </c>
      <c r="K21" s="14" t="str">
        <f>IF($E21="","",IFERROR(VLOOKUP($G21,tbl_natura,5,FALSE()),0))</f>
        <v/>
      </c>
      <c r="L21" s="11" t="str">
        <f>IF($E21="","",IFERROR(VLOOKUP($G21,tbl_natura,6,FALSE()),""))</f>
        <v/>
      </c>
      <c r="M21" s="14" t="str">
        <f>IF($E21="","",IFERROR(VLOOKUP($G21,tbl_natura,7,FALSE()),0))</f>
        <v/>
      </c>
      <c r="N21" s="11" t="str">
        <f>IF($E21="","",IF(decl_platitor_tva&lt;&gt;"DA","NU",IF(IFERROR(VLOOKUP($H21&amp;"|"&amp;$I21,tbl_deducere,4,FALSE()),"NU")&lt;&gt;"DA","NU",IF(AND($H21="Bon fiscal",$E21&gt;decl_plafon_lei),"NU",IF($K21=0,"NU","DA")))))</f>
        <v/>
      </c>
      <c r="O21" s="11" t="str">
        <f>IF($E21="","",IFERROR(VLOOKUP($H21&amp;"|"&amp;$I21,tbl_deducere,5,FALSE()),"NU"))</f>
        <v/>
      </c>
      <c r="P21" s="9" t="str">
        <f>IF($E21="","",IF($O21&lt;&gt;"DA",0,$E21-$Q21))</f>
        <v/>
      </c>
      <c r="Q21" s="9" t="str">
        <f>IF($E21="","",IF($N21&lt;&gt;"DA",0,ROUND(($E21-$E21/(1+$K21))*$M21,2)))</f>
        <v/>
      </c>
      <c r="R21" s="9" t="str">
        <f>IF($E21="","",IF($O21&lt;&gt;"DA",0,ROUND($E21-$E21/(1+$K21),2)-$Q21))</f>
        <v/>
      </c>
      <c r="S21" s="11" t="str">
        <f>IF($E21="","",IFERROR(VLOOKUP($G21,tbl_natura,8,FALSE()),""))</f>
        <v/>
      </c>
      <c r="T21" s="15" t="str">
        <f>IF($E21="","",IFERROR(VLOOKUP($H21&amp;"|"&amp;$I21,tbl_deducere,6,FALSE()),"")&amp;IF(AND($H21="Bon fiscal",$E21&gt;decl_plafon_lei)," | peste plafonul facturii simplificate","")&amp;IF(decl_platitor_tva&lt;&gt;"DA"," | societate neplătitoare de TVA","")&amp;IF($L21="Scutit cu drept de deducere"," | operațiune scutită — TVA zero",""))</f>
        <v/>
      </c>
      <c r="U21" t="s">
        <v>290</v>
      </c>
    </row>
    <row r="22" spans="2:21" x14ac:dyDescent="0.25">
      <c r="B22" s="7"/>
      <c r="C22" s="7"/>
      <c r="D22" s="8"/>
      <c r="E22" s="10"/>
      <c r="F22" s="7"/>
      <c r="G22" s="7"/>
      <c r="H22" s="7"/>
      <c r="I22" s="7"/>
      <c r="J22" s="17" t="str">
        <f>IF($E22="","",IFERROR(VLOOKUP($G22,tbl_natura,4,FALSE()),"cod invalid"))</f>
        <v/>
      </c>
      <c r="K22" s="14" t="str">
        <f>IF($E22="","",IFERROR(VLOOKUP($G22,tbl_natura,5,FALSE()),0))</f>
        <v/>
      </c>
      <c r="L22" s="11" t="str">
        <f>IF($E22="","",IFERROR(VLOOKUP($G22,tbl_natura,6,FALSE()),""))</f>
        <v/>
      </c>
      <c r="M22" s="14" t="str">
        <f>IF($E22="","",IFERROR(VLOOKUP($G22,tbl_natura,7,FALSE()),0))</f>
        <v/>
      </c>
      <c r="N22" s="11" t="str">
        <f>IF($E22="","",IF(decl_platitor_tva&lt;&gt;"DA","NU",IF(IFERROR(VLOOKUP($H22&amp;"|"&amp;$I22,tbl_deducere,4,FALSE()),"NU")&lt;&gt;"DA","NU",IF(AND($H22="Bon fiscal",$E22&gt;decl_plafon_lei),"NU",IF($K22=0,"NU","DA")))))</f>
        <v/>
      </c>
      <c r="O22" s="11" t="str">
        <f>IF($E22="","",IFERROR(VLOOKUP($H22&amp;"|"&amp;$I22,tbl_deducere,5,FALSE()),"NU"))</f>
        <v/>
      </c>
      <c r="P22" s="9" t="str">
        <f>IF($E22="","",IF($O22&lt;&gt;"DA",0,$E22-$Q22))</f>
        <v/>
      </c>
      <c r="Q22" s="9" t="str">
        <f>IF($E22="","",IF($N22&lt;&gt;"DA",0,ROUND(($E22-$E22/(1+$K22))*$M22,2)))</f>
        <v/>
      </c>
      <c r="R22" s="9" t="str">
        <f>IF($E22="","",IF($O22&lt;&gt;"DA",0,ROUND($E22-$E22/(1+$K22),2)-$Q22))</f>
        <v/>
      </c>
      <c r="S22" s="11" t="str">
        <f>IF($E22="","",IFERROR(VLOOKUP($G22,tbl_natura,8,FALSE()),""))</f>
        <v/>
      </c>
      <c r="T22" s="15" t="str">
        <f>IF($E22="","",IFERROR(VLOOKUP($H22&amp;"|"&amp;$I22,tbl_deducere,6,FALSE()),"")&amp;IF(AND($H22="Bon fiscal",$E22&gt;decl_plafon_lei)," | peste plafonul facturii simplificate","")&amp;IF(decl_platitor_tva&lt;&gt;"DA"," | societate neplătitoare de TVA","")&amp;IF($L22="Scutit cu drept de deducere"," | operațiune scutită — TVA zero",""))</f>
        <v/>
      </c>
      <c r="U22" t="s">
        <v>290</v>
      </c>
    </row>
    <row r="23" spans="2:21" x14ac:dyDescent="0.25">
      <c r="B23" s="7"/>
      <c r="C23" s="7"/>
      <c r="D23" s="8"/>
      <c r="E23" s="10"/>
      <c r="F23" s="7"/>
      <c r="G23" s="7"/>
      <c r="H23" s="7"/>
      <c r="I23" s="7"/>
      <c r="J23" s="17" t="str">
        <f>IF($E23="","",IFERROR(VLOOKUP($G23,tbl_natura,4,FALSE()),"cod invalid"))</f>
        <v/>
      </c>
      <c r="K23" s="14" t="str">
        <f>IF($E23="","",IFERROR(VLOOKUP($G23,tbl_natura,5,FALSE()),0))</f>
        <v/>
      </c>
      <c r="L23" s="11" t="str">
        <f>IF($E23="","",IFERROR(VLOOKUP($G23,tbl_natura,6,FALSE()),""))</f>
        <v/>
      </c>
      <c r="M23" s="14" t="str">
        <f>IF($E23="","",IFERROR(VLOOKUP($G23,tbl_natura,7,FALSE()),0))</f>
        <v/>
      </c>
      <c r="N23" s="11" t="str">
        <f>IF($E23="","",IF(decl_platitor_tva&lt;&gt;"DA","NU",IF(IFERROR(VLOOKUP($H23&amp;"|"&amp;$I23,tbl_deducere,4,FALSE()),"NU")&lt;&gt;"DA","NU",IF(AND($H23="Bon fiscal",$E23&gt;decl_plafon_lei),"NU",IF($K23=0,"NU","DA")))))</f>
        <v/>
      </c>
      <c r="O23" s="11" t="str">
        <f>IF($E23="","",IFERROR(VLOOKUP($H23&amp;"|"&amp;$I23,tbl_deducere,5,FALSE()),"NU"))</f>
        <v/>
      </c>
      <c r="P23" s="9" t="str">
        <f>IF($E23="","",IF($O23&lt;&gt;"DA",0,$E23-$Q23))</f>
        <v/>
      </c>
      <c r="Q23" s="9" t="str">
        <f>IF($E23="","",IF($N23&lt;&gt;"DA",0,ROUND(($E23-$E23/(1+$K23))*$M23,2)))</f>
        <v/>
      </c>
      <c r="R23" s="9" t="str">
        <f>IF($E23="","",IF($O23&lt;&gt;"DA",0,ROUND($E23-$E23/(1+$K23),2)-$Q23))</f>
        <v/>
      </c>
      <c r="S23" s="11" t="str">
        <f>IF($E23="","",IFERROR(VLOOKUP($G23,tbl_natura,8,FALSE()),""))</f>
        <v/>
      </c>
      <c r="T23" s="15" t="str">
        <f>IF($E23="","",IFERROR(VLOOKUP($H23&amp;"|"&amp;$I23,tbl_deducere,6,FALSE()),"")&amp;IF(AND($H23="Bon fiscal",$E23&gt;decl_plafon_lei)," | peste plafonul facturii simplificate","")&amp;IF(decl_platitor_tva&lt;&gt;"DA"," | societate neplătitoare de TVA","")&amp;IF($L23="Scutit cu drept de deducere"," | operațiune scutită — TVA zero",""))</f>
        <v/>
      </c>
      <c r="U23" t="s">
        <v>290</v>
      </c>
    </row>
    <row r="24" spans="2:21" x14ac:dyDescent="0.25">
      <c r="B24" s="7"/>
      <c r="C24" s="7"/>
      <c r="D24" s="8"/>
      <c r="E24" s="10"/>
      <c r="F24" s="7"/>
      <c r="G24" s="7"/>
      <c r="H24" s="7"/>
      <c r="I24" s="7"/>
      <c r="J24" s="17" t="str">
        <f>IF($E24="","",IFERROR(VLOOKUP($G24,tbl_natura,4,FALSE()),"cod invalid"))</f>
        <v/>
      </c>
      <c r="K24" s="14" t="str">
        <f>IF($E24="","",IFERROR(VLOOKUP($G24,tbl_natura,5,FALSE()),0))</f>
        <v/>
      </c>
      <c r="L24" s="11" t="str">
        <f>IF($E24="","",IFERROR(VLOOKUP($G24,tbl_natura,6,FALSE()),""))</f>
        <v/>
      </c>
      <c r="M24" s="14" t="str">
        <f>IF($E24="","",IFERROR(VLOOKUP($G24,tbl_natura,7,FALSE()),0))</f>
        <v/>
      </c>
      <c r="N24" s="11" t="str">
        <f>IF($E24="","",IF(decl_platitor_tva&lt;&gt;"DA","NU",IF(IFERROR(VLOOKUP($H24&amp;"|"&amp;$I24,tbl_deducere,4,FALSE()),"NU")&lt;&gt;"DA","NU",IF(AND($H24="Bon fiscal",$E24&gt;decl_plafon_lei),"NU",IF($K24=0,"NU","DA")))))</f>
        <v/>
      </c>
      <c r="O24" s="11" t="str">
        <f>IF($E24="","",IFERROR(VLOOKUP($H24&amp;"|"&amp;$I24,tbl_deducere,5,FALSE()),"NU"))</f>
        <v/>
      </c>
      <c r="P24" s="9" t="str">
        <f>IF($E24="","",IF($O24&lt;&gt;"DA",0,$E24-$Q24))</f>
        <v/>
      </c>
      <c r="Q24" s="9" t="str">
        <f>IF($E24="","",IF($N24&lt;&gt;"DA",0,ROUND(($E24-$E24/(1+$K24))*$M24,2)))</f>
        <v/>
      </c>
      <c r="R24" s="9" t="str">
        <f>IF($E24="","",IF($O24&lt;&gt;"DA",0,ROUND($E24-$E24/(1+$K24),2)-$Q24))</f>
        <v/>
      </c>
      <c r="S24" s="11" t="str">
        <f>IF($E24="","",IFERROR(VLOOKUP($G24,tbl_natura,8,FALSE()),""))</f>
        <v/>
      </c>
      <c r="T24" s="15" t="str">
        <f>IF($E24="","",IFERROR(VLOOKUP($H24&amp;"|"&amp;$I24,tbl_deducere,6,FALSE()),"")&amp;IF(AND($H24="Bon fiscal",$E24&gt;decl_plafon_lei)," | peste plafonul facturii simplificate","")&amp;IF(decl_platitor_tva&lt;&gt;"DA"," | societate neplătitoare de TVA","")&amp;IF($L24="Scutit cu drept de deducere"," | operațiune scutită — TVA zero",""))</f>
        <v/>
      </c>
      <c r="U24" t="s">
        <v>290</v>
      </c>
    </row>
    <row r="25" spans="2:21" x14ac:dyDescent="0.25">
      <c r="B25" s="7"/>
      <c r="C25" s="7"/>
      <c r="D25" s="8"/>
      <c r="E25" s="10"/>
      <c r="F25" s="7"/>
      <c r="G25" s="7"/>
      <c r="H25" s="7"/>
      <c r="I25" s="7"/>
      <c r="J25" s="17" t="str">
        <f>IF($E25="","",IFERROR(VLOOKUP($G25,tbl_natura,4,FALSE()),"cod invalid"))</f>
        <v/>
      </c>
      <c r="K25" s="14" t="str">
        <f>IF($E25="","",IFERROR(VLOOKUP($G25,tbl_natura,5,FALSE()),0))</f>
        <v/>
      </c>
      <c r="L25" s="11" t="str">
        <f>IF($E25="","",IFERROR(VLOOKUP($G25,tbl_natura,6,FALSE()),""))</f>
        <v/>
      </c>
      <c r="M25" s="14" t="str">
        <f>IF($E25="","",IFERROR(VLOOKUP($G25,tbl_natura,7,FALSE()),0))</f>
        <v/>
      </c>
      <c r="N25" s="11" t="str">
        <f>IF($E25="","",IF(decl_platitor_tva&lt;&gt;"DA","NU",IF(IFERROR(VLOOKUP($H25&amp;"|"&amp;$I25,tbl_deducere,4,FALSE()),"NU")&lt;&gt;"DA","NU",IF(AND($H25="Bon fiscal",$E25&gt;decl_plafon_lei),"NU",IF($K25=0,"NU","DA")))))</f>
        <v/>
      </c>
      <c r="O25" s="11" t="str">
        <f>IF($E25="","",IFERROR(VLOOKUP($H25&amp;"|"&amp;$I25,tbl_deducere,5,FALSE()),"NU"))</f>
        <v/>
      </c>
      <c r="P25" s="9" t="str">
        <f>IF($E25="","",IF($O25&lt;&gt;"DA",0,$E25-$Q25))</f>
        <v/>
      </c>
      <c r="Q25" s="9" t="str">
        <f>IF($E25="","",IF($N25&lt;&gt;"DA",0,ROUND(($E25-$E25/(1+$K25))*$M25,2)))</f>
        <v/>
      </c>
      <c r="R25" s="9" t="str">
        <f>IF($E25="","",IF($O25&lt;&gt;"DA",0,ROUND($E25-$E25/(1+$K25),2)-$Q25))</f>
        <v/>
      </c>
      <c r="S25" s="11" t="str">
        <f>IF($E25="","",IFERROR(VLOOKUP($G25,tbl_natura,8,FALSE()),""))</f>
        <v/>
      </c>
      <c r="T25" s="15" t="str">
        <f>IF($E25="","",IFERROR(VLOOKUP($H25&amp;"|"&amp;$I25,tbl_deducere,6,FALSE()),"")&amp;IF(AND($H25="Bon fiscal",$E25&gt;decl_plafon_lei)," | peste plafonul facturii simplificate","")&amp;IF(decl_platitor_tva&lt;&gt;"DA"," | societate neplătitoare de TVA","")&amp;IF($L25="Scutit cu drept de deducere"," | operațiune scutită — TVA zero",""))</f>
        <v/>
      </c>
      <c r="U25" t="s">
        <v>290</v>
      </c>
    </row>
    <row r="26" spans="2:21" x14ac:dyDescent="0.25">
      <c r="B26" s="7"/>
      <c r="C26" s="7"/>
      <c r="D26" s="8"/>
      <c r="E26" s="10"/>
      <c r="F26" s="7"/>
      <c r="G26" s="7"/>
      <c r="H26" s="7"/>
      <c r="I26" s="7"/>
      <c r="J26" s="17" t="str">
        <f>IF($E26="","",IFERROR(VLOOKUP($G26,tbl_natura,4,FALSE()),"cod invalid"))</f>
        <v/>
      </c>
      <c r="K26" s="14" t="str">
        <f>IF($E26="","",IFERROR(VLOOKUP($G26,tbl_natura,5,FALSE()),0))</f>
        <v/>
      </c>
      <c r="L26" s="11" t="str">
        <f>IF($E26="","",IFERROR(VLOOKUP($G26,tbl_natura,6,FALSE()),""))</f>
        <v/>
      </c>
      <c r="M26" s="14" t="str">
        <f>IF($E26="","",IFERROR(VLOOKUP($G26,tbl_natura,7,FALSE()),0))</f>
        <v/>
      </c>
      <c r="N26" s="11" t="str">
        <f>IF($E26="","",IF(decl_platitor_tva&lt;&gt;"DA","NU",IF(IFERROR(VLOOKUP($H26&amp;"|"&amp;$I26,tbl_deducere,4,FALSE()),"NU")&lt;&gt;"DA","NU",IF(AND($H26="Bon fiscal",$E26&gt;decl_plafon_lei),"NU",IF($K26=0,"NU","DA")))))</f>
        <v/>
      </c>
      <c r="O26" s="11" t="str">
        <f>IF($E26="","",IFERROR(VLOOKUP($H26&amp;"|"&amp;$I26,tbl_deducere,5,FALSE()),"NU"))</f>
        <v/>
      </c>
      <c r="P26" s="9" t="str">
        <f>IF($E26="","",IF($O26&lt;&gt;"DA",0,$E26-$Q26))</f>
        <v/>
      </c>
      <c r="Q26" s="9" t="str">
        <f>IF($E26="","",IF($N26&lt;&gt;"DA",0,ROUND(($E26-$E26/(1+$K26))*$M26,2)))</f>
        <v/>
      </c>
      <c r="R26" s="9" t="str">
        <f>IF($E26="","",IF($O26&lt;&gt;"DA",0,ROUND($E26-$E26/(1+$K26),2)-$Q26))</f>
        <v/>
      </c>
      <c r="S26" s="11" t="str">
        <f>IF($E26="","",IFERROR(VLOOKUP($G26,tbl_natura,8,FALSE()),""))</f>
        <v/>
      </c>
      <c r="T26" s="15" t="str">
        <f>IF($E26="","",IFERROR(VLOOKUP($H26&amp;"|"&amp;$I26,tbl_deducere,6,FALSE()),"")&amp;IF(AND($H26="Bon fiscal",$E26&gt;decl_plafon_lei)," | peste plafonul facturii simplificate","")&amp;IF(decl_platitor_tva&lt;&gt;"DA"," | societate neplătitoare de TVA","")&amp;IF($L26="Scutit cu drept de deducere"," | operațiune scutită — TVA zero",""))</f>
        <v/>
      </c>
      <c r="U26" t="s">
        <v>290</v>
      </c>
    </row>
    <row r="27" spans="2:21" x14ac:dyDescent="0.25">
      <c r="B27" s="7"/>
      <c r="C27" s="7"/>
      <c r="D27" s="8"/>
      <c r="E27" s="10"/>
      <c r="F27" s="7"/>
      <c r="G27" s="7"/>
      <c r="H27" s="7"/>
      <c r="I27" s="7"/>
      <c r="J27" s="17" t="str">
        <f>IF($E27="","",IFERROR(VLOOKUP($G27,tbl_natura,4,FALSE()),"cod invalid"))</f>
        <v/>
      </c>
      <c r="K27" s="14" t="str">
        <f>IF($E27="","",IFERROR(VLOOKUP($G27,tbl_natura,5,FALSE()),0))</f>
        <v/>
      </c>
      <c r="L27" s="11" t="str">
        <f>IF($E27="","",IFERROR(VLOOKUP($G27,tbl_natura,6,FALSE()),""))</f>
        <v/>
      </c>
      <c r="M27" s="14" t="str">
        <f>IF($E27="","",IFERROR(VLOOKUP($G27,tbl_natura,7,FALSE()),0))</f>
        <v/>
      </c>
      <c r="N27" s="11" t="str">
        <f>IF($E27="","",IF(decl_platitor_tva&lt;&gt;"DA","NU",IF(IFERROR(VLOOKUP($H27&amp;"|"&amp;$I27,tbl_deducere,4,FALSE()),"NU")&lt;&gt;"DA","NU",IF(AND($H27="Bon fiscal",$E27&gt;decl_plafon_lei),"NU",IF($K27=0,"NU","DA")))))</f>
        <v/>
      </c>
      <c r="O27" s="11" t="str">
        <f>IF($E27="","",IFERROR(VLOOKUP($H27&amp;"|"&amp;$I27,tbl_deducere,5,FALSE()),"NU"))</f>
        <v/>
      </c>
      <c r="P27" s="9" t="str">
        <f>IF($E27="","",IF($O27&lt;&gt;"DA",0,$E27-$Q27))</f>
        <v/>
      </c>
      <c r="Q27" s="9" t="str">
        <f>IF($E27="","",IF($N27&lt;&gt;"DA",0,ROUND(($E27-$E27/(1+$K27))*$M27,2)))</f>
        <v/>
      </c>
      <c r="R27" s="9" t="str">
        <f>IF($E27="","",IF($O27&lt;&gt;"DA",0,ROUND($E27-$E27/(1+$K27),2)-$Q27))</f>
        <v/>
      </c>
      <c r="S27" s="11" t="str">
        <f>IF($E27="","",IFERROR(VLOOKUP($G27,tbl_natura,8,FALSE()),""))</f>
        <v/>
      </c>
      <c r="T27" s="15" t="str">
        <f>IF($E27="","",IFERROR(VLOOKUP($H27&amp;"|"&amp;$I27,tbl_deducere,6,FALSE()),"")&amp;IF(AND($H27="Bon fiscal",$E27&gt;decl_plafon_lei)," | peste plafonul facturii simplificate","")&amp;IF(decl_platitor_tva&lt;&gt;"DA"," | societate neplătitoare de TVA","")&amp;IF($L27="Scutit cu drept de deducere"," | operațiune scutită — TVA zero",""))</f>
        <v/>
      </c>
      <c r="U27" t="s">
        <v>290</v>
      </c>
    </row>
    <row r="28" spans="2:21" x14ac:dyDescent="0.25">
      <c r="U28" t="s">
        <v>290</v>
      </c>
    </row>
    <row r="29" spans="2:21" x14ac:dyDescent="0.25">
      <c r="C29" s="19" t="s">
        <v>220</v>
      </c>
      <c r="F29" s="20">
        <f>SUM(E8:E27)</f>
        <v>3938.76</v>
      </c>
      <c r="Q29" s="20">
        <f>SUM(P8:P27)</f>
        <v>3938.76</v>
      </c>
      <c r="R29" s="20">
        <f>SUM(Q8:Q27)</f>
        <v>0</v>
      </c>
      <c r="S29" s="20">
        <f>SUM(R8:R27)</f>
        <v>76.02000000000001</v>
      </c>
    </row>
    <row r="31" spans="2:21" x14ac:dyDescent="0.25">
      <c r="C31" s="4" t="s">
        <v>221</v>
      </c>
      <c r="Q31" s="21">
        <f>Q29+R29+SUMIF($O$8:$O$27,"NU",$E$8:$E$27)</f>
        <v>3938.76</v>
      </c>
      <c r="R31" s="21">
        <f>Q31-F29</f>
        <v>0</v>
      </c>
      <c r="S31" s="22" t="str">
        <f>IF(ROUND(R31,2)=0,"OK","EROARE")</f>
        <v>OK</v>
      </c>
    </row>
    <row r="34" spans="2:4" x14ac:dyDescent="0.25">
      <c r="B34" s="3" t="s">
        <v>222</v>
      </c>
    </row>
    <row r="36" spans="2:4" x14ac:dyDescent="0.25">
      <c r="B36" s="12" t="s">
        <v>116</v>
      </c>
      <c r="C36" s="12" t="s">
        <v>223</v>
      </c>
      <c r="D36" s="12" t="s">
        <v>224</v>
      </c>
    </row>
    <row r="37" spans="2:4" x14ac:dyDescent="0.25">
      <c r="B37" s="17">
        <v>624</v>
      </c>
      <c r="C37" s="11" t="s">
        <v>225</v>
      </c>
      <c r="D37" s="9">
        <f>SUMIF($J$8:$J$27,$B37,$P$8:$P$27)</f>
        <v>0</v>
      </c>
    </row>
    <row r="38" spans="2:4" x14ac:dyDescent="0.25">
      <c r="B38" s="17">
        <v>625</v>
      </c>
      <c r="C38" s="11" t="s">
        <v>226</v>
      </c>
      <c r="D38" s="9">
        <f>SUMIF($J$8:$J$27,$B38,$P$8:$P$27)</f>
        <v>3938.76</v>
      </c>
    </row>
    <row r="39" spans="2:4" x14ac:dyDescent="0.25">
      <c r="B39" s="17">
        <v>6231</v>
      </c>
      <c r="C39" s="11" t="s">
        <v>227</v>
      </c>
      <c r="D39" s="9">
        <f>SUMIF($J$8:$J$27,$B39,$P$8:$P$27)</f>
        <v>0</v>
      </c>
    </row>
    <row r="40" spans="2:4" x14ac:dyDescent="0.25">
      <c r="B40" s="17">
        <v>6022</v>
      </c>
      <c r="C40" s="11" t="s">
        <v>228</v>
      </c>
      <c r="D40" s="9">
        <f>SUMIF($J$8:$J$27,$B40,$P$8:$P$27)</f>
        <v>0</v>
      </c>
    </row>
    <row r="41" spans="2:4" x14ac:dyDescent="0.25">
      <c r="B41" s="17">
        <v>6028</v>
      </c>
      <c r="C41" s="11" t="s">
        <v>229</v>
      </c>
      <c r="D41" s="9">
        <f>SUMIF($J$8:$J$27,$B41,$P$8:$P$27)</f>
        <v>0</v>
      </c>
    </row>
    <row r="42" spans="2:4" x14ac:dyDescent="0.25">
      <c r="B42" s="17">
        <v>628</v>
      </c>
      <c r="C42" s="11" t="s">
        <v>230</v>
      </c>
      <c r="D42" s="9">
        <f>SUMIF($J$8:$J$27,$B42,$P$8:$P$27)</f>
        <v>0</v>
      </c>
    </row>
    <row r="43" spans="2:4" x14ac:dyDescent="0.25">
      <c r="B43" s="17">
        <v>6588</v>
      </c>
      <c r="C43" s="11" t="s">
        <v>231</v>
      </c>
      <c r="D43" s="9">
        <f>SUMIF($J$8:$J$27,$B43,$P$8:$P$27)</f>
        <v>0</v>
      </c>
    </row>
    <row r="44" spans="2:4" x14ac:dyDescent="0.25">
      <c r="B44" s="17">
        <v>4426</v>
      </c>
      <c r="C44" s="11" t="s">
        <v>232</v>
      </c>
      <c r="D44" s="9">
        <f>$R$29</f>
        <v>0</v>
      </c>
    </row>
    <row r="45" spans="2:4" x14ac:dyDescent="0.25">
      <c r="C45" s="19" t="s">
        <v>233</v>
      </c>
      <c r="D45" s="20">
        <f>SUM(D37:D44)</f>
        <v>3938.76</v>
      </c>
    </row>
    <row r="46" spans="2:4" x14ac:dyDescent="0.25">
      <c r="C46" s="4" t="s">
        <v>234</v>
      </c>
      <c r="D46" s="21">
        <f>ROUND(D45-Q29-R29,2)</f>
        <v>0</v>
      </c>
    </row>
    <row r="48" spans="2:4" x14ac:dyDescent="0.25">
      <c r="B48" s="3" t="s">
        <v>235</v>
      </c>
    </row>
    <row r="50" spans="2:4" x14ac:dyDescent="0.25">
      <c r="C50" s="4" t="s">
        <v>236</v>
      </c>
      <c r="D50" s="9">
        <f>SUMIF($S$8:$S$27,"Deductibil",$P$8:$P$27)</f>
        <v>3938.76</v>
      </c>
    </row>
    <row r="51" spans="2:4" x14ac:dyDescent="0.25">
      <c r="C51" s="4" t="s">
        <v>237</v>
      </c>
      <c r="D51" s="9">
        <f>SUMIF($S$8:$S$27,"Deductibil limitat 2%",$P$8:$P$27)</f>
        <v>0</v>
      </c>
    </row>
    <row r="52" spans="2:4" x14ac:dyDescent="0.25">
      <c r="C52" s="4" t="s">
        <v>238</v>
      </c>
      <c r="D52" s="9">
        <f>SUMIF($S$8:$S$27,"Deductibil limitat 50%",$P$8:$P$27)</f>
        <v>0</v>
      </c>
    </row>
    <row r="53" spans="2:4" x14ac:dyDescent="0.25">
      <c r="C53" s="4" t="s">
        <v>168</v>
      </c>
      <c r="D53" s="9">
        <f>SUMIF($S$8:$S$27,"Nedeductibil",$P$8:$P$27)</f>
        <v>0</v>
      </c>
    </row>
    <row r="56" spans="2:4" x14ac:dyDescent="0.25">
      <c r="B56" s="3" t="s">
        <v>239</v>
      </c>
    </row>
    <row r="58" spans="2:4" x14ac:dyDescent="0.25">
      <c r="C58" s="4" t="s">
        <v>240</v>
      </c>
      <c r="D58" s="9">
        <f>$Q$29+$R$29</f>
        <v>3938.76</v>
      </c>
    </row>
    <row r="59" spans="2:4" x14ac:dyDescent="0.25">
      <c r="C59" s="4" t="s">
        <v>241</v>
      </c>
      <c r="D59" s="9">
        <f>SUMIF($O$8:$O$27,"NU",$E$8:$E$27)</f>
        <v>0</v>
      </c>
    </row>
    <row r="60" spans="2:4" x14ac:dyDescent="0.25">
      <c r="C60" s="4" t="s">
        <v>242</v>
      </c>
      <c r="D60" s="9">
        <f>decl_avans</f>
        <v>0</v>
      </c>
    </row>
    <row r="61" spans="2:4" x14ac:dyDescent="0.25">
      <c r="C61" s="19" t="s">
        <v>243</v>
      </c>
      <c r="D61" s="20">
        <f>D58-D60</f>
        <v>3938.76</v>
      </c>
    </row>
  </sheetData>
  <dataValidations count="3">
    <dataValidation type="list" allowBlank="1" sqref="G8:G27" xr:uid="{00000000-0002-0000-0300-000000000000}">
      <formula1>lst_natura</formula1>
      <formula2>0</formula2>
    </dataValidation>
    <dataValidation type="list" allowBlank="1" sqref="H8:H27" xr:uid="{00000000-0002-0000-0300-000001000000}">
      <formula1>lst_tipdoc</formula1>
      <formula2>0</formula2>
    </dataValidation>
    <dataValidation type="list" allowBlank="1" sqref="I8:I27" xr:uid="{00000000-0002-0000-0300-000002000000}">
      <formula1>lst_danu</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M111"/>
  <sheetViews>
    <sheetView showGridLines="0" zoomScaleNormal="100" workbookViewId="0">
      <selection activeCell="M80" sqref="M80"/>
    </sheetView>
  </sheetViews>
  <sheetFormatPr defaultColWidth="8.7109375" defaultRowHeight="15" x14ac:dyDescent="0.25"/>
  <cols>
    <col min="1" max="1" width="2" customWidth="1"/>
    <col min="2" max="2" width="4" customWidth="1"/>
    <col min="3" max="3" width="30" customWidth="1"/>
    <col min="4" max="4" width="34" customWidth="1"/>
    <col min="5" max="5" width="26" customWidth="1"/>
    <col min="6" max="11" width="14.85546875" customWidth="1"/>
    <col min="12" max="12" width="24.28515625" customWidth="1"/>
  </cols>
  <sheetData>
    <row r="2" spans="2:13" ht="18" x14ac:dyDescent="0.25">
      <c r="B2" s="1" t="s">
        <v>244</v>
      </c>
    </row>
    <row r="4" spans="2:13" x14ac:dyDescent="0.25">
      <c r="C4" s="6" t="s">
        <v>245</v>
      </c>
    </row>
    <row r="5" spans="2:13" x14ac:dyDescent="0.25">
      <c r="C5" s="6" t="s">
        <v>246</v>
      </c>
    </row>
    <row r="7" spans="2:13" x14ac:dyDescent="0.25">
      <c r="B7" s="3" t="s">
        <v>247</v>
      </c>
    </row>
    <row r="9" spans="2:13" x14ac:dyDescent="0.25">
      <c r="C9" s="6" t="str">
        <f>IF(decl_avans=0,"Nu se aplică — nu s-a acordat avans.","Data jurnal: data acordării avansului, conform extrasului de cont.")</f>
        <v>Nu se aplică — nu s-a acordat avans.</v>
      </c>
    </row>
    <row r="10" spans="2:13" x14ac:dyDescent="0.25">
      <c r="C10" s="6" t="str">
        <f>IF(decl_avans=0,"Not applicable — no advance was granted.","Journal date: advance date, per bank statement.")</f>
        <v>Not applicable — no advance was granted.</v>
      </c>
    </row>
    <row r="12" spans="2:13" x14ac:dyDescent="0.25">
      <c r="E12" s="3" t="s">
        <v>248</v>
      </c>
    </row>
    <row r="14" spans="2:13" x14ac:dyDescent="0.25">
      <c r="G14" s="23" t="s">
        <v>249</v>
      </c>
      <c r="J14" s="23" t="s">
        <v>250</v>
      </c>
    </row>
    <row r="15" spans="2:13" x14ac:dyDescent="0.25">
      <c r="G15" s="12" t="s">
        <v>116</v>
      </c>
      <c r="H15" s="12" t="s">
        <v>224</v>
      </c>
      <c r="I15" s="12" t="s">
        <v>251</v>
      </c>
      <c r="J15" s="12" t="s">
        <v>116</v>
      </c>
      <c r="K15" s="12" t="s">
        <v>224</v>
      </c>
      <c r="L15" s="12" t="s">
        <v>251</v>
      </c>
    </row>
    <row r="16" spans="2:13" x14ac:dyDescent="0.25">
      <c r="F16" s="4" t="s">
        <v>252</v>
      </c>
      <c r="G16" s="17">
        <f>decl_cont_avans</f>
        <v>542</v>
      </c>
      <c r="H16" s="9">
        <f>decl_avans</f>
        <v>0</v>
      </c>
      <c r="I16" s="15" t="str">
        <f>"Avans de trezorerie acordat titularului"&amp;desc_sufix</f>
        <v>Avans de trezorerie acordat titularului - decont /31.07.2026 - CHIRIACESCU DIANA</v>
      </c>
      <c r="J16" s="17">
        <f>decl_cont_trezorerie</f>
        <v>5121</v>
      </c>
      <c r="K16" s="9">
        <f>decl_avans</f>
        <v>0</v>
      </c>
      <c r="L16" s="15" t="str">
        <f>"Plata avansului de trezorerie"&amp;desc_sufix</f>
        <v>Plata avansului de trezorerie - decont /31.07.2026 - CHIRIACESCU DIANA</v>
      </c>
      <c r="M16" t="s">
        <v>290</v>
      </c>
    </row>
    <row r="18" spans="2:10" x14ac:dyDescent="0.25">
      <c r="E18" s="3" t="s">
        <v>253</v>
      </c>
    </row>
    <row r="20" spans="2:10" x14ac:dyDescent="0.25">
      <c r="H20" s="23" t="s">
        <v>249</v>
      </c>
      <c r="I20" s="23" t="s">
        <v>250</v>
      </c>
    </row>
    <row r="21" spans="2:10" x14ac:dyDescent="0.25">
      <c r="F21" s="17">
        <f>decl_cont_avans</f>
        <v>542</v>
      </c>
      <c r="G21" s="11" t="s">
        <v>254</v>
      </c>
      <c r="H21" s="9">
        <f>H16</f>
        <v>0</v>
      </c>
      <c r="I21" s="9"/>
    </row>
    <row r="22" spans="2:10" x14ac:dyDescent="0.25">
      <c r="F22" s="17">
        <f>decl_cont_trezorerie</f>
        <v>5121</v>
      </c>
      <c r="G22" s="11" t="s">
        <v>255</v>
      </c>
      <c r="H22" s="9"/>
      <c r="I22" s="9">
        <f>K16</f>
        <v>0</v>
      </c>
    </row>
    <row r="24" spans="2:10" x14ac:dyDescent="0.25">
      <c r="G24" s="19" t="s">
        <v>256</v>
      </c>
      <c r="H24" s="20">
        <f>SUM(H21:H22)</f>
        <v>0</v>
      </c>
      <c r="I24" s="20">
        <f>SUM(I21:I22)</f>
        <v>0</v>
      </c>
      <c r="J24" s="20">
        <f>ROUND(H24-I24,2)</f>
        <v>0</v>
      </c>
    </row>
    <row r="27" spans="2:10" x14ac:dyDescent="0.25">
      <c r="B27" s="3" t="s">
        <v>257</v>
      </c>
    </row>
    <row r="29" spans="2:10" x14ac:dyDescent="0.25">
      <c r="C29" s="6" t="s">
        <v>258</v>
      </c>
    </row>
    <row r="30" spans="2:10" x14ac:dyDescent="0.25">
      <c r="C30" s="6" t="s">
        <v>259</v>
      </c>
    </row>
    <row r="32" spans="2:10" x14ac:dyDescent="0.25">
      <c r="E32" s="3" t="s">
        <v>248</v>
      </c>
    </row>
    <row r="34" spans="5:13" x14ac:dyDescent="0.25">
      <c r="G34" s="23" t="s">
        <v>249</v>
      </c>
      <c r="J34" s="23" t="s">
        <v>250</v>
      </c>
    </row>
    <row r="35" spans="5:13" x14ac:dyDescent="0.25">
      <c r="G35" s="12" t="s">
        <v>116</v>
      </c>
      <c r="H35" s="12" t="s">
        <v>224</v>
      </c>
      <c r="I35" s="12" t="s">
        <v>251</v>
      </c>
      <c r="J35" s="12" t="s">
        <v>116</v>
      </c>
      <c r="K35" s="12" t="s">
        <v>224</v>
      </c>
      <c r="L35" s="12" t="s">
        <v>251</v>
      </c>
    </row>
    <row r="36" spans="5:13" x14ac:dyDescent="0.25">
      <c r="F36" s="4" t="s">
        <v>260</v>
      </c>
      <c r="G36" s="17">
        <f>Decont!$B$37</f>
        <v>624</v>
      </c>
      <c r="H36" s="9">
        <f>Decont!$D$37</f>
        <v>0</v>
      </c>
      <c r="I36" s="15" t="str">
        <f>"Decont cheltuieli — "&amp;Decont!$C$37&amp;desc_sufix</f>
        <v>Decont cheltuieli — Cheltuieli cu transportul de bunuri și personal - decont /31.07.2026 - CHIRIACESCU DIANA</v>
      </c>
      <c r="J36" s="17">
        <f>decl_cont_datorie</f>
        <v>542</v>
      </c>
      <c r="K36" s="9">
        <f>dec_total_datorat</f>
        <v>3938.76</v>
      </c>
      <c r="L36" s="15" t="str">
        <f>"Datorie față de titularul decontului"&amp;desc_sufix</f>
        <v>Datorie față de titularul decontului - decont /31.07.2026 - CHIRIACESCU DIANA</v>
      </c>
      <c r="M36" t="s">
        <v>290</v>
      </c>
    </row>
    <row r="37" spans="5:13" x14ac:dyDescent="0.25">
      <c r="G37" s="17">
        <f>Decont!$B$38</f>
        <v>625</v>
      </c>
      <c r="H37" s="9">
        <f>Decont!$D$38</f>
        <v>3938.76</v>
      </c>
      <c r="I37" s="15" t="str">
        <f>"Decont cheltuieli — "&amp;Decont!$C$38&amp;desc_sufix</f>
        <v>Decont cheltuieli — Cheltuieli cu deplasări, detașări și transferări - decont /31.07.2026 - CHIRIACESCU DIANA</v>
      </c>
      <c r="J37" t="s">
        <v>290</v>
      </c>
    </row>
    <row r="38" spans="5:13" x14ac:dyDescent="0.25">
      <c r="G38" s="17">
        <f>Decont!$B$39</f>
        <v>6231</v>
      </c>
      <c r="H38" s="9">
        <f>Decont!$D$39</f>
        <v>0</v>
      </c>
      <c r="I38" s="15" t="str">
        <f>"Decont cheltuieli — "&amp;Decont!$C$39&amp;desc_sufix</f>
        <v>Decont cheltuieli — Cheltuieli de protocol - decont /31.07.2026 - CHIRIACESCU DIANA</v>
      </c>
      <c r="J38" t="s">
        <v>290</v>
      </c>
    </row>
    <row r="39" spans="5:13" x14ac:dyDescent="0.25">
      <c r="G39" s="17">
        <f>Decont!$B$40</f>
        <v>6022</v>
      </c>
      <c r="H39" s="9">
        <f>Decont!$D$40</f>
        <v>0</v>
      </c>
      <c r="I39" s="15" t="str">
        <f>"Decont cheltuieli — "&amp;Decont!$C$40&amp;desc_sufix</f>
        <v>Decont cheltuieli — Cheltuieli cu combustibilul - decont /31.07.2026 - CHIRIACESCU DIANA</v>
      </c>
      <c r="J39" t="s">
        <v>290</v>
      </c>
    </row>
    <row r="40" spans="5:13" x14ac:dyDescent="0.25">
      <c r="G40" s="17">
        <f>Decont!$B$41</f>
        <v>6028</v>
      </c>
      <c r="H40" s="9">
        <f>Decont!$D$41</f>
        <v>0</v>
      </c>
      <c r="I40" s="15" t="str">
        <f>"Decont cheltuieli — "&amp;Decont!$C$41&amp;desc_sufix</f>
        <v>Decont cheltuieli — Cheltuieli cu alte materiale consumabile - decont /31.07.2026 - CHIRIACESCU DIANA</v>
      </c>
      <c r="J40" t="s">
        <v>290</v>
      </c>
    </row>
    <row r="41" spans="5:13" x14ac:dyDescent="0.25">
      <c r="G41" s="17">
        <f>Decont!$B$42</f>
        <v>628</v>
      </c>
      <c r="H41" s="9">
        <f>Decont!$D$42</f>
        <v>0</v>
      </c>
      <c r="I41" s="15" t="str">
        <f>"Decont cheltuieli — "&amp;Decont!$C$42&amp;desc_sufix</f>
        <v>Decont cheltuieli — Alte cheltuieli cu serviciile executate de terți - decont /31.07.2026 - CHIRIACESCU DIANA</v>
      </c>
      <c r="J41" t="s">
        <v>290</v>
      </c>
    </row>
    <row r="42" spans="5:13" x14ac:dyDescent="0.25">
      <c r="G42" s="17">
        <f>Decont!$B$43</f>
        <v>6588</v>
      </c>
      <c r="H42" s="9">
        <f>Decont!$D$43</f>
        <v>0</v>
      </c>
      <c r="I42" s="15" t="str">
        <f>"Decont cheltuieli — "&amp;Decont!$C$43&amp;desc_sufix</f>
        <v>Decont cheltuieli — Alte cheltuieli de exploatare - decont /31.07.2026 - CHIRIACESCU DIANA</v>
      </c>
      <c r="J42" t="s">
        <v>290</v>
      </c>
    </row>
    <row r="43" spans="5:13" x14ac:dyDescent="0.25">
      <c r="G43" s="17">
        <f>Decont!$B$44</f>
        <v>4426</v>
      </c>
      <c r="H43" s="9">
        <f>Decont!$D$44</f>
        <v>0</v>
      </c>
      <c r="I43" s="15" t="str">
        <f>"Decont cheltuieli — "&amp;Decont!$C$44&amp;desc_sufix</f>
        <v>Decont cheltuieli — TVA deductibilă - decont /31.07.2026 - CHIRIACESCU DIANA</v>
      </c>
      <c r="J43" t="s">
        <v>290</v>
      </c>
    </row>
    <row r="45" spans="5:13" x14ac:dyDescent="0.25">
      <c r="E45" s="3" t="s">
        <v>253</v>
      </c>
    </row>
    <row r="47" spans="5:13" x14ac:dyDescent="0.25">
      <c r="H47" s="23" t="s">
        <v>249</v>
      </c>
      <c r="I47" s="23" t="s">
        <v>250</v>
      </c>
    </row>
    <row r="48" spans="5:13" x14ac:dyDescent="0.25">
      <c r="F48" s="17">
        <f t="shared" ref="F48:F55" si="0">G36</f>
        <v>624</v>
      </c>
      <c r="G48" s="11" t="str">
        <f>Decont!$C$37</f>
        <v>Cheltuieli cu transportul de bunuri și personal</v>
      </c>
      <c r="H48" s="9">
        <f t="shared" ref="H48:H55" si="1">H36</f>
        <v>0</v>
      </c>
      <c r="I48" s="9"/>
    </row>
    <row r="49" spans="2:10" x14ac:dyDescent="0.25">
      <c r="F49" s="17">
        <f t="shared" si="0"/>
        <v>625</v>
      </c>
      <c r="G49" s="11" t="str">
        <f>Decont!$C$38</f>
        <v>Cheltuieli cu deplasări, detașări și transferări</v>
      </c>
      <c r="H49" s="9">
        <f t="shared" si="1"/>
        <v>3938.76</v>
      </c>
      <c r="I49" s="9"/>
    </row>
    <row r="50" spans="2:10" x14ac:dyDescent="0.25">
      <c r="F50" s="17">
        <f t="shared" si="0"/>
        <v>6231</v>
      </c>
      <c r="G50" s="11" t="str">
        <f>Decont!$C$39</f>
        <v>Cheltuieli de protocol</v>
      </c>
      <c r="H50" s="9">
        <f t="shared" si="1"/>
        <v>0</v>
      </c>
      <c r="I50" s="9"/>
    </row>
    <row r="51" spans="2:10" x14ac:dyDescent="0.25">
      <c r="F51" s="17">
        <f t="shared" si="0"/>
        <v>6022</v>
      </c>
      <c r="G51" s="11" t="str">
        <f>Decont!$C$40</f>
        <v>Cheltuieli cu combustibilul</v>
      </c>
      <c r="H51" s="9">
        <f t="shared" si="1"/>
        <v>0</v>
      </c>
      <c r="I51" s="9"/>
    </row>
    <row r="52" spans="2:10" x14ac:dyDescent="0.25">
      <c r="F52" s="17">
        <f t="shared" si="0"/>
        <v>6028</v>
      </c>
      <c r="G52" s="11" t="str">
        <f>Decont!$C$41</f>
        <v>Cheltuieli cu alte materiale consumabile</v>
      </c>
      <c r="H52" s="9">
        <f t="shared" si="1"/>
        <v>0</v>
      </c>
      <c r="I52" s="9"/>
    </row>
    <row r="53" spans="2:10" x14ac:dyDescent="0.25">
      <c r="F53" s="17">
        <f t="shared" si="0"/>
        <v>628</v>
      </c>
      <c r="G53" s="11" t="str">
        <f>Decont!$C$42</f>
        <v>Alte cheltuieli cu serviciile executate de terți</v>
      </c>
      <c r="H53" s="9">
        <f t="shared" si="1"/>
        <v>0</v>
      </c>
      <c r="I53" s="9"/>
    </row>
    <row r="54" spans="2:10" x14ac:dyDescent="0.25">
      <c r="F54" s="17">
        <f t="shared" si="0"/>
        <v>6588</v>
      </c>
      <c r="G54" s="11" t="str">
        <f>Decont!$C$43</f>
        <v>Alte cheltuieli de exploatare</v>
      </c>
      <c r="H54" s="9">
        <f t="shared" si="1"/>
        <v>0</v>
      </c>
      <c r="I54" s="9"/>
    </row>
    <row r="55" spans="2:10" x14ac:dyDescent="0.25">
      <c r="F55" s="17">
        <f t="shared" si="0"/>
        <v>4426</v>
      </c>
      <c r="G55" s="11" t="str">
        <f>Decont!$C$44</f>
        <v>TVA deductibilă</v>
      </c>
      <c r="H55" s="9">
        <f t="shared" si="1"/>
        <v>0</v>
      </c>
      <c r="I55" s="9"/>
    </row>
    <row r="56" spans="2:10" x14ac:dyDescent="0.25">
      <c r="F56" s="17">
        <f>decl_cont_datorie</f>
        <v>542</v>
      </c>
      <c r="G56" s="11" t="s">
        <v>261</v>
      </c>
      <c r="H56" s="9"/>
      <c r="I56" s="9">
        <f>K36</f>
        <v>3938.76</v>
      </c>
    </row>
    <row r="58" spans="2:10" x14ac:dyDescent="0.25">
      <c r="G58" s="19" t="s">
        <v>256</v>
      </c>
      <c r="H58" s="20">
        <f>SUM(H48:H56)</f>
        <v>3938.76</v>
      </c>
      <c r="I58" s="20">
        <f>SUM(I48:I56)</f>
        <v>3938.76</v>
      </c>
      <c r="J58" s="20">
        <f>ROUND(H58-I58,2)</f>
        <v>0</v>
      </c>
    </row>
    <row r="61" spans="2:10" x14ac:dyDescent="0.25">
      <c r="B61" s="3" t="s">
        <v>262</v>
      </c>
    </row>
    <row r="63" spans="2:10" x14ac:dyDescent="0.25">
      <c r="C63" s="6" t="str">
        <f>IF(decl_avans=0,"Nu se aplică — nu s-a acordat avans.",IF(decl_cont_datorie=decl_cont_avans,"Nu se aplică — datoria și avansul folosesc același cont; compensarea este implicită.","Compensarea avansului acordat cu datoria față de titular."))</f>
        <v>Nu se aplică — nu s-a acordat avans.</v>
      </c>
    </row>
    <row r="64" spans="2:10" x14ac:dyDescent="0.25">
      <c r="C64" s="6" t="s">
        <v>263</v>
      </c>
    </row>
    <row r="66" spans="5:13" x14ac:dyDescent="0.25">
      <c r="E66" s="3" t="s">
        <v>248</v>
      </c>
    </row>
    <row r="68" spans="5:13" x14ac:dyDescent="0.25">
      <c r="G68" s="23" t="s">
        <v>249</v>
      </c>
      <c r="J68" s="23" t="s">
        <v>250</v>
      </c>
    </row>
    <row r="69" spans="5:13" x14ac:dyDescent="0.25">
      <c r="G69" s="12" t="s">
        <v>116</v>
      </c>
      <c r="H69" s="12" t="s">
        <v>224</v>
      </c>
      <c r="I69" s="12" t="s">
        <v>251</v>
      </c>
      <c r="J69" s="12" t="s">
        <v>116</v>
      </c>
      <c r="K69" s="12" t="s">
        <v>224</v>
      </c>
      <c r="L69" s="12" t="s">
        <v>251</v>
      </c>
    </row>
    <row r="70" spans="5:13" x14ac:dyDescent="0.25">
      <c r="F70" s="4" t="s">
        <v>264</v>
      </c>
      <c r="G70" s="17">
        <f>decl_cont_datorie</f>
        <v>542</v>
      </c>
      <c r="H70" s="9">
        <f>IF(OR(decl_avans=0,decl_cont_datorie=decl_cont_avans),0,MIN(decl_avans,dec_total_datorat))</f>
        <v>0</v>
      </c>
      <c r="I70" s="15" t="str">
        <f>"Compensarea avansului cu datoria față de titular"&amp;desc_sufix</f>
        <v>Compensarea avansului cu datoria față de titular - decont /31.07.2026 - CHIRIACESCU DIANA</v>
      </c>
      <c r="J70" s="17">
        <f>decl_cont_avans</f>
        <v>542</v>
      </c>
      <c r="K70" s="9">
        <f>IF(OR(decl_avans=0,decl_cont_datorie=decl_cont_avans),0,MIN(decl_avans,dec_total_datorat))</f>
        <v>0</v>
      </c>
      <c r="L70" s="15" t="str">
        <f>"Închiderea avansului de trezorerie"&amp;desc_sufix</f>
        <v>Închiderea avansului de trezorerie - decont /31.07.2026 - CHIRIACESCU DIANA</v>
      </c>
      <c r="M70" t="s">
        <v>290</v>
      </c>
    </row>
    <row r="72" spans="5:13" x14ac:dyDescent="0.25">
      <c r="E72" s="3" t="s">
        <v>253</v>
      </c>
    </row>
    <row r="74" spans="5:13" x14ac:dyDescent="0.25">
      <c r="H74" s="23" t="s">
        <v>249</v>
      </c>
      <c r="I74" s="23" t="s">
        <v>250</v>
      </c>
    </row>
    <row r="75" spans="5:13" x14ac:dyDescent="0.25">
      <c r="F75" s="17">
        <f>decl_cont_datorie</f>
        <v>542</v>
      </c>
      <c r="G75" s="11" t="s">
        <v>261</v>
      </c>
      <c r="H75" s="9">
        <f>H70</f>
        <v>0</v>
      </c>
      <c r="I75" s="9"/>
    </row>
    <row r="76" spans="5:13" x14ac:dyDescent="0.25">
      <c r="F76" s="17">
        <f>decl_cont_avans</f>
        <v>542</v>
      </c>
      <c r="G76" s="11" t="s">
        <v>254</v>
      </c>
      <c r="H76" s="9"/>
      <c r="I76" s="9">
        <f>K70</f>
        <v>0</v>
      </c>
    </row>
    <row r="78" spans="5:13" x14ac:dyDescent="0.25">
      <c r="G78" s="19" t="s">
        <v>256</v>
      </c>
      <c r="H78" s="20">
        <f>SUM(H75:H76)</f>
        <v>0</v>
      </c>
      <c r="I78" s="20">
        <f>SUM(I75:I76)</f>
        <v>0</v>
      </c>
      <c r="J78" s="20">
        <f>ROUND(H78-I78,2)</f>
        <v>0</v>
      </c>
    </row>
    <row r="81" spans="2:13" x14ac:dyDescent="0.25">
      <c r="B81" s="3" t="s">
        <v>265</v>
      </c>
    </row>
    <row r="83" spans="2:13" x14ac:dyDescent="0.25">
      <c r="C83" s="6" t="s">
        <v>266</v>
      </c>
    </row>
    <row r="84" spans="2:13" x14ac:dyDescent="0.25">
      <c r="C84" s="6" t="s">
        <v>267</v>
      </c>
    </row>
    <row r="86" spans="2:13" x14ac:dyDescent="0.25">
      <c r="E86" s="3" t="s">
        <v>248</v>
      </c>
    </row>
    <row r="88" spans="2:13" x14ac:dyDescent="0.25">
      <c r="G88" s="23" t="s">
        <v>249</v>
      </c>
      <c r="J88" s="23" t="s">
        <v>250</v>
      </c>
    </row>
    <row r="89" spans="2:13" x14ac:dyDescent="0.25">
      <c r="G89" s="12" t="s">
        <v>116</v>
      </c>
      <c r="H89" s="12" t="s">
        <v>224</v>
      </c>
      <c r="I89" s="12" t="s">
        <v>251</v>
      </c>
      <c r="J89" s="12" t="s">
        <v>116</v>
      </c>
      <c r="K89" s="12" t="s">
        <v>224</v>
      </c>
      <c r="L89" s="12" t="s">
        <v>251</v>
      </c>
    </row>
    <row r="90" spans="2:13" x14ac:dyDescent="0.25">
      <c r="F90" s="4" t="s">
        <v>268</v>
      </c>
      <c r="G90" s="17">
        <f>decl_cont_datorie</f>
        <v>542</v>
      </c>
      <c r="H90" s="9">
        <f>MAX(0,dec_sold_de_platit)</f>
        <v>3938.76</v>
      </c>
      <c r="I90" s="15" t="str">
        <f>"Stingerea datoriei față de titular"&amp;desc_sufix</f>
        <v>Stingerea datoriei față de titular - decont /31.07.2026 - CHIRIACESCU DIANA</v>
      </c>
      <c r="J90" s="17">
        <f>decl_cont_trezorerie</f>
        <v>5121</v>
      </c>
      <c r="K90" s="9">
        <f>MAX(0,dec_sold_de_platit)</f>
        <v>3938.76</v>
      </c>
      <c r="L90" s="15" t="str">
        <f>"Plata soldului decontului către titular"&amp;desc_sufix</f>
        <v>Plata soldului decontului către titular - decont /31.07.2026 - CHIRIACESCU DIANA</v>
      </c>
      <c r="M90" t="s">
        <v>290</v>
      </c>
    </row>
    <row r="91" spans="2:13" x14ac:dyDescent="0.25">
      <c r="F91" s="4" t="s">
        <v>269</v>
      </c>
      <c r="G91" s="17">
        <f>decl_cont_trezorerie</f>
        <v>5121</v>
      </c>
      <c r="H91" s="9">
        <f>MAX(0,-dec_sold_de_platit)</f>
        <v>0</v>
      </c>
      <c r="I91" s="15" t="str">
        <f>"Încasarea avansului neutilizat de la titular"&amp;desc_sufix</f>
        <v>Încasarea avansului neutilizat de la titular - decont /31.07.2026 - CHIRIACESCU DIANA</v>
      </c>
      <c r="J91" s="17">
        <f>decl_cont_avans</f>
        <v>542</v>
      </c>
      <c r="K91" s="9">
        <f>MAX(0,-dec_sold_de_platit)</f>
        <v>0</v>
      </c>
      <c r="L91" s="15" t="str">
        <f>"Restituirea avansului neutilizat"&amp;desc_sufix</f>
        <v>Restituirea avansului neutilizat - decont /31.07.2026 - CHIRIACESCU DIANA</v>
      </c>
      <c r="M91" t="s">
        <v>290</v>
      </c>
    </row>
    <row r="92" spans="2:13" x14ac:dyDescent="0.25">
      <c r="M92" t="s">
        <v>290</v>
      </c>
    </row>
    <row r="93" spans="2:13" x14ac:dyDescent="0.25">
      <c r="E93" s="3" t="s">
        <v>253</v>
      </c>
    </row>
    <row r="95" spans="2:13" x14ac:dyDescent="0.25">
      <c r="H95" s="23" t="s">
        <v>249</v>
      </c>
      <c r="I95" s="23" t="s">
        <v>250</v>
      </c>
    </row>
    <row r="96" spans="2:13" x14ac:dyDescent="0.25">
      <c r="F96" s="17">
        <f>decl_cont_datorie</f>
        <v>542</v>
      </c>
      <c r="G96" s="11" t="s">
        <v>261</v>
      </c>
      <c r="H96" s="9">
        <f>H90</f>
        <v>3938.76</v>
      </c>
      <c r="I96" s="9"/>
    </row>
    <row r="97" spans="2:10" x14ac:dyDescent="0.25">
      <c r="F97" s="17">
        <f>decl_cont_avans</f>
        <v>542</v>
      </c>
      <c r="G97" s="11" t="s">
        <v>254</v>
      </c>
      <c r="H97" s="9"/>
      <c r="I97" s="9">
        <f>K91</f>
        <v>0</v>
      </c>
    </row>
    <row r="98" spans="2:10" x14ac:dyDescent="0.25">
      <c r="F98" s="17">
        <f>decl_cont_trezorerie</f>
        <v>5121</v>
      </c>
      <c r="G98" s="11" t="s">
        <v>255</v>
      </c>
      <c r="H98" s="9">
        <f>H91</f>
        <v>0</v>
      </c>
      <c r="I98" s="9">
        <f>K90</f>
        <v>3938.76</v>
      </c>
    </row>
    <row r="100" spans="2:10" x14ac:dyDescent="0.25">
      <c r="G100" s="19" t="s">
        <v>256</v>
      </c>
      <c r="H100" s="20">
        <f>SUM(H96:H98)</f>
        <v>3938.76</v>
      </c>
      <c r="I100" s="20">
        <f>SUM(I96:I98)</f>
        <v>3938.76</v>
      </c>
      <c r="J100" s="20">
        <f>ROUND(H100-I100,2)</f>
        <v>0</v>
      </c>
    </row>
    <row r="103" spans="2:10" x14ac:dyDescent="0.25">
      <c r="B103" s="3" t="s">
        <v>270</v>
      </c>
    </row>
    <row r="105" spans="2:10" x14ac:dyDescent="0.25">
      <c r="C105" s="4" t="str">
        <f>IF(dec_total_neacceptat=0,"Nu există linii fără document justificativ.","ATENȚIE: "&amp;ROUND(dec_total_neacceptat,2)&amp;" lei fără document justificativ. Aceste sume NU se înregistrează pe cheltuială. Dacă societatea decide totuși plata, suma devine avantaj de natură salarială și se include în statul de plată (impozit, CAS, CASS, CAM).")</f>
        <v>Nu există linii fără document justificativ.</v>
      </c>
    </row>
    <row r="106" spans="2:10" x14ac:dyDescent="0.25">
      <c r="C106" s="6" t="str">
        <f>IF(dec_total_neacceptat=0,"No undocumented lines.","WARNING: undocumented amounts are not bookable as expense; if paid, treat as a salary benefit.")</f>
        <v>No undocumented lines.</v>
      </c>
    </row>
    <row r="109" spans="2:10" x14ac:dyDescent="0.25">
      <c r="B109" s="3" t="s">
        <v>271</v>
      </c>
    </row>
    <row r="111" spans="2:10" x14ac:dyDescent="0.25">
      <c r="C111" s="4" t="s">
        <v>272</v>
      </c>
      <c r="H111" s="20">
        <f>ROUND(J24+J58+J78+J100,2)</f>
        <v>0</v>
      </c>
      <c r="I111" s="22" t="str">
        <f>IF(H111=0,"OK — toate jurnalele sunt echilibrate","EROARE — verificați blocurile")</f>
        <v>OK — toate jurnalele sunt echilibrate</v>
      </c>
      <c r="J111" t="s">
        <v>290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22"/>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2" customWidth="1"/>
    <col min="2" max="2" width="5" customWidth="1"/>
    <col min="3" max="3" width="24" customWidth="1"/>
    <col min="4" max="4" width="13" customWidth="1"/>
    <col min="5" max="6" width="10" customWidth="1"/>
    <col min="7" max="7" width="14" customWidth="1"/>
    <col min="8" max="8" width="66" customWidth="1"/>
    <col min="9" max="9" width="26" customWidth="1"/>
    <col min="10" max="10" width="20" customWidth="1"/>
    <col min="11" max="11" width="10" customWidth="1"/>
  </cols>
  <sheetData>
    <row r="2" spans="2:11" ht="18" x14ac:dyDescent="0.25">
      <c r="B2" s="1" t="s">
        <v>273</v>
      </c>
    </row>
    <row r="4" spans="2:11" x14ac:dyDescent="0.25">
      <c r="C4" s="6" t="s">
        <v>274</v>
      </c>
    </row>
    <row r="5" spans="2:11" x14ac:dyDescent="0.25">
      <c r="C5" s="6" t="s">
        <v>275</v>
      </c>
    </row>
    <row r="7" spans="2:11" x14ac:dyDescent="0.25">
      <c r="B7" s="12" t="s">
        <v>202</v>
      </c>
      <c r="C7" s="12" t="s">
        <v>276</v>
      </c>
      <c r="D7" s="12" t="s">
        <v>277</v>
      </c>
      <c r="E7" s="12" t="s">
        <v>278</v>
      </c>
      <c r="F7" s="12" t="s">
        <v>279</v>
      </c>
      <c r="G7" s="12" t="s">
        <v>224</v>
      </c>
      <c r="H7" s="12" t="s">
        <v>251</v>
      </c>
      <c r="I7" s="12" t="s">
        <v>280</v>
      </c>
      <c r="J7" s="12" t="s">
        <v>281</v>
      </c>
      <c r="K7" s="12" t="s">
        <v>282</v>
      </c>
    </row>
    <row r="8" spans="2:11" x14ac:dyDescent="0.25">
      <c r="B8" s="15">
        <v>1</v>
      </c>
      <c r="C8" s="15" t="s">
        <v>283</v>
      </c>
      <c r="D8" s="24" t="str">
        <f>IF(ROUND(Jurnale!H16,2)=0,"",decl_data_avans)</f>
        <v/>
      </c>
      <c r="E8" s="17">
        <f>Jurnale!G16</f>
        <v>542</v>
      </c>
      <c r="F8" s="17">
        <f>Jurnale!J16</f>
        <v>5121</v>
      </c>
      <c r="G8" s="9">
        <f>Jurnale!H16</f>
        <v>0</v>
      </c>
      <c r="H8" s="15" t="str">
        <f>Jurnale!I16</f>
        <v>Avans de trezorerie acordat titularului - decont /31.07.2026 - CHIRIACESCU DIANA</v>
      </c>
      <c r="I8" s="11" t="str">
        <f t="shared" ref="I8:I19" si="0">decl_titular</f>
        <v>CHIRIACESCU DIANA</v>
      </c>
      <c r="J8" s="11" t="e">
        <f t="shared" ref="J8:J19" si="1">"Decont nr. "&amp;decl_nr_decont</f>
        <v>#REF!</v>
      </c>
      <c r="K8" s="25" t="str">
        <f t="shared" ref="K8:K19" si="2">IF(ROUND(G8,2)=0,"NU","DA")</f>
        <v>NU</v>
      </c>
    </row>
    <row r="9" spans="2:11" x14ac:dyDescent="0.25">
      <c r="B9" s="15">
        <v>2</v>
      </c>
      <c r="C9" s="15" t="s">
        <v>284</v>
      </c>
      <c r="D9" s="24" t="str">
        <f>IF(ROUND(Jurnale!H36,2)=0,"",decl_data_decont)</f>
        <v/>
      </c>
      <c r="E9" s="17">
        <f>Jurnale!G36</f>
        <v>624</v>
      </c>
      <c r="F9" s="17">
        <f>Jurnale!J36</f>
        <v>542</v>
      </c>
      <c r="G9" s="9">
        <f>Jurnale!H36</f>
        <v>0</v>
      </c>
      <c r="H9" s="15" t="str">
        <f>Jurnale!I36</f>
        <v>Decont cheltuieli — Cheltuieli cu transportul de bunuri și personal - decont /31.07.2026 - CHIRIACESCU DIANA</v>
      </c>
      <c r="I9" s="11" t="str">
        <f t="shared" si="0"/>
        <v>CHIRIACESCU DIANA</v>
      </c>
      <c r="J9" s="11" t="e">
        <f t="shared" si="1"/>
        <v>#REF!</v>
      </c>
      <c r="K9" s="25" t="str">
        <f t="shared" si="2"/>
        <v>NU</v>
      </c>
    </row>
    <row r="10" spans="2:11" x14ac:dyDescent="0.25">
      <c r="B10" s="15">
        <v>3</v>
      </c>
      <c r="C10" s="15" t="s">
        <v>284</v>
      </c>
      <c r="D10" s="24">
        <f>IF(ROUND(Jurnale!H37,2)=0,"",decl_data_decont)</f>
        <v>46234</v>
      </c>
      <c r="E10" s="17">
        <f>Jurnale!G37</f>
        <v>625</v>
      </c>
      <c r="F10" s="17">
        <f>Jurnale!J36</f>
        <v>542</v>
      </c>
      <c r="G10" s="9">
        <f>Jurnale!H37</f>
        <v>3938.76</v>
      </c>
      <c r="H10" s="15" t="str">
        <f>Jurnale!I37</f>
        <v>Decont cheltuieli — Cheltuieli cu deplasări, detașări și transferări - decont /31.07.2026 - CHIRIACESCU DIANA</v>
      </c>
      <c r="I10" s="11" t="str">
        <f t="shared" si="0"/>
        <v>CHIRIACESCU DIANA</v>
      </c>
      <c r="J10" s="11" t="e">
        <f t="shared" si="1"/>
        <v>#REF!</v>
      </c>
      <c r="K10" s="25" t="str">
        <f t="shared" si="2"/>
        <v>DA</v>
      </c>
    </row>
    <row r="11" spans="2:11" x14ac:dyDescent="0.25">
      <c r="B11" s="15">
        <v>4</v>
      </c>
      <c r="C11" s="15" t="s">
        <v>284</v>
      </c>
      <c r="D11" s="24" t="str">
        <f>IF(ROUND(Jurnale!H38,2)=0,"",decl_data_decont)</f>
        <v/>
      </c>
      <c r="E11" s="17">
        <f>Jurnale!G38</f>
        <v>6231</v>
      </c>
      <c r="F11" s="17">
        <f>Jurnale!J36</f>
        <v>542</v>
      </c>
      <c r="G11" s="9">
        <f>Jurnale!H38</f>
        <v>0</v>
      </c>
      <c r="H11" s="15" t="str">
        <f>Jurnale!I38</f>
        <v>Decont cheltuieli — Cheltuieli de protocol - decont /31.07.2026 - CHIRIACESCU DIANA</v>
      </c>
      <c r="I11" s="11" t="str">
        <f t="shared" si="0"/>
        <v>CHIRIACESCU DIANA</v>
      </c>
      <c r="J11" s="11" t="e">
        <f t="shared" si="1"/>
        <v>#REF!</v>
      </c>
      <c r="K11" s="25" t="str">
        <f t="shared" si="2"/>
        <v>NU</v>
      </c>
    </row>
    <row r="12" spans="2:11" x14ac:dyDescent="0.25">
      <c r="B12" s="15">
        <v>5</v>
      </c>
      <c r="C12" s="15" t="s">
        <v>284</v>
      </c>
      <c r="D12" s="24" t="str">
        <f>IF(ROUND(Jurnale!H39,2)=0,"",decl_data_decont)</f>
        <v/>
      </c>
      <c r="E12" s="17">
        <f>Jurnale!G39</f>
        <v>6022</v>
      </c>
      <c r="F12" s="17">
        <f>Jurnale!J36</f>
        <v>542</v>
      </c>
      <c r="G12" s="9">
        <f>Jurnale!H39</f>
        <v>0</v>
      </c>
      <c r="H12" s="15" t="str">
        <f>Jurnale!I39</f>
        <v>Decont cheltuieli — Cheltuieli cu combustibilul - decont /31.07.2026 - CHIRIACESCU DIANA</v>
      </c>
      <c r="I12" s="11" t="str">
        <f t="shared" si="0"/>
        <v>CHIRIACESCU DIANA</v>
      </c>
      <c r="J12" s="11" t="e">
        <f t="shared" si="1"/>
        <v>#REF!</v>
      </c>
      <c r="K12" s="25" t="str">
        <f t="shared" si="2"/>
        <v>NU</v>
      </c>
    </row>
    <row r="13" spans="2:11" x14ac:dyDescent="0.25">
      <c r="B13" s="15">
        <v>6</v>
      </c>
      <c r="C13" s="15" t="s">
        <v>284</v>
      </c>
      <c r="D13" s="24" t="str">
        <f>IF(ROUND(Jurnale!H40,2)=0,"",decl_data_decont)</f>
        <v/>
      </c>
      <c r="E13" s="17">
        <f>Jurnale!G40</f>
        <v>6028</v>
      </c>
      <c r="F13" s="17">
        <f>Jurnale!J36</f>
        <v>542</v>
      </c>
      <c r="G13" s="9">
        <f>Jurnale!H40</f>
        <v>0</v>
      </c>
      <c r="H13" s="15" t="str">
        <f>Jurnale!I40</f>
        <v>Decont cheltuieli — Cheltuieli cu alte materiale consumabile - decont /31.07.2026 - CHIRIACESCU DIANA</v>
      </c>
      <c r="I13" s="11" t="str">
        <f t="shared" si="0"/>
        <v>CHIRIACESCU DIANA</v>
      </c>
      <c r="J13" s="11" t="e">
        <f t="shared" si="1"/>
        <v>#REF!</v>
      </c>
      <c r="K13" s="25" t="str">
        <f t="shared" si="2"/>
        <v>NU</v>
      </c>
    </row>
    <row r="14" spans="2:11" x14ac:dyDescent="0.25">
      <c r="B14" s="15">
        <v>7</v>
      </c>
      <c r="C14" s="15" t="s">
        <v>284</v>
      </c>
      <c r="D14" s="24" t="str">
        <f>IF(ROUND(Jurnale!H41,2)=0,"",decl_data_decont)</f>
        <v/>
      </c>
      <c r="E14" s="17">
        <f>Jurnale!G41</f>
        <v>628</v>
      </c>
      <c r="F14" s="17">
        <f>Jurnale!J36</f>
        <v>542</v>
      </c>
      <c r="G14" s="9">
        <f>Jurnale!H41</f>
        <v>0</v>
      </c>
      <c r="H14" s="15" t="str">
        <f>Jurnale!I41</f>
        <v>Decont cheltuieli — Alte cheltuieli cu serviciile executate de terți - decont /31.07.2026 - CHIRIACESCU DIANA</v>
      </c>
      <c r="I14" s="11" t="str">
        <f t="shared" si="0"/>
        <v>CHIRIACESCU DIANA</v>
      </c>
      <c r="J14" s="11" t="e">
        <f t="shared" si="1"/>
        <v>#REF!</v>
      </c>
      <c r="K14" s="25" t="str">
        <f t="shared" si="2"/>
        <v>NU</v>
      </c>
    </row>
    <row r="15" spans="2:11" x14ac:dyDescent="0.25">
      <c r="B15" s="15">
        <v>8</v>
      </c>
      <c r="C15" s="15" t="s">
        <v>284</v>
      </c>
      <c r="D15" s="24" t="str">
        <f>IF(ROUND(Jurnale!H42,2)=0,"",decl_data_decont)</f>
        <v/>
      </c>
      <c r="E15" s="17">
        <f>Jurnale!G42</f>
        <v>6588</v>
      </c>
      <c r="F15" s="17">
        <f>Jurnale!J36</f>
        <v>542</v>
      </c>
      <c r="G15" s="9">
        <f>Jurnale!H42</f>
        <v>0</v>
      </c>
      <c r="H15" s="15" t="str">
        <f>Jurnale!I42</f>
        <v>Decont cheltuieli — Alte cheltuieli de exploatare - decont /31.07.2026 - CHIRIACESCU DIANA</v>
      </c>
      <c r="I15" s="11" t="str">
        <f t="shared" si="0"/>
        <v>CHIRIACESCU DIANA</v>
      </c>
      <c r="J15" s="11" t="e">
        <f t="shared" si="1"/>
        <v>#REF!</v>
      </c>
      <c r="K15" s="25" t="str">
        <f t="shared" si="2"/>
        <v>NU</v>
      </c>
    </row>
    <row r="16" spans="2:11" x14ac:dyDescent="0.25">
      <c r="B16" s="15">
        <v>9</v>
      </c>
      <c r="C16" s="15" t="s">
        <v>284</v>
      </c>
      <c r="D16" s="24" t="str">
        <f>IF(ROUND(Jurnale!H43,2)=0,"",decl_data_decont)</f>
        <v/>
      </c>
      <c r="E16" s="17">
        <f>Jurnale!G43</f>
        <v>4426</v>
      </c>
      <c r="F16" s="17">
        <f>Jurnale!J36</f>
        <v>542</v>
      </c>
      <c r="G16" s="9">
        <f>Jurnale!H43</f>
        <v>0</v>
      </c>
      <c r="H16" s="15" t="str">
        <f>Jurnale!I43</f>
        <v>Decont cheltuieli — TVA deductibilă - decont /31.07.2026 - CHIRIACESCU DIANA</v>
      </c>
      <c r="I16" s="11" t="str">
        <f t="shared" si="0"/>
        <v>CHIRIACESCU DIANA</v>
      </c>
      <c r="J16" s="11" t="e">
        <f t="shared" si="1"/>
        <v>#REF!</v>
      </c>
      <c r="K16" s="25" t="str">
        <f t="shared" si="2"/>
        <v>NU</v>
      </c>
    </row>
    <row r="17" spans="2:11" x14ac:dyDescent="0.25">
      <c r="B17" s="15">
        <v>10</v>
      </c>
      <c r="C17" s="15" t="s">
        <v>285</v>
      </c>
      <c r="D17" s="24" t="str">
        <f>IF(ROUND(Jurnale!H70,2)=0,"",decl_data_decont)</f>
        <v/>
      </c>
      <c r="E17" s="17">
        <f>Jurnale!G70</f>
        <v>542</v>
      </c>
      <c r="F17" s="17">
        <f>Jurnale!J70</f>
        <v>542</v>
      </c>
      <c r="G17" s="9">
        <f>Jurnale!H70</f>
        <v>0</v>
      </c>
      <c r="H17" s="15" t="str">
        <f>Jurnale!I70</f>
        <v>Compensarea avansului cu datoria față de titular - decont /31.07.2026 - CHIRIACESCU DIANA</v>
      </c>
      <c r="I17" s="11" t="str">
        <f t="shared" si="0"/>
        <v>CHIRIACESCU DIANA</v>
      </c>
      <c r="J17" s="11" t="e">
        <f t="shared" si="1"/>
        <v>#REF!</v>
      </c>
      <c r="K17" s="25" t="str">
        <f t="shared" si="2"/>
        <v>NU</v>
      </c>
    </row>
    <row r="18" spans="2:11" x14ac:dyDescent="0.25">
      <c r="B18" s="15">
        <v>11</v>
      </c>
      <c r="C18" s="15" t="s">
        <v>286</v>
      </c>
      <c r="D18" s="24">
        <f>IF(ROUND(Jurnale!H90,2)=0,"",decl_data_plata)</f>
        <v>46239</v>
      </c>
      <c r="E18" s="17">
        <f>Jurnale!G90</f>
        <v>542</v>
      </c>
      <c r="F18" s="17">
        <f>Jurnale!J90</f>
        <v>5121</v>
      </c>
      <c r="G18" s="9">
        <f>Jurnale!H90</f>
        <v>3938.76</v>
      </c>
      <c r="H18" s="15" t="str">
        <f>Jurnale!I90</f>
        <v>Stingerea datoriei față de titular - decont /31.07.2026 - CHIRIACESCU DIANA</v>
      </c>
      <c r="I18" s="11" t="str">
        <f t="shared" si="0"/>
        <v>CHIRIACESCU DIANA</v>
      </c>
      <c r="J18" s="11" t="e">
        <f t="shared" si="1"/>
        <v>#REF!</v>
      </c>
      <c r="K18" s="25" t="str">
        <f t="shared" si="2"/>
        <v>DA</v>
      </c>
    </row>
    <row r="19" spans="2:11" x14ac:dyDescent="0.25">
      <c r="B19" s="15">
        <v>12</v>
      </c>
      <c r="C19" s="15" t="s">
        <v>287</v>
      </c>
      <c r="D19" s="24" t="str">
        <f>IF(ROUND(Jurnale!H91,2)=0,"",decl_data_plata)</f>
        <v/>
      </c>
      <c r="E19" s="17">
        <f>Jurnale!G91</f>
        <v>5121</v>
      </c>
      <c r="F19" s="17">
        <f>Jurnale!J91</f>
        <v>542</v>
      </c>
      <c r="G19" s="9">
        <f>Jurnale!H91</f>
        <v>0</v>
      </c>
      <c r="H19" s="15" t="str">
        <f>Jurnale!I91</f>
        <v>Încasarea avansului neutilizat de la titular - decont /31.07.2026 - CHIRIACESCU DIANA</v>
      </c>
      <c r="I19" s="11" t="str">
        <f t="shared" si="0"/>
        <v>CHIRIACESCU DIANA</v>
      </c>
      <c r="J19" s="11" t="e">
        <f t="shared" si="1"/>
        <v>#REF!</v>
      </c>
      <c r="K19" s="25" t="str">
        <f t="shared" si="2"/>
        <v>NU</v>
      </c>
    </row>
    <row r="21" spans="2:11" x14ac:dyDescent="0.25">
      <c r="C21" s="19" t="s">
        <v>288</v>
      </c>
      <c r="G21" s="26">
        <f>COUNTIF($K$8:$K$19,"DA")</f>
        <v>2</v>
      </c>
    </row>
    <row r="22" spans="2:11" x14ac:dyDescent="0.25">
      <c r="C22" s="6" t="s">
        <v>289</v>
      </c>
    </row>
  </sheetData>
  <autoFilter ref="B7:K19" xr:uid="{00000000-0009-0000-0000-000005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36</vt:i4>
      </vt:variant>
    </vt:vector>
  </HeadingPairs>
  <TitlesOfParts>
    <vt:vector size="42" baseType="lpstr">
      <vt:lpstr>Instructiuni</vt:lpstr>
      <vt:lpstr>Declaratii</vt:lpstr>
      <vt:lpstr>Reguli</vt:lpstr>
      <vt:lpstr>Decont</vt:lpstr>
      <vt:lpstr>Jurnale</vt:lpstr>
      <vt:lpstr>NotaExport</vt:lpstr>
      <vt:lpstr>dec_sold_de_platit</vt:lpstr>
      <vt:lpstr>dec_total_datorat</vt:lpstr>
      <vt:lpstr>dec_total_neacceptat</vt:lpstr>
      <vt:lpstr>dec_tva_deductibil</vt:lpstr>
      <vt:lpstr>decl_avans</vt:lpstr>
      <vt:lpstr>decl_cont_avans</vt:lpstr>
      <vt:lpstr>decl_cont_datorie</vt:lpstr>
      <vt:lpstr>decl_cont_masa</vt:lpstr>
      <vt:lpstr>decl_cont_transport</vt:lpstr>
      <vt:lpstr>decl_cont_trezorerie</vt:lpstr>
      <vt:lpstr>decl_cota_redusa</vt:lpstr>
      <vt:lpstr>decl_cota_standard</vt:lpstr>
      <vt:lpstr>decl_cui</vt:lpstr>
      <vt:lpstr>decl_curs_eur</vt:lpstr>
      <vt:lpstr>decl_data_avans</vt:lpstr>
      <vt:lpstr>decl_data_decont</vt:lpstr>
      <vt:lpstr>decl_data_plata</vt:lpstr>
      <vt:lpstr>decl_ded_vehicule</vt:lpstr>
      <vt:lpstr>decl_moneda</vt:lpstr>
      <vt:lpstr>decl_plafon_eur</vt:lpstr>
      <vt:lpstr>decl_plafon_lei</vt:lpstr>
      <vt:lpstr>decl_platitor_tva</vt:lpstr>
      <vt:lpstr>decl_societate</vt:lpstr>
      <vt:lpstr>decl_sold_avans_balanta</vt:lpstr>
      <vt:lpstr>decl_titular</vt:lpstr>
      <vt:lpstr>desc_sufix</vt:lpstr>
      <vt:lpstr>lst_cont_avans</vt:lpstr>
      <vt:lpstr>lst_cont_datorie</vt:lpstr>
      <vt:lpstr>lst_cont_masa</vt:lpstr>
      <vt:lpstr>lst_cont_transport</vt:lpstr>
      <vt:lpstr>lst_cont_trezorerie</vt:lpstr>
      <vt:lpstr>lst_danu</vt:lpstr>
      <vt:lpstr>lst_natura</vt:lpstr>
      <vt:lpstr>lst_tipdoc</vt:lpstr>
      <vt:lpstr>tbl_deducere</vt:lpstr>
      <vt:lpstr>tbl_natura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Mircea Muraru</cp:lastModifiedBy>
  <cp:revision>0</cp:revision>
  <dcterms:created xsi:type="dcterms:W3CDTF">2026-08-05T18:16:20Z</dcterms:created>
  <dcterms:modified xsi:type="dcterms:W3CDTF">2026-08-06T06:35:52Z</dcterms:modified>
  <dc:language>en-US</dc:language>
</cp:coreProperties>
</file>