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tpgsrv06\public\_Clienti conta_ACTUALI\AS Kids Toys SRL\zM\"/>
    </mc:Choice>
  </mc:AlternateContent>
  <xr:revisionPtr revIDLastSave="0" documentId="13_ncr:1_{31DA52F0-6B8E-44F9-B368-5B3598F5D58B}" xr6:coauthVersionLast="47" xr6:coauthVersionMax="47" xr10:uidLastSave="{00000000-0000-0000-0000-000000000000}"/>
  <bookViews>
    <workbookView xWindow="-108" yWindow="12852" windowWidth="23256" windowHeight="12456" activeTab="3" xr2:uid="{17D202A6-03C0-448B-AD3D-3CCEF2D02787}"/>
  </bookViews>
  <sheets>
    <sheet name="CHIRIACESCU DIANA-ELENA" sheetId="5" r:id="rId1"/>
    <sheet name="NEAGU VLAD-FLORIAN" sheetId="6" r:id="rId2"/>
    <sheet name="POPESCU IOANA-GABRIELA" sheetId="7" r:id="rId3"/>
    <sheet name="SASCAU COSMIN-BOGDAN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15" i="8" l="1"/>
  <c r="D115" i="8"/>
  <c r="H94" i="8"/>
  <c r="H108" i="8" s="1"/>
  <c r="H83" i="8"/>
  <c r="K83" i="8" s="1"/>
  <c r="I100" i="8" s="1"/>
  <c r="H80" i="8"/>
  <c r="K80" i="8" s="1"/>
  <c r="I101" i="8" s="1"/>
  <c r="D69" i="8"/>
  <c r="K55" i="8"/>
  <c r="I63" i="8" s="1"/>
  <c r="I65" i="8" s="1"/>
  <c r="H55" i="8"/>
  <c r="H62" i="8" s="1"/>
  <c r="H65" i="8" s="1"/>
  <c r="J65" i="8" s="1"/>
  <c r="D44" i="8"/>
  <c r="D26" i="8"/>
  <c r="I135" i="8" s="1"/>
  <c r="Q24" i="8"/>
  <c r="E24" i="8"/>
  <c r="H135" i="8" s="1"/>
  <c r="H144" i="8" s="1"/>
  <c r="Q20" i="8"/>
  <c r="Q18" i="8"/>
  <c r="E18" i="8"/>
  <c r="H130" i="8" s="1"/>
  <c r="H143" i="8" s="1"/>
  <c r="R17" i="8"/>
  <c r="U129" i="8" s="1"/>
  <c r="Q17" i="8"/>
  <c r="E17" i="8"/>
  <c r="H129" i="8" s="1"/>
  <c r="R13" i="8"/>
  <c r="U80" i="8" s="1"/>
  <c r="X80" i="8" s="1"/>
  <c r="V101" i="8" s="1"/>
  <c r="R12" i="8"/>
  <c r="U94" i="8" s="1"/>
  <c r="R11" i="8"/>
  <c r="R24" i="8" s="1"/>
  <c r="Q7" i="8"/>
  <c r="Q6" i="8"/>
  <c r="Q69" i="8" s="1"/>
  <c r="D115" i="7"/>
  <c r="H94" i="7"/>
  <c r="H108" i="7" s="1"/>
  <c r="H83" i="7"/>
  <c r="K83" i="7" s="1"/>
  <c r="I100" i="7" s="1"/>
  <c r="H80" i="7"/>
  <c r="K80" i="7" s="1"/>
  <c r="I101" i="7" s="1"/>
  <c r="Q69" i="7"/>
  <c r="D69" i="7"/>
  <c r="U55" i="7"/>
  <c r="U62" i="7" s="1"/>
  <c r="U65" i="7" s="1"/>
  <c r="W65" i="7" s="1"/>
  <c r="K55" i="7"/>
  <c r="I63" i="7" s="1"/>
  <c r="I65" i="7" s="1"/>
  <c r="H55" i="7"/>
  <c r="H62" i="7" s="1"/>
  <c r="H65" i="7" s="1"/>
  <c r="J65" i="7" s="1"/>
  <c r="D44" i="7"/>
  <c r="D26" i="7"/>
  <c r="L88" i="7" s="1"/>
  <c r="Q24" i="7"/>
  <c r="E24" i="7"/>
  <c r="H135" i="7" s="1"/>
  <c r="H144" i="7" s="1"/>
  <c r="Q20" i="7"/>
  <c r="Q18" i="7"/>
  <c r="E18" i="7"/>
  <c r="H130" i="7" s="1"/>
  <c r="H143" i="7" s="1"/>
  <c r="Q17" i="7"/>
  <c r="E17" i="7"/>
  <c r="H129" i="7" s="1"/>
  <c r="R13" i="7"/>
  <c r="X55" i="7" s="1"/>
  <c r="V63" i="7" s="1"/>
  <c r="V65" i="7" s="1"/>
  <c r="R12" i="7"/>
  <c r="U94" i="7" s="1"/>
  <c r="R11" i="7"/>
  <c r="R18" i="7" s="1"/>
  <c r="Q7" i="7"/>
  <c r="Q6" i="7"/>
  <c r="Q115" i="7" s="1"/>
  <c r="K135" i="6"/>
  <c r="D115" i="6"/>
  <c r="H94" i="6"/>
  <c r="K94" i="6" s="1"/>
  <c r="I106" i="6" s="1"/>
  <c r="H91" i="6"/>
  <c r="H109" i="6" s="1"/>
  <c r="U83" i="6"/>
  <c r="X83" i="6" s="1"/>
  <c r="V100" i="6" s="1"/>
  <c r="H83" i="6"/>
  <c r="K83" i="6" s="1"/>
  <c r="I100" i="6" s="1"/>
  <c r="U80" i="6"/>
  <c r="X80" i="6" s="1"/>
  <c r="V101" i="6" s="1"/>
  <c r="H80" i="6"/>
  <c r="K80" i="6" s="1"/>
  <c r="I101" i="6" s="1"/>
  <c r="D69" i="6"/>
  <c r="X55" i="6"/>
  <c r="V63" i="6" s="1"/>
  <c r="V65" i="6" s="1"/>
  <c r="K55" i="6"/>
  <c r="I63" i="6" s="1"/>
  <c r="I65" i="6" s="1"/>
  <c r="H55" i="6"/>
  <c r="H62" i="6" s="1"/>
  <c r="H65" i="6" s="1"/>
  <c r="J65" i="6" s="1"/>
  <c r="D44" i="6"/>
  <c r="D26" i="6"/>
  <c r="I135" i="6" s="1"/>
  <c r="Q24" i="6"/>
  <c r="E24" i="6"/>
  <c r="H135" i="6" s="1"/>
  <c r="H144" i="6" s="1"/>
  <c r="Q20" i="6"/>
  <c r="Q18" i="6"/>
  <c r="E18" i="6"/>
  <c r="H130" i="6" s="1"/>
  <c r="H143" i="6" s="1"/>
  <c r="R17" i="6"/>
  <c r="X86" i="6" s="1"/>
  <c r="Q17" i="6"/>
  <c r="E17" i="6"/>
  <c r="H129" i="6" s="1"/>
  <c r="R13" i="6"/>
  <c r="U55" i="6" s="1"/>
  <c r="U62" i="6" s="1"/>
  <c r="U65" i="6" s="1"/>
  <c r="W65" i="6" s="1"/>
  <c r="R12" i="6"/>
  <c r="U94" i="6" s="1"/>
  <c r="R11" i="6"/>
  <c r="R24" i="6" s="1"/>
  <c r="Q7" i="6"/>
  <c r="Q6" i="6"/>
  <c r="Q69" i="6" s="1"/>
  <c r="K135" i="5"/>
  <c r="D115" i="5"/>
  <c r="U94" i="5"/>
  <c r="X94" i="5" s="1"/>
  <c r="V106" i="5" s="1"/>
  <c r="H94" i="5"/>
  <c r="H108" i="5" s="1"/>
  <c r="H83" i="5"/>
  <c r="K83" i="5" s="1"/>
  <c r="I100" i="5" s="1"/>
  <c r="D69" i="5"/>
  <c r="D44" i="5"/>
  <c r="D26" i="5"/>
  <c r="I135" i="5" s="1"/>
  <c r="Q24" i="5"/>
  <c r="E24" i="5"/>
  <c r="H135" i="5" s="1"/>
  <c r="H144" i="5" s="1"/>
  <c r="Q20" i="5"/>
  <c r="Q18" i="5"/>
  <c r="E18" i="5"/>
  <c r="H130" i="5" s="1"/>
  <c r="H143" i="5" s="1"/>
  <c r="R17" i="5"/>
  <c r="X86" i="5" s="1"/>
  <c r="Q17" i="5"/>
  <c r="E17" i="5"/>
  <c r="H129" i="5" s="1"/>
  <c r="K55" i="5"/>
  <c r="I63" i="5" s="1"/>
  <c r="I65" i="5" s="1"/>
  <c r="R12" i="5"/>
  <c r="R11" i="5"/>
  <c r="R24" i="5" s="1"/>
  <c r="Q7" i="5"/>
  <c r="Q6" i="5"/>
  <c r="Q69" i="5" s="1"/>
  <c r="K87" i="5" l="1"/>
  <c r="I103" i="5" s="1"/>
  <c r="I55" i="8"/>
  <c r="L88" i="8"/>
  <c r="U83" i="8"/>
  <c r="X83" i="8" s="1"/>
  <c r="V100" i="8" s="1"/>
  <c r="E19" i="8"/>
  <c r="E20" i="8" s="1"/>
  <c r="K87" i="8"/>
  <c r="I103" i="8" s="1"/>
  <c r="X94" i="8"/>
  <c r="V106" i="8" s="1"/>
  <c r="U108" i="8"/>
  <c r="H142" i="8"/>
  <c r="U142" i="8"/>
  <c r="X91" i="8"/>
  <c r="V104" i="8" s="1"/>
  <c r="X135" i="8"/>
  <c r="U91" i="8"/>
  <c r="U109" i="8" s="1"/>
  <c r="U135" i="8"/>
  <c r="U144" i="8" s="1"/>
  <c r="K88" i="8"/>
  <c r="I105" i="8" s="1"/>
  <c r="H131" i="8"/>
  <c r="H145" i="8" s="1"/>
  <c r="U55" i="8"/>
  <c r="U62" i="8" s="1"/>
  <c r="U65" i="8" s="1"/>
  <c r="H91" i="8"/>
  <c r="H109" i="8" s="1"/>
  <c r="H107" i="8"/>
  <c r="Q26" i="8"/>
  <c r="I80" i="8"/>
  <c r="I83" i="8"/>
  <c r="I86" i="8"/>
  <c r="L87" i="8"/>
  <c r="I91" i="8"/>
  <c r="I94" i="8"/>
  <c r="U107" i="8"/>
  <c r="L126" i="8"/>
  <c r="L129" i="8"/>
  <c r="L135" i="8"/>
  <c r="X86" i="8"/>
  <c r="K135" i="8"/>
  <c r="X55" i="8"/>
  <c r="V63" i="8" s="1"/>
  <c r="V65" i="8" s="1"/>
  <c r="K86" i="8"/>
  <c r="K91" i="8"/>
  <c r="I104" i="8" s="1"/>
  <c r="K94" i="8"/>
  <c r="I106" i="8" s="1"/>
  <c r="R18" i="8"/>
  <c r="Q44" i="8"/>
  <c r="L80" i="8"/>
  <c r="L83" i="8"/>
  <c r="L86" i="8"/>
  <c r="L91" i="8"/>
  <c r="L94" i="8"/>
  <c r="I131" i="8"/>
  <c r="L55" i="8"/>
  <c r="I126" i="8"/>
  <c r="I129" i="8"/>
  <c r="I130" i="8"/>
  <c r="R24" i="7"/>
  <c r="X91" i="7" s="1"/>
  <c r="V104" i="7" s="1"/>
  <c r="U80" i="7"/>
  <c r="X80" i="7" s="1"/>
  <c r="V101" i="7" s="1"/>
  <c r="R17" i="7"/>
  <c r="R19" i="7" s="1"/>
  <c r="U83" i="7"/>
  <c r="X83" i="7" s="1"/>
  <c r="V100" i="7" s="1"/>
  <c r="K135" i="7"/>
  <c r="E19" i="7"/>
  <c r="E20" i="7" s="1"/>
  <c r="K88" i="7" s="1"/>
  <c r="I105" i="7" s="1"/>
  <c r="K87" i="7"/>
  <c r="I103" i="7" s="1"/>
  <c r="H91" i="7"/>
  <c r="H109" i="7" s="1"/>
  <c r="I126" i="7"/>
  <c r="L55" i="7"/>
  <c r="X87" i="7"/>
  <c r="V103" i="7" s="1"/>
  <c r="U130" i="7"/>
  <c r="U143" i="7" s="1"/>
  <c r="X94" i="7"/>
  <c r="V106" i="7" s="1"/>
  <c r="U108" i="7"/>
  <c r="H142" i="7"/>
  <c r="X86" i="7"/>
  <c r="U129" i="7"/>
  <c r="I129" i="7"/>
  <c r="I135" i="7"/>
  <c r="H107" i="7"/>
  <c r="E21" i="7"/>
  <c r="E22" i="7" s="1"/>
  <c r="Q26" i="7"/>
  <c r="I80" i="7"/>
  <c r="I83" i="7"/>
  <c r="I86" i="7"/>
  <c r="L87" i="7"/>
  <c r="I91" i="7"/>
  <c r="I94" i="7"/>
  <c r="U107" i="7"/>
  <c r="L126" i="7"/>
  <c r="L129" i="7"/>
  <c r="L135" i="7"/>
  <c r="I130" i="7"/>
  <c r="K86" i="7"/>
  <c r="K91" i="7"/>
  <c r="I104" i="7" s="1"/>
  <c r="K94" i="7"/>
  <c r="I106" i="7" s="1"/>
  <c r="U135" i="7"/>
  <c r="U144" i="7" s="1"/>
  <c r="Q44" i="7"/>
  <c r="L80" i="7"/>
  <c r="L83" i="7"/>
  <c r="L86" i="7"/>
  <c r="L91" i="7"/>
  <c r="L94" i="7"/>
  <c r="I131" i="7"/>
  <c r="I55" i="7"/>
  <c r="U91" i="7"/>
  <c r="U109" i="7" s="1"/>
  <c r="K86" i="6"/>
  <c r="I102" i="6" s="1"/>
  <c r="E19" i="6"/>
  <c r="E20" i="6" s="1"/>
  <c r="K88" i="6" s="1"/>
  <c r="K87" i="6"/>
  <c r="I103" i="6" s="1"/>
  <c r="K91" i="6"/>
  <c r="I104" i="6" s="1"/>
  <c r="V102" i="6"/>
  <c r="X91" i="6"/>
  <c r="V104" i="6" s="1"/>
  <c r="U91" i="6"/>
  <c r="U109" i="6" s="1"/>
  <c r="X135" i="6"/>
  <c r="U135" i="6"/>
  <c r="U144" i="6" s="1"/>
  <c r="H142" i="6"/>
  <c r="X94" i="6"/>
  <c r="V106" i="6" s="1"/>
  <c r="U108" i="6"/>
  <c r="H107" i="6"/>
  <c r="Q26" i="6"/>
  <c r="I80" i="6"/>
  <c r="I83" i="6"/>
  <c r="I86" i="6"/>
  <c r="L87" i="6"/>
  <c r="I91" i="6"/>
  <c r="I94" i="6"/>
  <c r="U107" i="6"/>
  <c r="L126" i="6"/>
  <c r="L129" i="6"/>
  <c r="L135" i="6"/>
  <c r="H108" i="6"/>
  <c r="U129" i="6"/>
  <c r="R18" i="6"/>
  <c r="Q44" i="6"/>
  <c r="L80" i="6"/>
  <c r="L83" i="6"/>
  <c r="L86" i="6"/>
  <c r="L91" i="6"/>
  <c r="L94" i="6"/>
  <c r="I131" i="6"/>
  <c r="R19" i="6"/>
  <c r="I55" i="6"/>
  <c r="L88" i="6"/>
  <c r="Q115" i="6"/>
  <c r="L55" i="6"/>
  <c r="I126" i="6"/>
  <c r="I129" i="6"/>
  <c r="I130" i="6"/>
  <c r="E19" i="5"/>
  <c r="E20" i="5" s="1"/>
  <c r="K88" i="5" s="1"/>
  <c r="I105" i="5" s="1"/>
  <c r="U83" i="5"/>
  <c r="X83" i="5" s="1"/>
  <c r="V100" i="5" s="1"/>
  <c r="H91" i="5"/>
  <c r="H109" i="5" s="1"/>
  <c r="H142" i="5"/>
  <c r="V102" i="5"/>
  <c r="X91" i="5"/>
  <c r="V104" i="5" s="1"/>
  <c r="X135" i="5"/>
  <c r="U91" i="5"/>
  <c r="U109" i="5" s="1"/>
  <c r="U135" i="5"/>
  <c r="U144" i="5" s="1"/>
  <c r="H107" i="5"/>
  <c r="Q26" i="5"/>
  <c r="I83" i="5"/>
  <c r="I86" i="5"/>
  <c r="I91" i="5"/>
  <c r="I94" i="5"/>
  <c r="U107" i="5"/>
  <c r="L126" i="5"/>
  <c r="L129" i="5"/>
  <c r="L135" i="5"/>
  <c r="K86" i="5"/>
  <c r="K91" i="5"/>
  <c r="I104" i="5" s="1"/>
  <c r="K94" i="5"/>
  <c r="I106" i="5" s="1"/>
  <c r="U129" i="5"/>
  <c r="H80" i="5"/>
  <c r="K80" i="5" s="1"/>
  <c r="I101" i="5" s="1"/>
  <c r="I80" i="5"/>
  <c r="L87" i="5"/>
  <c r="R18" i="5"/>
  <c r="Q44" i="5"/>
  <c r="L80" i="5"/>
  <c r="L83" i="5"/>
  <c r="L86" i="5"/>
  <c r="L91" i="5"/>
  <c r="L94" i="5"/>
  <c r="U108" i="5"/>
  <c r="I131" i="5"/>
  <c r="H55" i="5"/>
  <c r="H62" i="5" s="1"/>
  <c r="H65" i="5" s="1"/>
  <c r="J65" i="5" s="1"/>
  <c r="R13" i="5"/>
  <c r="L88" i="5"/>
  <c r="Q115" i="5"/>
  <c r="I55" i="5"/>
  <c r="L55" i="5"/>
  <c r="I126" i="5"/>
  <c r="I129" i="5"/>
  <c r="I130" i="5"/>
  <c r="H131" i="5" l="1"/>
  <c r="H145" i="5" s="1"/>
  <c r="E21" i="8"/>
  <c r="E22" i="8" s="1"/>
  <c r="H126" i="8" s="1"/>
  <c r="H141" i="8" s="1"/>
  <c r="H148" i="8" s="1"/>
  <c r="K126" i="8"/>
  <c r="I102" i="8"/>
  <c r="I111" i="8" s="1"/>
  <c r="H86" i="8"/>
  <c r="H100" i="8" s="1"/>
  <c r="H111" i="8" s="1"/>
  <c r="W65" i="8"/>
  <c r="V102" i="8"/>
  <c r="X87" i="8"/>
  <c r="V103" i="8" s="1"/>
  <c r="U130" i="8"/>
  <c r="R19" i="8"/>
  <c r="K129" i="8"/>
  <c r="Y94" i="8"/>
  <c r="Y91" i="8"/>
  <c r="Y88" i="8"/>
  <c r="Y86" i="8"/>
  <c r="Y83" i="8"/>
  <c r="Y80" i="8"/>
  <c r="V131" i="8"/>
  <c r="V94" i="8"/>
  <c r="V86" i="8"/>
  <c r="V80" i="8"/>
  <c r="V135" i="8"/>
  <c r="V129" i="8"/>
  <c r="V126" i="8"/>
  <c r="Y87" i="8"/>
  <c r="Y55" i="8"/>
  <c r="Y135" i="8"/>
  <c r="Y129" i="8"/>
  <c r="V91" i="8"/>
  <c r="V83" i="8"/>
  <c r="V130" i="8"/>
  <c r="V55" i="8"/>
  <c r="Y126" i="8"/>
  <c r="H131" i="7"/>
  <c r="X135" i="7"/>
  <c r="U142" i="7"/>
  <c r="I102" i="7"/>
  <c r="I111" i="7" s="1"/>
  <c r="H86" i="7"/>
  <c r="H100" i="7" s="1"/>
  <c r="H111" i="7" s="1"/>
  <c r="J111" i="7" s="1"/>
  <c r="R20" i="7"/>
  <c r="R21" i="7" s="1"/>
  <c r="R22" i="7" s="1"/>
  <c r="Y135" i="7"/>
  <c r="V131" i="7"/>
  <c r="Y129" i="7"/>
  <c r="Y126" i="7"/>
  <c r="V94" i="7"/>
  <c r="V91" i="7"/>
  <c r="V86" i="7"/>
  <c r="V83" i="7"/>
  <c r="V80" i="7"/>
  <c r="V135" i="7"/>
  <c r="V129" i="7"/>
  <c r="V126" i="7"/>
  <c r="Y87" i="7"/>
  <c r="Y55" i="7"/>
  <c r="Y91" i="7"/>
  <c r="Y83" i="7"/>
  <c r="Y86" i="7"/>
  <c r="V130" i="7"/>
  <c r="V55" i="7"/>
  <c r="Y94" i="7"/>
  <c r="Y88" i="7"/>
  <c r="Y80" i="7"/>
  <c r="V102" i="7"/>
  <c r="H126" i="7"/>
  <c r="H141" i="7" s="1"/>
  <c r="K126" i="7"/>
  <c r="E21" i="6"/>
  <c r="E22" i="6" s="1"/>
  <c r="K126" i="6" s="1"/>
  <c r="H131" i="6"/>
  <c r="R20" i="6"/>
  <c r="R21" i="6"/>
  <c r="R22" i="6" s="1"/>
  <c r="X87" i="6"/>
  <c r="U130" i="6"/>
  <c r="U143" i="6" s="1"/>
  <c r="I105" i="6"/>
  <c r="I111" i="6" s="1"/>
  <c r="H86" i="6"/>
  <c r="H100" i="6" s="1"/>
  <c r="H111" i="6" s="1"/>
  <c r="J111" i="6" s="1"/>
  <c r="H126" i="6"/>
  <c r="H141" i="6" s="1"/>
  <c r="U142" i="6"/>
  <c r="Y94" i="6"/>
  <c r="Y91" i="6"/>
  <c r="Y88" i="6"/>
  <c r="Y86" i="6"/>
  <c r="Y83" i="6"/>
  <c r="Y80" i="6"/>
  <c r="Y135" i="6"/>
  <c r="V131" i="6"/>
  <c r="Y129" i="6"/>
  <c r="Y126" i="6"/>
  <c r="V94" i="6"/>
  <c r="V91" i="6"/>
  <c r="V86" i="6"/>
  <c r="V83" i="6"/>
  <c r="V80" i="6"/>
  <c r="V135" i="6"/>
  <c r="V129" i="6"/>
  <c r="V126" i="6"/>
  <c r="Y87" i="6"/>
  <c r="Y55" i="6"/>
  <c r="V130" i="6"/>
  <c r="V55" i="6"/>
  <c r="K129" i="5"/>
  <c r="E21" i="5"/>
  <c r="E22" i="5" s="1"/>
  <c r="I102" i="5"/>
  <c r="I111" i="5" s="1"/>
  <c r="H86" i="5"/>
  <c r="H100" i="5" s="1"/>
  <c r="H111" i="5" s="1"/>
  <c r="Y94" i="5"/>
  <c r="Y91" i="5"/>
  <c r="Y88" i="5"/>
  <c r="Y86" i="5"/>
  <c r="Y83" i="5"/>
  <c r="Y80" i="5"/>
  <c r="V91" i="5"/>
  <c r="Y135" i="5"/>
  <c r="V131" i="5"/>
  <c r="Y129" i="5"/>
  <c r="Y126" i="5"/>
  <c r="V94" i="5"/>
  <c r="V86" i="5"/>
  <c r="V83" i="5"/>
  <c r="V80" i="5"/>
  <c r="V135" i="5"/>
  <c r="V129" i="5"/>
  <c r="V126" i="5"/>
  <c r="Y87" i="5"/>
  <c r="Y55" i="5"/>
  <c r="V55" i="5"/>
  <c r="V130" i="5"/>
  <c r="H126" i="5"/>
  <c r="H141" i="5" s="1"/>
  <c r="H148" i="5" s="1"/>
  <c r="K126" i="5"/>
  <c r="I146" i="5" s="1"/>
  <c r="I148" i="5" s="1"/>
  <c r="U130" i="5"/>
  <c r="U143" i="5" s="1"/>
  <c r="X87" i="5"/>
  <c r="R19" i="5"/>
  <c r="U142" i="5"/>
  <c r="U80" i="5"/>
  <c r="X80" i="5" s="1"/>
  <c r="V101" i="5" s="1"/>
  <c r="U55" i="5"/>
  <c r="U62" i="5" s="1"/>
  <c r="U65" i="5" s="1"/>
  <c r="X55" i="5"/>
  <c r="V63" i="5" s="1"/>
  <c r="V65" i="5" s="1"/>
  <c r="J111" i="5" l="1"/>
  <c r="J111" i="8"/>
  <c r="R20" i="8"/>
  <c r="R21" i="8" s="1"/>
  <c r="R22" i="8" s="1"/>
  <c r="I146" i="8"/>
  <c r="I148" i="8" s="1"/>
  <c r="J148" i="8" s="1"/>
  <c r="U143" i="8"/>
  <c r="H145" i="7"/>
  <c r="H148" i="7" s="1"/>
  <c r="K129" i="7"/>
  <c r="I146" i="7" s="1"/>
  <c r="I148" i="7" s="1"/>
  <c r="X126" i="7"/>
  <c r="U126" i="7"/>
  <c r="U141" i="7" s="1"/>
  <c r="X88" i="7"/>
  <c r="U131" i="7"/>
  <c r="I146" i="6"/>
  <c r="I148" i="6" s="1"/>
  <c r="H145" i="6"/>
  <c r="H148" i="6" s="1"/>
  <c r="J148" i="6" s="1"/>
  <c r="K129" i="6"/>
  <c r="V103" i="6"/>
  <c r="X126" i="6"/>
  <c r="U126" i="6"/>
  <c r="U141" i="6" s="1"/>
  <c r="X88" i="6"/>
  <c r="V105" i="6" s="1"/>
  <c r="U131" i="6"/>
  <c r="U145" i="6" s="1"/>
  <c r="V103" i="5"/>
  <c r="R20" i="5"/>
  <c r="W65" i="5"/>
  <c r="J148" i="5"/>
  <c r="X88" i="8" l="1"/>
  <c r="U131" i="8"/>
  <c r="X126" i="8"/>
  <c r="U126" i="8"/>
  <c r="U141" i="8" s="1"/>
  <c r="J148" i="7"/>
  <c r="U145" i="7"/>
  <c r="X129" i="7"/>
  <c r="U148" i="7"/>
  <c r="V105" i="7"/>
  <c r="V111" i="7" s="1"/>
  <c r="U86" i="7"/>
  <c r="U100" i="7" s="1"/>
  <c r="U111" i="7" s="1"/>
  <c r="W111" i="7" s="1"/>
  <c r="V146" i="7"/>
  <c r="V148" i="7" s="1"/>
  <c r="U86" i="6"/>
  <c r="U100" i="6" s="1"/>
  <c r="U111" i="6" s="1"/>
  <c r="V111" i="6"/>
  <c r="V146" i="6"/>
  <c r="V148" i="6" s="1"/>
  <c r="X129" i="6"/>
  <c r="U148" i="6"/>
  <c r="X88" i="5"/>
  <c r="U131" i="5"/>
  <c r="R21" i="5"/>
  <c r="R22" i="5" s="1"/>
  <c r="U145" i="8" l="1"/>
  <c r="U148" i="8" s="1"/>
  <c r="X129" i="8"/>
  <c r="V146" i="8" s="1"/>
  <c r="V148" i="8" s="1"/>
  <c r="V105" i="8"/>
  <c r="V111" i="8" s="1"/>
  <c r="U86" i="8"/>
  <c r="U100" i="8" s="1"/>
  <c r="U111" i="8" s="1"/>
  <c r="W111" i="8" s="1"/>
  <c r="W148" i="7"/>
  <c r="W111" i="6"/>
  <c r="W148" i="6"/>
  <c r="X126" i="5"/>
  <c r="V146" i="5" s="1"/>
  <c r="V148" i="5" s="1"/>
  <c r="U126" i="5"/>
  <c r="U141" i="5" s="1"/>
  <c r="U145" i="5"/>
  <c r="X129" i="5"/>
  <c r="V105" i="5"/>
  <c r="V111" i="5" s="1"/>
  <c r="U86" i="5"/>
  <c r="U100" i="5" s="1"/>
  <c r="U111" i="5" s="1"/>
  <c r="W111" i="5" s="1"/>
  <c r="W148" i="8" l="1"/>
  <c r="U148" i="5"/>
  <c r="W148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94" authorId="0" shapeId="0" xr:uid="{FA0D58A2-85EA-4A97-B577-BA055BEA8206}">
      <text>
        <r>
          <rPr>
            <sz val="10"/>
            <rFont val="Arial"/>
            <family val="2"/>
          </rPr>
          <t>Achizitie tichete (anterior): 5328 = 462/401.
Descarcare la acordare (cost lunii): 642 = 5328.
Tichetele: CASS 10% + impozit 10% (deja retinute in 4316/444); fara CAS, fara CAM.</t>
        </r>
      </text>
    </comment>
    <comment ref="T94" authorId="0" shapeId="0" xr:uid="{021404E8-C16C-45AF-A1F2-A7C7A1743181}">
      <text>
        <r>
          <rPr>
            <sz val="10"/>
            <rFont val="Arial"/>
            <family val="2"/>
          </rPr>
          <t>Achizitie tichete (anterior): 5328 = 462/401.
Descarcare la acordare (cost lunii): 642 = 5328.
Tichetele: CASS 10% + impozit 10% (deja retinute in 4316/444); fara CAS, fara CAM.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94" authorId="0" shapeId="0" xr:uid="{1D3AB5E9-1DDE-44E8-B2C2-A1FCB299A2CA}">
      <text>
        <r>
          <rPr>
            <sz val="10"/>
            <rFont val="Arial"/>
            <family val="2"/>
          </rPr>
          <t>Achizitie tichete (anterior): 5328 = 462/401.
Descarcare la acordare (cost lunii): 642 = 5328.
Tichetele: CASS 10% + impozit 10% (deja retinute in 4316/444); fara CAS, fara CAM.</t>
        </r>
      </text>
    </comment>
    <comment ref="T94" authorId="0" shapeId="0" xr:uid="{2E63BA3E-AC4B-4750-86E2-D9196C9AA291}">
      <text>
        <r>
          <rPr>
            <sz val="10"/>
            <rFont val="Arial"/>
            <family val="2"/>
          </rPr>
          <t>Achizitie tichete (anterior): 5328 = 462/401.
Descarcare la acordare (cost lunii): 642 = 5328.
Tichetele: CASS 10% + impozit 10% (deja retinute in 4316/444); fara CAS, fara CAM.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94" authorId="0" shapeId="0" xr:uid="{2D8B370F-9EF5-49E8-BCD8-88FC48FDC4BD}">
      <text>
        <r>
          <rPr>
            <sz val="10"/>
            <rFont val="Arial"/>
            <family val="2"/>
          </rPr>
          <t>Achizitie tichete (anterior): 5328 = 462/401.
Descarcare la acordare (cost lunii): 642 = 5328.
Tichetele: CASS 10% + impozit 10% (deja retinute in 4316/444); fara CAS, fara CAM.</t>
        </r>
      </text>
    </comment>
    <comment ref="T94" authorId="0" shapeId="0" xr:uid="{3B5335CE-DBF0-43CD-92CD-9ADBD8F73A6B}">
      <text>
        <r>
          <rPr>
            <sz val="10"/>
            <rFont val="Arial"/>
            <family val="2"/>
          </rPr>
          <t>Achizitie tichete (anterior): 5328 = 462/401.
Descarcare la acordare (cost lunii): 642 = 5328.
Tichetele: CASS 10% + impozit 10% (deja retinute in 4316/444); fara CAS, fara CAM.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94" authorId="0" shapeId="0" xr:uid="{F7FA03B3-1444-4F69-BE99-A1D0A2353ED0}">
      <text>
        <r>
          <rPr>
            <sz val="10"/>
            <rFont val="Arial"/>
            <family val="2"/>
          </rPr>
          <t>Achizitie tichete (anterior): 5328 = 462/401.
Descarcare la acordare (cost lunii): 642 = 5328.
Tichetele: CASS 10% + impozit 10% (deja retinute in 4316/444); fara CAS, fara CAM.</t>
        </r>
      </text>
    </comment>
    <comment ref="T94" authorId="0" shapeId="0" xr:uid="{8DEF48BF-E5D7-4EA8-BEC7-D2A198FBE6E9}">
      <text>
        <r>
          <rPr>
            <sz val="10"/>
            <rFont val="Arial"/>
            <family val="2"/>
          </rPr>
          <t>Achizitie tichete (anterior): 5328 = 462/401.
Descarcare la acordare (cost lunii): 642 = 5328.
Tichetele: CASS 10% + impozit 10% (deja retinute in 4316/444); fara CAS, fara CAM.</t>
        </r>
      </text>
    </comment>
  </commentList>
</comments>
</file>

<file path=xl/sharedStrings.xml><?xml version="1.0" encoding="utf-8"?>
<sst xmlns="http://schemas.openxmlformats.org/spreadsheetml/2006/main" count="1044" uniqueCount="93">
  <si>
    <t>Check</t>
  </si>
  <si>
    <t xml:space="preserve"> </t>
  </si>
  <si>
    <t>Conturi curente la banci</t>
  </si>
  <si>
    <t>Impozit</t>
  </si>
  <si>
    <t>CAM</t>
  </si>
  <si>
    <t>CASS</t>
  </si>
  <si>
    <t>CAS</t>
  </si>
  <si>
    <t>Personal - salarii datorate</t>
  </si>
  <si>
    <t>Cr</t>
  </si>
  <si>
    <t>Dr</t>
  </si>
  <si>
    <t>Sumar</t>
  </si>
  <si>
    <t>Taxe</t>
  </si>
  <si>
    <t>Salariu</t>
  </si>
  <si>
    <t>Descriere</t>
  </si>
  <si>
    <t>Suma</t>
  </si>
  <si>
    <t>Cont</t>
  </si>
  <si>
    <t>Inregistrari</t>
  </si>
  <si>
    <t>Data jurnal: de pe extras banca.</t>
  </si>
  <si>
    <t>Plati</t>
  </si>
  <si>
    <t>Cheltuieli cu CAM</t>
  </si>
  <si>
    <t>Cheltuieli cu tichetele de masa</t>
  </si>
  <si>
    <t>Cheltuieli cu salariile</t>
  </si>
  <si>
    <t>Alte valori (tichete)</t>
  </si>
  <si>
    <t>Avansuri acordate personalului</t>
  </si>
  <si>
    <t>Descarcare tichete de masa</t>
  </si>
  <si>
    <t>Inchidere avans</t>
  </si>
  <si>
    <t>Data jurnal: ultima zii a lunii.</t>
  </si>
  <si>
    <t>Costuri</t>
  </si>
  <si>
    <t>Plata avans</t>
  </si>
  <si>
    <t>Datorie fata de furnizor tichete de masa (Edenred)</t>
  </si>
  <si>
    <t>suma de pe factura furnizor (i.e. Edenred)</t>
  </si>
  <si>
    <t>401/462</t>
  </si>
  <si>
    <t>Intrare tichete de masa in gestiune</t>
  </si>
  <si>
    <t>Inregistrare factura tichete de masa - de inregistrat cand apare in SPV.</t>
  </si>
  <si>
    <t>Jurnale</t>
  </si>
  <si>
    <t>descriere generata pentru formule descriere</t>
  </si>
  <si>
    <t>Total de plata</t>
  </si>
  <si>
    <t>Salariu Net</t>
  </si>
  <si>
    <t>Venit Net</t>
  </si>
  <si>
    <t>Calcule</t>
  </si>
  <si>
    <t>Avans</t>
  </si>
  <si>
    <t>Tichete de masa</t>
  </si>
  <si>
    <t>RON</t>
  </si>
  <si>
    <t>CHIRIACESCU DIANA-ELENA</t>
  </si>
  <si>
    <t>nume angajat</t>
  </si>
  <si>
    <t>luna.an</t>
  </si>
  <si>
    <t>Doar celulele din sectiunea asta (Intro), trebuiesc umplute manual.</t>
  </si>
  <si>
    <t>Intro</t>
  </si>
  <si>
    <t>NEAGU VLAD-FLORIAN</t>
  </si>
  <si>
    <t>POPESCU IOANA-GABRIELA</t>
  </si>
  <si>
    <t>SASCAU COSMIN-BOGDAN</t>
  </si>
  <si>
    <t>month.year</t>
  </si>
  <si>
    <t>employee name</t>
  </si>
  <si>
    <t>Brut</t>
  </si>
  <si>
    <t>Gross</t>
  </si>
  <si>
    <t>Meal vouchers</t>
  </si>
  <si>
    <t>Advance</t>
  </si>
  <si>
    <t>Calculations</t>
  </si>
  <si>
    <t>CAS (pension)</t>
  </si>
  <si>
    <t>CASS (health)</t>
  </si>
  <si>
    <t>Net income</t>
  </si>
  <si>
    <t>Income tax</t>
  </si>
  <si>
    <t>Net salary</t>
  </si>
  <si>
    <t>Total to pay</t>
  </si>
  <si>
    <t>CAM (work insurance)</t>
  </si>
  <si>
    <t>generated suffix for description formulas</t>
  </si>
  <si>
    <t>Journals</t>
  </si>
  <si>
    <t>Costs</t>
  </si>
  <si>
    <t>Meal voucher supplier invoice - to be recorded when it appears in SPV.</t>
  </si>
  <si>
    <t>Account</t>
  </si>
  <si>
    <t>Amount</t>
  </si>
  <si>
    <t>Description</t>
  </si>
  <si>
    <t>amount per supplier invoice (i.e. Edenred)</t>
  </si>
  <si>
    <t>Meal vouchers received into stock</t>
  </si>
  <si>
    <t>Liability to meal voucher supplier (Edenred)</t>
  </si>
  <si>
    <t>Payments</t>
  </si>
  <si>
    <t>Journal date: per bank statement.</t>
  </si>
  <si>
    <t>Entries</t>
  </si>
  <si>
    <t>Advance payment</t>
  </si>
  <si>
    <t>Summary</t>
  </si>
  <si>
    <t>Advances granted to employees</t>
  </si>
  <si>
    <t>Bank current accounts</t>
  </si>
  <si>
    <t>Journal date: last day of the month.</t>
  </si>
  <si>
    <t>Advance clearing</t>
  </si>
  <si>
    <t>Salary</t>
  </si>
  <si>
    <t>Taxes</t>
  </si>
  <si>
    <t>Meal voucher release</t>
  </si>
  <si>
    <t>Employees - wages payable</t>
  </si>
  <si>
    <t>Other securities (vouchers)</t>
  </si>
  <si>
    <t>Wages and salaries expense</t>
  </si>
  <si>
    <t>Meal voucher expense</t>
  </si>
  <si>
    <t>CAM expense</t>
  </si>
  <si>
    <t>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</si>
</sst>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\-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b/>
      <i/>
      <sz val="11"/>
      <color theme="0" tint="-0.249977111117893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0" tint="-0.249977111117893"/>
      <name val="Calibri"/>
      <family val="2"/>
      <charset val="1"/>
    </font>
    <font>
      <b/>
      <i/>
      <sz val="13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rgb="FF333399"/>
      </patternFill>
    </fill>
    <fill>
      <patternFill patternType="solid">
        <fgColor theme="4"/>
        <bgColor rgb="FF808080"/>
      </patternFill>
    </fill>
    <fill>
      <patternFill patternType="solid">
        <fgColor theme="9"/>
        <bgColor rgb="FF339966"/>
      </patternFill>
    </fill>
    <fill>
      <patternFill patternType="solid">
        <fgColor theme="5" tint="0.79979857783745845"/>
        <bgColor rgb="FFFFFFFF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164" fontId="2" fillId="0" borderId="0" xfId="1" applyNumberFormat="1" applyFont="1"/>
    <xf numFmtId="0" fontId="2" fillId="0" borderId="0" xfId="1" applyFont="1"/>
    <xf numFmtId="164" fontId="1" fillId="0" borderId="0" xfId="1" applyNumberFormat="1"/>
    <xf numFmtId="0" fontId="3" fillId="2" borderId="1" xfId="1" applyFont="1" applyFill="1" applyBorder="1" applyAlignment="1">
      <alignment horizontal="right" vertical="center" wrapText="1"/>
    </xf>
    <xf numFmtId="0" fontId="3" fillId="3" borderId="2" xfId="1" applyFont="1" applyFill="1" applyBorder="1" applyAlignment="1">
      <alignment horizontal="right" vertical="center" wrapText="1"/>
    </xf>
    <xf numFmtId="0" fontId="2" fillId="0" borderId="0" xfId="1" applyFont="1" applyAlignment="1">
      <alignment horizontal="center"/>
    </xf>
    <xf numFmtId="0" fontId="4" fillId="0" borderId="0" xfId="1" applyFont="1"/>
    <xf numFmtId="0" fontId="5" fillId="2" borderId="1" xfId="1" applyFont="1" applyFill="1" applyBorder="1" applyAlignment="1">
      <alignment horizontal="right" vertical="center" wrapText="1"/>
    </xf>
    <xf numFmtId="0" fontId="2" fillId="0" borderId="3" xfId="1" applyFont="1" applyBorder="1" applyAlignment="1">
      <alignment horizontal="center"/>
    </xf>
    <xf numFmtId="0" fontId="3" fillId="4" borderId="2" xfId="1" applyFont="1" applyFill="1" applyBorder="1" applyAlignment="1">
      <alignment horizontal="right" vertical="center" wrapText="1"/>
    </xf>
    <xf numFmtId="164" fontId="7" fillId="0" borderId="0" xfId="1" applyNumberFormat="1" applyFont="1"/>
    <xf numFmtId="164" fontId="1" fillId="5" borderId="2" xfId="1" applyNumberFormat="1" applyFill="1" applyBorder="1"/>
    <xf numFmtId="0" fontId="1" fillId="0" borderId="0" xfId="1" applyAlignment="1">
      <alignment horizontal="center"/>
    </xf>
    <xf numFmtId="3" fontId="1" fillId="0" borderId="0" xfId="1" applyNumberFormat="1"/>
    <xf numFmtId="49" fontId="1" fillId="5" borderId="2" xfId="1" applyNumberFormat="1" applyFill="1" applyBorder="1"/>
    <xf numFmtId="0" fontId="6" fillId="0" borderId="2" xfId="1" applyFont="1" applyBorder="1" applyAlignment="1">
      <alignment horizontal="center" vertical="center"/>
    </xf>
    <xf numFmtId="0" fontId="7" fillId="0" borderId="0" xfId="1" applyFont="1"/>
  </cellXfs>
  <cellStyles count="2">
    <cellStyle name="Normal" xfId="0" builtinId="0"/>
    <cellStyle name="Normal 2" xfId="1" xr:uid="{F4814EB9-FFFC-4D40-A350-773901DFCA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CB731-D833-45B0-B530-2B87F85C09D3}">
  <dimension ref="B2:Z148"/>
  <sheetViews>
    <sheetView zoomScaleNormal="100" workbookViewId="0">
      <selection activeCell="E13" sqref="E13"/>
    </sheetView>
  </sheetViews>
  <sheetFormatPr defaultColWidth="8.7109375" defaultRowHeight="15" x14ac:dyDescent="0.25"/>
  <cols>
    <col min="1" max="3" width="8.7109375" style="1"/>
    <col min="4" max="4" width="9.85546875" style="1" customWidth="1"/>
    <col min="5" max="6" width="9.28515625" style="1" customWidth="1"/>
    <col min="7" max="7" width="10.42578125" style="1" customWidth="1"/>
    <col min="8" max="8" width="13.140625" style="1" customWidth="1"/>
    <col min="9" max="9" width="9.7109375" style="1" customWidth="1"/>
    <col min="10" max="10" width="9.28515625" style="1" customWidth="1"/>
    <col min="11" max="11" width="14.140625" style="1" customWidth="1"/>
    <col min="12" max="12" width="20" style="1" customWidth="1"/>
    <col min="13" max="16" width="8.7109375" style="1"/>
    <col min="17" max="17" width="9.85546875" style="1" customWidth="1"/>
    <col min="18" max="18" width="9.28515625" style="1" customWidth="1"/>
    <col min="19" max="19" width="8.7109375" style="1"/>
    <col min="20" max="20" width="10.42578125" style="1" customWidth="1"/>
    <col min="21" max="21" width="13.140625" style="1" customWidth="1"/>
    <col min="22" max="22" width="9.7109375" style="1" customWidth="1"/>
    <col min="23" max="23" width="9.28515625" style="1" customWidth="1"/>
    <col min="24" max="24" width="14.140625" style="1" customWidth="1"/>
    <col min="25" max="25" width="20" style="1" customWidth="1"/>
    <col min="26" max="16384" width="8.7109375" style="1"/>
  </cols>
  <sheetData>
    <row r="2" spans="2:18" ht="15" customHeight="1" x14ac:dyDescent="0.25">
      <c r="B2" s="8" t="s">
        <v>47</v>
      </c>
      <c r="O2" s="8" t="s">
        <v>47</v>
      </c>
    </row>
    <row r="3" spans="2:18" ht="15" customHeight="1" x14ac:dyDescent="0.25">
      <c r="B3" s="8"/>
    </row>
    <row r="4" spans="2:18" ht="15" customHeight="1" x14ac:dyDescent="0.25">
      <c r="C4" s="18" t="s">
        <v>46</v>
      </c>
    </row>
    <row r="5" spans="2:18" ht="15.75" customHeight="1" thickBot="1" x14ac:dyDescent="0.3">
      <c r="C5" s="15"/>
      <c r="E5" s="15"/>
    </row>
    <row r="6" spans="2:18" ht="15.75" customHeight="1" thickBot="1" x14ac:dyDescent="0.3">
      <c r="C6" s="1" t="s">
        <v>45</v>
      </c>
      <c r="D6" s="16" t="s">
        <v>92</v>
      </c>
      <c r="P6" s="1" t="s">
        <v>51</v>
      </c>
      <c r="Q6" s="4" t="str">
        <f>D6</f>
        <v>7.2026</v>
      </c>
    </row>
    <row r="7" spans="2:18" ht="15.75" customHeight="1" thickBot="1" x14ac:dyDescent="0.3">
      <c r="C7" s="1" t="s">
        <v>44</v>
      </c>
      <c r="D7" s="13" t="s">
        <v>43</v>
      </c>
      <c r="E7" s="1" t="s">
        <v>1</v>
      </c>
      <c r="P7" s="1" t="s">
        <v>52</v>
      </c>
      <c r="Q7" s="4" t="str">
        <f>D7</f>
        <v>CHIRIACESCU DIANA-ELENA</v>
      </c>
    </row>
    <row r="8" spans="2:18" ht="15" customHeight="1" x14ac:dyDescent="0.25">
      <c r="C8" s="15"/>
      <c r="E8" s="15"/>
    </row>
    <row r="9" spans="2:18" ht="15" customHeight="1" x14ac:dyDescent="0.25">
      <c r="E9" s="14" t="s">
        <v>42</v>
      </c>
      <c r="R9" s="14" t="s">
        <v>42</v>
      </c>
    </row>
    <row r="10" spans="2:18" ht="15.75" customHeight="1" thickBot="1" x14ac:dyDescent="0.3"/>
    <row r="11" spans="2:18" ht="15.75" customHeight="1" thickBot="1" x14ac:dyDescent="0.3">
      <c r="C11" s="1" t="s">
        <v>53</v>
      </c>
      <c r="E11" s="13">
        <v>24610</v>
      </c>
      <c r="P11" s="1" t="s">
        <v>54</v>
      </c>
      <c r="R11" s="4">
        <f>E11</f>
        <v>24610</v>
      </c>
    </row>
    <row r="12" spans="2:18" ht="15.75" customHeight="1" thickBot="1" x14ac:dyDescent="0.3">
      <c r="C12" s="1" t="s">
        <v>41</v>
      </c>
      <c r="E12" s="13">
        <v>690</v>
      </c>
      <c r="P12" s="1" t="s">
        <v>55</v>
      </c>
      <c r="R12" s="4">
        <f>E12</f>
        <v>690</v>
      </c>
    </row>
    <row r="13" spans="2:18" ht="15.75" customHeight="1" thickBot="1" x14ac:dyDescent="0.3">
      <c r="C13" s="1" t="s">
        <v>40</v>
      </c>
      <c r="E13" s="13">
        <v>0</v>
      </c>
      <c r="P13" s="1" t="s">
        <v>56</v>
      </c>
      <c r="R13" s="4">
        <f>E13</f>
        <v>0</v>
      </c>
    </row>
    <row r="15" spans="2:18" ht="15" customHeight="1" x14ac:dyDescent="0.25">
      <c r="B15" s="8" t="s">
        <v>39</v>
      </c>
      <c r="O15" s="8" t="s">
        <v>57</v>
      </c>
    </row>
    <row r="17" spans="2:18" ht="15" customHeight="1" x14ac:dyDescent="0.25">
      <c r="C17" s="1" t="s">
        <v>6</v>
      </c>
      <c r="D17" s="1">
        <v>0.25</v>
      </c>
      <c r="E17" s="4">
        <f>ROUND(E11*D17,0)</f>
        <v>6153</v>
      </c>
      <c r="P17" s="1" t="s">
        <v>58</v>
      </c>
      <c r="Q17" s="1">
        <f>D17</f>
        <v>0.25</v>
      </c>
      <c r="R17" s="4">
        <f>ROUND(R11*Q17,0)</f>
        <v>6153</v>
      </c>
    </row>
    <row r="18" spans="2:18" ht="15" customHeight="1" x14ac:dyDescent="0.25">
      <c r="C18" s="1" t="s">
        <v>5</v>
      </c>
      <c r="D18" s="1">
        <v>0.1</v>
      </c>
      <c r="E18" s="4">
        <f>ROUND((E11+E12)*D18,0)</f>
        <v>2530</v>
      </c>
      <c r="P18" s="1" t="s">
        <v>59</v>
      </c>
      <c r="Q18" s="1">
        <f>D18</f>
        <v>0.1</v>
      </c>
      <c r="R18" s="4">
        <f>ROUND((R11+R12)*Q18,0)</f>
        <v>2530</v>
      </c>
    </row>
    <row r="19" spans="2:18" ht="15" customHeight="1" x14ac:dyDescent="0.25">
      <c r="C19" s="1" t="s">
        <v>38</v>
      </c>
      <c r="E19" s="4">
        <f>E11-E17-E18</f>
        <v>15927</v>
      </c>
      <c r="P19" s="1" t="s">
        <v>60</v>
      </c>
      <c r="R19" s="4">
        <f>R11-R17-R18</f>
        <v>15927</v>
      </c>
    </row>
    <row r="20" spans="2:18" ht="15" customHeight="1" x14ac:dyDescent="0.25">
      <c r="C20" s="1" t="s">
        <v>3</v>
      </c>
      <c r="D20" s="1">
        <v>0.1</v>
      </c>
      <c r="E20" s="4">
        <f>ROUND((E19+E12)*D20,0)</f>
        <v>1662</v>
      </c>
      <c r="P20" s="1" t="s">
        <v>61</v>
      </c>
      <c r="Q20" s="1">
        <f>D20</f>
        <v>0.1</v>
      </c>
      <c r="R20" s="4">
        <f>ROUND((R19+R12)*Q20,0)</f>
        <v>1662</v>
      </c>
    </row>
    <row r="21" spans="2:18" ht="15" customHeight="1" x14ac:dyDescent="0.25">
      <c r="C21" s="1" t="s">
        <v>37</v>
      </c>
      <c r="E21" s="4">
        <f>E19-E20</f>
        <v>14265</v>
      </c>
      <c r="P21" s="1" t="s">
        <v>62</v>
      </c>
      <c r="R21" s="4">
        <f>R19-R20</f>
        <v>14265</v>
      </c>
    </row>
    <row r="22" spans="2:18" ht="15" customHeight="1" x14ac:dyDescent="0.25">
      <c r="C22" s="1" t="s">
        <v>36</v>
      </c>
      <c r="E22" s="4">
        <f>E21-E13</f>
        <v>14265</v>
      </c>
      <c r="P22" s="1" t="s">
        <v>63</v>
      </c>
      <c r="R22" s="4">
        <f>R21-R13</f>
        <v>14265</v>
      </c>
    </row>
    <row r="24" spans="2:18" ht="15" customHeight="1" x14ac:dyDescent="0.25">
      <c r="C24" s="1" t="s">
        <v>4</v>
      </c>
      <c r="D24" s="1">
        <v>2.2499999999999999E-2</v>
      </c>
      <c r="E24" s="4">
        <f>ROUND(E11*D24,0)</f>
        <v>554</v>
      </c>
      <c r="P24" s="1" t="s">
        <v>64</v>
      </c>
      <c r="Q24" s="1">
        <f>D24</f>
        <v>2.2499999999999999E-2</v>
      </c>
      <c r="R24" s="4">
        <f>ROUND(R11*Q24,0)</f>
        <v>554</v>
      </c>
    </row>
    <row r="26" spans="2:18" ht="15" customHeight="1" x14ac:dyDescent="0.25">
      <c r="C26" s="3" t="s">
        <v>35</v>
      </c>
      <c r="D26" s="3" t="str">
        <f>" - "&amp;D6&amp;" - "&amp;D7</f>
        <v xml:space="preserve"> - 7.2026 - CHIRIACESCU DIANA-ELENA</v>
      </c>
      <c r="E26" s="1" t="s">
        <v>1</v>
      </c>
      <c r="P26" s="3" t="s">
        <v>65</v>
      </c>
      <c r="Q26" s="3" t="str">
        <f>" - "&amp;Q6&amp;" - "&amp;Q7</f>
        <v xml:space="preserve"> - 7.2026 - CHIRIACESCU DIANA-ELENA</v>
      </c>
    </row>
    <row r="29" spans="2:18" ht="15" customHeight="1" x14ac:dyDescent="0.25">
      <c r="B29" s="8" t="s">
        <v>34</v>
      </c>
      <c r="O29" s="8" t="s">
        <v>66</v>
      </c>
    </row>
    <row r="30" spans="2:18" ht="15" customHeight="1" x14ac:dyDescent="0.25">
      <c r="B30" s="8"/>
    </row>
    <row r="31" spans="2:18" ht="15" customHeight="1" x14ac:dyDescent="0.25">
      <c r="C31" s="8" t="s">
        <v>27</v>
      </c>
      <c r="P31" s="8" t="s">
        <v>67</v>
      </c>
    </row>
    <row r="32" spans="2:18" ht="15" customHeight="1" x14ac:dyDescent="0.25">
      <c r="C32" s="8"/>
    </row>
    <row r="33" spans="3:25" ht="15" customHeight="1" x14ac:dyDescent="0.25">
      <c r="C33" s="8"/>
      <c r="D33" s="3" t="s">
        <v>33</v>
      </c>
      <c r="Q33" s="3" t="s">
        <v>68</v>
      </c>
    </row>
    <row r="34" spans="3:25" ht="15.75" customHeight="1" thickBot="1" x14ac:dyDescent="0.3">
      <c r="C34" s="8"/>
    </row>
    <row r="35" spans="3:25" ht="18" customHeight="1" thickBot="1" x14ac:dyDescent="0.3">
      <c r="C35" s="8"/>
      <c r="G35" s="17" t="s">
        <v>9</v>
      </c>
      <c r="H35" s="17"/>
      <c r="I35" s="17"/>
      <c r="J35" s="17" t="s">
        <v>8</v>
      </c>
      <c r="K35" s="17"/>
      <c r="L35" s="17"/>
      <c r="T35" s="17" t="s">
        <v>9</v>
      </c>
      <c r="U35" s="17"/>
      <c r="V35" s="17"/>
      <c r="W35" s="17" t="s">
        <v>8</v>
      </c>
      <c r="X35" s="17"/>
      <c r="Y35" s="17"/>
    </row>
    <row r="36" spans="3:25" ht="15" customHeight="1" x14ac:dyDescent="0.25">
      <c r="C36" s="8"/>
    </row>
    <row r="37" spans="3:25" ht="15" customHeight="1" x14ac:dyDescent="0.25">
      <c r="C37" s="8"/>
      <c r="G37" s="10" t="s">
        <v>15</v>
      </c>
      <c r="H37" s="10" t="s">
        <v>14</v>
      </c>
      <c r="I37" s="10" t="s">
        <v>13</v>
      </c>
      <c r="J37" s="10" t="s">
        <v>15</v>
      </c>
      <c r="K37" s="10" t="s">
        <v>14</v>
      </c>
      <c r="L37" s="10" t="s">
        <v>13</v>
      </c>
      <c r="T37" s="10" t="s">
        <v>69</v>
      </c>
      <c r="U37" s="10" t="s">
        <v>70</v>
      </c>
      <c r="V37" s="10" t="s">
        <v>71</v>
      </c>
      <c r="W37" s="10" t="s">
        <v>69</v>
      </c>
      <c r="X37" s="10" t="s">
        <v>70</v>
      </c>
      <c r="Y37" s="10" t="s">
        <v>71</v>
      </c>
    </row>
    <row r="38" spans="3:25" ht="15" customHeight="1" x14ac:dyDescent="0.25">
      <c r="C38" s="8"/>
    </row>
    <row r="39" spans="3:25" ht="15.75" customHeight="1" thickBot="1" x14ac:dyDescent="0.3">
      <c r="F39" s="8"/>
    </row>
    <row r="40" spans="3:25" ht="15.75" customHeight="1" thickBot="1" x14ac:dyDescent="0.3">
      <c r="G40" s="5">
        <v>5328</v>
      </c>
      <c r="H40" s="12" t="s">
        <v>30</v>
      </c>
      <c r="I40" s="4" t="s">
        <v>32</v>
      </c>
      <c r="J40" s="6" t="s">
        <v>31</v>
      </c>
      <c r="K40" s="12" t="s">
        <v>30</v>
      </c>
      <c r="L40" s="4" t="s">
        <v>29</v>
      </c>
      <c r="M40" s="4" t="s">
        <v>1</v>
      </c>
      <c r="T40" s="5">
        <v>5328</v>
      </c>
      <c r="U40" s="12" t="s">
        <v>72</v>
      </c>
      <c r="V40" s="4" t="s">
        <v>73</v>
      </c>
      <c r="W40" s="6" t="s">
        <v>31</v>
      </c>
      <c r="X40" s="12" t="s">
        <v>72</v>
      </c>
      <c r="Y40" s="4" t="s">
        <v>74</v>
      </c>
    </row>
    <row r="41" spans="3:25" ht="15" customHeight="1" x14ac:dyDescent="0.25">
      <c r="C41" s="8"/>
    </row>
    <row r="42" spans="3:25" ht="15.75" customHeight="1" x14ac:dyDescent="0.25">
      <c r="C42" s="8" t="s">
        <v>18</v>
      </c>
      <c r="P42" s="8" t="s">
        <v>75</v>
      </c>
    </row>
    <row r="44" spans="3:25" ht="15" customHeight="1" x14ac:dyDescent="0.25">
      <c r="C44" s="8"/>
      <c r="D44" s="3" t="str">
        <f>"Aferente "&amp;D6&amp;", de inregistrat in "&amp;D6&amp;"."</f>
        <v>Aferente 7.2026, de inregistrat in 7.2026.</v>
      </c>
      <c r="Q44" s="3" t="str">
        <f>"Related to "&amp;Q6&amp;", to be recorded in "&amp;Q6&amp;"."</f>
        <v>Related to 7.2026, to be recorded in 7.2026.</v>
      </c>
    </row>
    <row r="45" spans="3:25" ht="15.75" customHeight="1" x14ac:dyDescent="0.25"/>
    <row r="46" spans="3:25" ht="15.75" customHeight="1" x14ac:dyDescent="0.25">
      <c r="D46" s="3" t="s">
        <v>17</v>
      </c>
      <c r="Q46" s="3" t="s">
        <v>76</v>
      </c>
    </row>
    <row r="48" spans="3:25" ht="15" customHeight="1" x14ac:dyDescent="0.25">
      <c r="E48" s="8" t="s">
        <v>16</v>
      </c>
      <c r="R48" s="8" t="s">
        <v>77</v>
      </c>
    </row>
    <row r="49" spans="5:25" ht="15" customHeight="1" thickBot="1" x14ac:dyDescent="0.3">
      <c r="G49" s="8"/>
      <c r="H49" s="8"/>
      <c r="I49" s="8"/>
      <c r="J49" s="8"/>
      <c r="K49" s="8"/>
      <c r="L49" s="8"/>
    </row>
    <row r="50" spans="5:25" ht="17.25" customHeight="1" thickBot="1" x14ac:dyDescent="0.3">
      <c r="G50" s="17" t="s">
        <v>9</v>
      </c>
      <c r="H50" s="17"/>
      <c r="I50" s="17"/>
      <c r="J50" s="17" t="s">
        <v>8</v>
      </c>
      <c r="K50" s="17"/>
      <c r="L50" s="17"/>
      <c r="T50" s="17" t="s">
        <v>9</v>
      </c>
      <c r="U50" s="17"/>
      <c r="V50" s="17"/>
      <c r="W50" s="17" t="s">
        <v>8</v>
      </c>
      <c r="X50" s="17"/>
      <c r="Y50" s="17"/>
    </row>
    <row r="51" spans="5:25" ht="15" customHeight="1" x14ac:dyDescent="0.25">
      <c r="G51" s="8"/>
      <c r="H51" s="8"/>
      <c r="I51" s="8"/>
      <c r="J51" s="8"/>
      <c r="K51" s="8"/>
      <c r="L51" s="8"/>
    </row>
    <row r="52" spans="5:25" ht="15.75" customHeight="1" x14ac:dyDescent="0.25">
      <c r="G52" s="10" t="s">
        <v>15</v>
      </c>
      <c r="H52" s="10" t="s">
        <v>14</v>
      </c>
      <c r="I52" s="10" t="s">
        <v>13</v>
      </c>
      <c r="J52" s="10" t="s">
        <v>15</v>
      </c>
      <c r="K52" s="10" t="s">
        <v>14</v>
      </c>
      <c r="L52" s="10" t="s">
        <v>13</v>
      </c>
      <c r="T52" s="10" t="s">
        <v>69</v>
      </c>
      <c r="U52" s="10" t="s">
        <v>70</v>
      </c>
      <c r="V52" s="10" t="s">
        <v>71</v>
      </c>
      <c r="W52" s="10" t="s">
        <v>69</v>
      </c>
      <c r="X52" s="10" t="s">
        <v>70</v>
      </c>
      <c r="Y52" s="10" t="s">
        <v>71</v>
      </c>
    </row>
    <row r="53" spans="5:25" ht="15.75" customHeight="1" x14ac:dyDescent="0.25"/>
    <row r="54" spans="5:25" ht="15.75" customHeight="1" thickBot="1" x14ac:dyDescent="0.3">
      <c r="F54" s="8" t="s">
        <v>28</v>
      </c>
      <c r="M54" s="1" t="s">
        <v>1</v>
      </c>
      <c r="S54" s="8" t="s">
        <v>78</v>
      </c>
    </row>
    <row r="55" spans="5:25" ht="15" customHeight="1" thickBot="1" x14ac:dyDescent="0.3">
      <c r="G55" s="6">
        <v>425</v>
      </c>
      <c r="H55" s="4">
        <f>E13</f>
        <v>0</v>
      </c>
      <c r="I55" s="4" t="str">
        <f>"Avans acordat personalului"&amp;D26</f>
        <v>Avans acordat personalului - 7.2026 - CHIRIACESCU DIANA-ELENA</v>
      </c>
      <c r="J55" s="5">
        <v>5121</v>
      </c>
      <c r="K55" s="4">
        <f>E13</f>
        <v>0</v>
      </c>
      <c r="L55" s="4" t="str">
        <f>"Plata avans personal din banca"&amp;D26</f>
        <v>Plata avans personal din banca - 7.2026 - CHIRIACESCU DIANA-ELENA</v>
      </c>
      <c r="M55" s="1" t="s">
        <v>1</v>
      </c>
      <c r="T55" s="6">
        <v>425</v>
      </c>
      <c r="U55" s="4">
        <f>R13</f>
        <v>0</v>
      </c>
      <c r="V55" s="4" t="str">
        <f>"Advance granted to employee"&amp;Q26</f>
        <v>Advance granted to employee - 7.2026 - CHIRIACESCU DIANA-ELENA</v>
      </c>
      <c r="W55" s="5">
        <v>5121</v>
      </c>
      <c r="X55" s="4">
        <f>R13</f>
        <v>0</v>
      </c>
      <c r="Y55" s="4" t="str">
        <f>"Payment of employee advance from bank"&amp;Q26</f>
        <v>Payment of employee advance from bank - 7.2026 - CHIRIACESCU DIANA-ELENA</v>
      </c>
    </row>
    <row r="56" spans="5:25" ht="15" customHeight="1" x14ac:dyDescent="0.25">
      <c r="H56" s="4"/>
      <c r="I56" s="4"/>
      <c r="K56" s="4"/>
      <c r="L56" s="4"/>
      <c r="M56" s="1" t="s">
        <v>1</v>
      </c>
    </row>
    <row r="58" spans="5:25" ht="15" customHeight="1" x14ac:dyDescent="0.25">
      <c r="E58" s="8" t="s">
        <v>10</v>
      </c>
      <c r="R58" s="8" t="s">
        <v>79</v>
      </c>
    </row>
    <row r="60" spans="5:25" ht="15" customHeight="1" x14ac:dyDescent="0.25">
      <c r="H60" s="7" t="s">
        <v>9</v>
      </c>
      <c r="I60" s="7" t="s">
        <v>8</v>
      </c>
      <c r="U60" s="7" t="s">
        <v>9</v>
      </c>
      <c r="V60" s="7" t="s">
        <v>8</v>
      </c>
    </row>
    <row r="62" spans="5:25" ht="15" customHeight="1" thickBot="1" x14ac:dyDescent="0.3">
      <c r="F62" s="6">
        <v>425</v>
      </c>
      <c r="G62" s="1" t="s">
        <v>23</v>
      </c>
      <c r="H62" s="4">
        <f>SUM(H55:H55)</f>
        <v>0</v>
      </c>
      <c r="I62" s="4"/>
      <c r="S62" s="6">
        <v>425</v>
      </c>
      <c r="T62" s="1" t="s">
        <v>80</v>
      </c>
      <c r="U62" s="4">
        <f>SUM(U55:U55)</f>
        <v>0</v>
      </c>
    </row>
    <row r="63" spans="5:25" ht="15" customHeight="1" thickBot="1" x14ac:dyDescent="0.3">
      <c r="F63" s="5">
        <v>5121</v>
      </c>
      <c r="G63" s="1" t="s">
        <v>2</v>
      </c>
      <c r="H63" s="1" t="s">
        <v>1</v>
      </c>
      <c r="I63" s="4">
        <f>K55</f>
        <v>0</v>
      </c>
      <c r="S63" s="5">
        <v>5121</v>
      </c>
      <c r="T63" s="1" t="s">
        <v>81</v>
      </c>
      <c r="U63" s="1" t="s">
        <v>1</v>
      </c>
      <c r="V63" s="4">
        <f>X55</f>
        <v>0</v>
      </c>
    </row>
    <row r="64" spans="5:25" ht="15.75" customHeight="1" x14ac:dyDescent="0.25"/>
    <row r="65" spans="3:26" ht="18" customHeight="1" x14ac:dyDescent="0.25">
      <c r="G65" s="3" t="s">
        <v>0</v>
      </c>
      <c r="H65" s="1">
        <f>SUM(H62:H63)</f>
        <v>0</v>
      </c>
      <c r="I65" s="1">
        <f>SUM(I62:I63)</f>
        <v>0</v>
      </c>
      <c r="J65" s="2">
        <f>H65-I65</f>
        <v>0</v>
      </c>
      <c r="T65" s="3" t="s">
        <v>0</v>
      </c>
      <c r="U65" s="1">
        <f>SUM(U62:U63)</f>
        <v>0</v>
      </c>
      <c r="V65" s="1">
        <f>SUM(V62:V63)</f>
        <v>0</v>
      </c>
      <c r="W65" s="2">
        <f>U65-V65</f>
        <v>0</v>
      </c>
    </row>
    <row r="66" spans="3:26" ht="15" customHeight="1" x14ac:dyDescent="0.25">
      <c r="C66" s="8"/>
    </row>
    <row r="67" spans="3:26" ht="15" customHeight="1" x14ac:dyDescent="0.25">
      <c r="C67" s="8" t="s">
        <v>27</v>
      </c>
      <c r="P67" s="8" t="s">
        <v>67</v>
      </c>
    </row>
    <row r="68" spans="3:26" ht="15" customHeight="1" x14ac:dyDescent="0.25">
      <c r="C68" s="8"/>
    </row>
    <row r="69" spans="3:26" ht="15" customHeight="1" x14ac:dyDescent="0.25">
      <c r="D69" s="3" t="str">
        <f>"Aferente "&amp;D6&amp;", de inregistrat in "&amp;D6&amp;"."</f>
        <v>Aferente 7.2026, de inregistrat in 7.2026.</v>
      </c>
      <c r="Q69" s="3" t="str">
        <f>"Related to "&amp;Q6&amp;", to be recorded in "&amp;Q6&amp;"."</f>
        <v>Related to 7.2026, to be recorded in 7.2026.</v>
      </c>
    </row>
    <row r="70" spans="3:26" ht="15" customHeight="1" x14ac:dyDescent="0.25">
      <c r="D70" s="3"/>
    </row>
    <row r="71" spans="3:26" ht="15" customHeight="1" x14ac:dyDescent="0.25">
      <c r="D71" s="3" t="s">
        <v>26</v>
      </c>
      <c r="Q71" s="3" t="s">
        <v>82</v>
      </c>
    </row>
    <row r="73" spans="3:26" ht="15" customHeight="1" x14ac:dyDescent="0.25">
      <c r="E73" s="8" t="s">
        <v>16</v>
      </c>
      <c r="R73" s="8" t="s">
        <v>77</v>
      </c>
    </row>
    <row r="74" spans="3:26" ht="15.75" customHeight="1" thickBot="1" x14ac:dyDescent="0.3">
      <c r="E74" s="8"/>
    </row>
    <row r="75" spans="3:26" ht="18" customHeight="1" thickBot="1" x14ac:dyDescent="0.3">
      <c r="G75" s="17" t="s">
        <v>9</v>
      </c>
      <c r="H75" s="17"/>
      <c r="I75" s="17"/>
      <c r="J75" s="17" t="s">
        <v>8</v>
      </c>
      <c r="K75" s="17"/>
      <c r="L75" s="17"/>
      <c r="T75" s="17" t="s">
        <v>9</v>
      </c>
      <c r="U75" s="17"/>
      <c r="V75" s="17"/>
      <c r="W75" s="17" t="s">
        <v>8</v>
      </c>
      <c r="X75" s="17"/>
      <c r="Y75" s="17"/>
    </row>
    <row r="77" spans="3:26" ht="15" customHeight="1" x14ac:dyDescent="0.25">
      <c r="G77" s="10" t="s">
        <v>15</v>
      </c>
      <c r="H77" s="10" t="s">
        <v>14</v>
      </c>
      <c r="I77" s="10" t="s">
        <v>13</v>
      </c>
      <c r="J77" s="10" t="s">
        <v>15</v>
      </c>
      <c r="K77" s="10" t="s">
        <v>14</v>
      </c>
      <c r="L77" s="10" t="s">
        <v>13</v>
      </c>
      <c r="T77" s="10" t="s">
        <v>69</v>
      </c>
      <c r="U77" s="10" t="s">
        <v>70</v>
      </c>
      <c r="V77" s="10" t="s">
        <v>71</v>
      </c>
      <c r="W77" s="10" t="s">
        <v>69</v>
      </c>
      <c r="X77" s="10" t="s">
        <v>70</v>
      </c>
      <c r="Y77" s="10" t="s">
        <v>71</v>
      </c>
    </row>
    <row r="79" spans="3:26" ht="15.75" customHeight="1" thickBot="1" x14ac:dyDescent="0.3">
      <c r="F79" s="8" t="s">
        <v>25</v>
      </c>
      <c r="S79" s="8" t="s">
        <v>83</v>
      </c>
    </row>
    <row r="80" spans="3:26" ht="15.75" customHeight="1" thickBot="1" x14ac:dyDescent="0.3">
      <c r="G80" s="6">
        <v>421</v>
      </c>
      <c r="H80" s="4">
        <f>E13</f>
        <v>0</v>
      </c>
      <c r="I80" s="4" t="str">
        <f>"Diminuare datorie salariala cu avansul acordat"&amp;D26</f>
        <v>Diminuare datorie salariala cu avansul acordat - 7.2026 - CHIRIACESCU DIANA-ELENA</v>
      </c>
      <c r="J80" s="6">
        <v>425</v>
      </c>
      <c r="K80" s="4">
        <f>H80</f>
        <v>0</v>
      </c>
      <c r="L80" s="4" t="str">
        <f>"Inchidere avans acordat personalului"&amp;D26</f>
        <v>Inchidere avans acordat personalului - 7.2026 - CHIRIACESCU DIANA-ELENA</v>
      </c>
      <c r="T80" s="6">
        <v>421</v>
      </c>
      <c r="U80" s="4">
        <f>R13</f>
        <v>0</v>
      </c>
      <c r="V80" s="4" t="str">
        <f>"Reduction of payroll liability by the advance granted"&amp;Q26</f>
        <v>Reduction of payroll liability by the advance granted - 7.2026 - CHIRIACESCU DIANA-ELENA</v>
      </c>
      <c r="W80" s="6">
        <v>425</v>
      </c>
      <c r="X80" s="4">
        <f>U80</f>
        <v>0</v>
      </c>
      <c r="Y80" s="4" t="str">
        <f>"Clearing of advance granted to employee"&amp;Q26</f>
        <v>Clearing of advance granted to employee - 7.2026 - CHIRIACESCU DIANA-ELENA</v>
      </c>
      <c r="Z80" s="1" t="s">
        <v>1</v>
      </c>
    </row>
    <row r="82" spans="5:26" ht="15.75" customHeight="1" thickBot="1" x14ac:dyDescent="0.3">
      <c r="F82" s="8" t="s">
        <v>12</v>
      </c>
      <c r="M82" s="1" t="s">
        <v>1</v>
      </c>
      <c r="S82" s="8" t="s">
        <v>84</v>
      </c>
    </row>
    <row r="83" spans="5:26" ht="15.75" customHeight="1" thickBot="1" x14ac:dyDescent="0.3">
      <c r="G83" s="11">
        <v>641</v>
      </c>
      <c r="H83" s="4">
        <f>E11</f>
        <v>24610</v>
      </c>
      <c r="I83" s="4" t="str">
        <f>"Cheltuieli cu salariile"&amp;D26</f>
        <v>Cheltuieli cu salariile - 7.2026 - CHIRIACESCU DIANA-ELENA</v>
      </c>
      <c r="J83" s="6">
        <v>421</v>
      </c>
      <c r="K83" s="4">
        <f>H83</f>
        <v>24610</v>
      </c>
      <c r="L83" s="4" t="str">
        <f>"Salarii brute datorate personalului"&amp;D26</f>
        <v>Salarii brute datorate personalului - 7.2026 - CHIRIACESCU DIANA-ELENA</v>
      </c>
      <c r="M83" s="1" t="s">
        <v>1</v>
      </c>
      <c r="T83" s="11">
        <v>641</v>
      </c>
      <c r="U83" s="4">
        <f>R11</f>
        <v>24610</v>
      </c>
      <c r="V83" s="4" t="str">
        <f>"Wages and salaries expense"&amp;Q26</f>
        <v>Wages and salaries expense - 7.2026 - CHIRIACESCU DIANA-ELENA</v>
      </c>
      <c r="W83" s="6">
        <v>421</v>
      </c>
      <c r="X83" s="4">
        <f>U83</f>
        <v>24610</v>
      </c>
      <c r="Y83" s="4" t="str">
        <f>"Gross wages payable to employee"&amp;Q26</f>
        <v>Gross wages payable to employee - 7.2026 - CHIRIACESCU DIANA-ELENA</v>
      </c>
      <c r="Z83" s="1" t="s">
        <v>1</v>
      </c>
    </row>
    <row r="84" spans="5:26" ht="15.75" customHeight="1" x14ac:dyDescent="0.25"/>
    <row r="85" spans="5:26" ht="15.75" customHeight="1" thickBot="1" x14ac:dyDescent="0.3">
      <c r="F85" s="8" t="s">
        <v>11</v>
      </c>
      <c r="I85" s="4"/>
      <c r="L85" s="4"/>
      <c r="M85" s="1" t="s">
        <v>1</v>
      </c>
      <c r="S85" s="8" t="s">
        <v>85</v>
      </c>
    </row>
    <row r="86" spans="5:26" ht="15.75" customHeight="1" thickBot="1" x14ac:dyDescent="0.3">
      <c r="G86" s="6">
        <v>421</v>
      </c>
      <c r="H86" s="4">
        <f>SUM(K86:K88)</f>
        <v>10345</v>
      </c>
      <c r="I86" s="4" t="str">
        <f>"Retineri din salariu: CAS, CASS, impozit"&amp;D26</f>
        <v>Retineri din salariu: CAS, CASS, impozit - 7.2026 - CHIRIACESCU DIANA-ELENA</v>
      </c>
      <c r="J86" s="6">
        <v>4315</v>
      </c>
      <c r="K86" s="4">
        <f>E17</f>
        <v>6153</v>
      </c>
      <c r="L86" s="4" t="str">
        <f>"CAS retinut, datorat bugetului"&amp;D26</f>
        <v>CAS retinut, datorat bugetului - 7.2026 - CHIRIACESCU DIANA-ELENA</v>
      </c>
      <c r="M86" s="1" t="s">
        <v>1</v>
      </c>
      <c r="T86" s="6">
        <v>421</v>
      </c>
      <c r="U86" s="4">
        <f>SUM(X86:X88)</f>
        <v>10345</v>
      </c>
      <c r="V86" s="4" t="str">
        <f>"Payroll withholdings: CAS, CASS, income tax"&amp;Q26</f>
        <v>Payroll withholdings: CAS, CASS, income tax - 7.2026 - CHIRIACESCU DIANA-ELENA</v>
      </c>
      <c r="W86" s="6">
        <v>4315</v>
      </c>
      <c r="X86" s="4">
        <f>R17</f>
        <v>6153</v>
      </c>
      <c r="Y86" s="4" t="str">
        <f>"CAS withheld, payable to the state budget"&amp;Q26</f>
        <v>CAS withheld, payable to the state budget - 7.2026 - CHIRIACESCU DIANA-ELENA</v>
      </c>
      <c r="Z86" s="1" t="s">
        <v>1</v>
      </c>
    </row>
    <row r="87" spans="5:26" ht="15.75" customHeight="1" thickBot="1" x14ac:dyDescent="0.3">
      <c r="I87" s="4"/>
      <c r="J87" s="6">
        <v>4316</v>
      </c>
      <c r="K87" s="4">
        <f>E18</f>
        <v>2530</v>
      </c>
      <c r="L87" s="4" t="str">
        <f>"CASS retinut, datorat bugetului"&amp;D26</f>
        <v>CASS retinut, datorat bugetului - 7.2026 - CHIRIACESCU DIANA-ELENA</v>
      </c>
      <c r="M87" s="1" t="s">
        <v>1</v>
      </c>
      <c r="W87" s="6">
        <v>4316</v>
      </c>
      <c r="X87" s="4">
        <f>R18</f>
        <v>2530</v>
      </c>
      <c r="Y87" s="4" t="str">
        <f>"CASS withheld, payable to the state budget"&amp;Q26</f>
        <v>CASS withheld, payable to the state budget - 7.2026 - CHIRIACESCU DIANA-ELENA</v>
      </c>
      <c r="Z87" s="1" t="s">
        <v>1</v>
      </c>
    </row>
    <row r="88" spans="5:26" ht="15.75" customHeight="1" thickBot="1" x14ac:dyDescent="0.3">
      <c r="I88" s="4"/>
      <c r="J88" s="6">
        <v>444</v>
      </c>
      <c r="K88" s="4">
        <f>E20</f>
        <v>1662</v>
      </c>
      <c r="L88" s="4" t="str">
        <f>"Impozit pe venit retinut, datorat bugetului"&amp;D26</f>
        <v>Impozit pe venit retinut, datorat bugetului - 7.2026 - CHIRIACESCU DIANA-ELENA</v>
      </c>
      <c r="M88" s="1" t="s">
        <v>1</v>
      </c>
      <c r="W88" s="6">
        <v>444</v>
      </c>
      <c r="X88" s="4">
        <f>R20</f>
        <v>1662</v>
      </c>
      <c r="Y88" s="4" t="str">
        <f>"Income tax withheld, payable to the state budget"&amp;Q26</f>
        <v>Income tax withheld, payable to the state budget - 7.2026 - CHIRIACESCU DIANA-ELENA</v>
      </c>
      <c r="Z88" s="1" t="s">
        <v>1</v>
      </c>
    </row>
    <row r="89" spans="5:26" ht="15" customHeight="1" x14ac:dyDescent="0.25">
      <c r="I89" s="4"/>
      <c r="L89" s="4"/>
      <c r="M89" s="1" t="s">
        <v>1</v>
      </c>
    </row>
    <row r="90" spans="5:26" ht="15.75" customHeight="1" thickBot="1" x14ac:dyDescent="0.3">
      <c r="F90" s="8" t="s">
        <v>4</v>
      </c>
      <c r="I90" s="4"/>
      <c r="L90" s="4"/>
      <c r="M90" s="1" t="s">
        <v>1</v>
      </c>
      <c r="S90" s="8" t="s">
        <v>64</v>
      </c>
    </row>
    <row r="91" spans="5:26" ht="15.75" customHeight="1" thickBot="1" x14ac:dyDescent="0.3">
      <c r="G91" s="11">
        <v>646</v>
      </c>
      <c r="H91" s="4">
        <f>E24</f>
        <v>554</v>
      </c>
      <c r="I91" s="4" t="str">
        <f>"Cheltuieli cu CAM"&amp;D26</f>
        <v>Cheltuieli cu CAM - 7.2026 - CHIRIACESCU DIANA-ELENA</v>
      </c>
      <c r="J91" s="6">
        <v>436</v>
      </c>
      <c r="K91" s="4">
        <f>E24</f>
        <v>554</v>
      </c>
      <c r="L91" s="4" t="str">
        <f>"CAM datorata bugetului"&amp;D26</f>
        <v>CAM datorata bugetului - 7.2026 - CHIRIACESCU DIANA-ELENA</v>
      </c>
      <c r="M91" s="1" t="s">
        <v>1</v>
      </c>
      <c r="T91" s="11">
        <v>646</v>
      </c>
      <c r="U91" s="4">
        <f>R24</f>
        <v>554</v>
      </c>
      <c r="V91" s="4" t="str">
        <f>"CAM expense"&amp;Q26</f>
        <v>CAM expense - 7.2026 - CHIRIACESCU DIANA-ELENA</v>
      </c>
      <c r="W91" s="6">
        <v>436</v>
      </c>
      <c r="X91" s="4">
        <f>R24</f>
        <v>554</v>
      </c>
      <c r="Y91" s="4" t="str">
        <f>"CAM payable to the state budget"&amp;Q26</f>
        <v>CAM payable to the state budget - 7.2026 - CHIRIACESCU DIANA-ELENA</v>
      </c>
      <c r="Z91" s="1" t="s">
        <v>1</v>
      </c>
    </row>
    <row r="93" spans="5:26" ht="15.75" customHeight="1" thickBot="1" x14ac:dyDescent="0.3">
      <c r="F93" s="8" t="s">
        <v>24</v>
      </c>
      <c r="S93" s="8" t="s">
        <v>86</v>
      </c>
    </row>
    <row r="94" spans="5:26" ht="15.75" customHeight="1" thickBot="1" x14ac:dyDescent="0.3">
      <c r="G94" s="11">
        <v>642</v>
      </c>
      <c r="H94" s="4">
        <f>E12</f>
        <v>690</v>
      </c>
      <c r="I94" s="4" t="str">
        <f>"Cheltuieli cu tichetele de masa"&amp;D26</f>
        <v>Cheltuieli cu tichetele de masa - 7.2026 - CHIRIACESCU DIANA-ELENA</v>
      </c>
      <c r="J94" s="5">
        <v>5328</v>
      </c>
      <c r="K94" s="4">
        <f>H94</f>
        <v>690</v>
      </c>
      <c r="L94" s="4" t="str">
        <f>"Descarcare tichete de masa"&amp;D26</f>
        <v>Descarcare tichete de masa - 7.2026 - CHIRIACESCU DIANA-ELENA</v>
      </c>
      <c r="T94" s="11">
        <v>642</v>
      </c>
      <c r="U94" s="4">
        <f>R12</f>
        <v>690</v>
      </c>
      <c r="V94" s="4" t="str">
        <f>"Meal voucher expense"&amp;Q26</f>
        <v>Meal voucher expense - 7.2026 - CHIRIACESCU DIANA-ELENA</v>
      </c>
      <c r="W94" s="5">
        <v>5328</v>
      </c>
      <c r="X94" s="4">
        <f>U94</f>
        <v>690</v>
      </c>
      <c r="Y94" s="4" t="str">
        <f>"Meal vouchers released from stock"&amp;Q26</f>
        <v>Meal vouchers released from stock - 7.2026 - CHIRIACESCU DIANA-ELENA</v>
      </c>
      <c r="Z94" s="1" t="s">
        <v>1</v>
      </c>
    </row>
    <row r="95" spans="5:26" ht="15.75" customHeight="1" x14ac:dyDescent="0.25"/>
    <row r="96" spans="5:26" ht="15.75" customHeight="1" x14ac:dyDescent="0.25">
      <c r="E96" s="8" t="s">
        <v>10</v>
      </c>
      <c r="R96" s="8" t="s">
        <v>79</v>
      </c>
    </row>
    <row r="97" spans="6:23" ht="15.75" customHeight="1" x14ac:dyDescent="0.25"/>
    <row r="98" spans="6:23" ht="15.75" customHeight="1" x14ac:dyDescent="0.25">
      <c r="H98" s="7" t="s">
        <v>9</v>
      </c>
      <c r="I98" s="7" t="s">
        <v>8</v>
      </c>
      <c r="U98" s="7" t="s">
        <v>9</v>
      </c>
      <c r="V98" s="7" t="s">
        <v>8</v>
      </c>
    </row>
    <row r="99" spans="6:23" ht="15.75" customHeight="1" thickBot="1" x14ac:dyDescent="0.3"/>
    <row r="100" spans="6:23" ht="15.75" customHeight="1" thickBot="1" x14ac:dyDescent="0.3">
      <c r="F100" s="6">
        <v>421</v>
      </c>
      <c r="G100" s="1" t="s">
        <v>7</v>
      </c>
      <c r="H100" s="4">
        <f>H86+H80</f>
        <v>10345</v>
      </c>
      <c r="I100" s="4">
        <f>K83</f>
        <v>24610</v>
      </c>
      <c r="S100" s="6">
        <v>421</v>
      </c>
      <c r="T100" s="1" t="s">
        <v>87</v>
      </c>
      <c r="U100" s="4">
        <f>U86+U80</f>
        <v>10345</v>
      </c>
      <c r="V100" s="4">
        <f>X83</f>
        <v>24610</v>
      </c>
    </row>
    <row r="101" spans="6:23" ht="15.75" customHeight="1" thickBot="1" x14ac:dyDescent="0.3">
      <c r="F101" s="6">
        <v>425</v>
      </c>
      <c r="G101" s="1" t="s">
        <v>23</v>
      </c>
      <c r="H101" s="4" t="s">
        <v>1</v>
      </c>
      <c r="I101" s="4">
        <f>K80</f>
        <v>0</v>
      </c>
      <c r="S101" s="6">
        <v>425</v>
      </c>
      <c r="T101" s="1" t="s">
        <v>80</v>
      </c>
      <c r="U101" s="1" t="s">
        <v>1</v>
      </c>
      <c r="V101" s="4">
        <f>X80</f>
        <v>0</v>
      </c>
    </row>
    <row r="102" spans="6:23" ht="15.75" customHeight="1" thickBot="1" x14ac:dyDescent="0.3">
      <c r="F102" s="6">
        <v>4315</v>
      </c>
      <c r="G102" s="1" t="s">
        <v>6</v>
      </c>
      <c r="H102" s="4"/>
      <c r="I102" s="4">
        <f>K86</f>
        <v>6153</v>
      </c>
      <c r="S102" s="6">
        <v>4315</v>
      </c>
      <c r="T102" s="1" t="s">
        <v>58</v>
      </c>
      <c r="U102" s="1" t="s">
        <v>1</v>
      </c>
      <c r="V102" s="4">
        <f>X86</f>
        <v>6153</v>
      </c>
    </row>
    <row r="103" spans="6:23" ht="15.75" customHeight="1" thickBot="1" x14ac:dyDescent="0.3">
      <c r="F103" s="6">
        <v>4316</v>
      </c>
      <c r="G103" s="1" t="s">
        <v>5</v>
      </c>
      <c r="H103" s="4"/>
      <c r="I103" s="4">
        <f>K87</f>
        <v>2530</v>
      </c>
      <c r="S103" s="6">
        <v>4316</v>
      </c>
      <c r="T103" s="1" t="s">
        <v>59</v>
      </c>
      <c r="U103" s="1" t="s">
        <v>1</v>
      </c>
      <c r="V103" s="4">
        <f>X87</f>
        <v>2530</v>
      </c>
    </row>
    <row r="104" spans="6:23" ht="15.75" customHeight="1" thickBot="1" x14ac:dyDescent="0.3">
      <c r="F104" s="6">
        <v>436</v>
      </c>
      <c r="G104" s="1" t="s">
        <v>4</v>
      </c>
      <c r="H104" s="4"/>
      <c r="I104" s="4">
        <f>K91</f>
        <v>554</v>
      </c>
      <c r="K104" s="4"/>
      <c r="L104" s="4"/>
      <c r="S104" s="6">
        <v>436</v>
      </c>
      <c r="T104" s="1" t="s">
        <v>64</v>
      </c>
      <c r="U104" s="1" t="s">
        <v>1</v>
      </c>
      <c r="V104" s="4">
        <f>X91</f>
        <v>554</v>
      </c>
    </row>
    <row r="105" spans="6:23" ht="15.75" customHeight="1" thickBot="1" x14ac:dyDescent="0.3">
      <c r="F105" s="6">
        <v>444</v>
      </c>
      <c r="G105" s="1" t="s">
        <v>3</v>
      </c>
      <c r="H105" s="4"/>
      <c r="I105" s="4">
        <f>K88</f>
        <v>1662</v>
      </c>
      <c r="S105" s="6">
        <v>444</v>
      </c>
      <c r="T105" s="1" t="s">
        <v>61</v>
      </c>
      <c r="V105" s="4">
        <f>X88</f>
        <v>1662</v>
      </c>
    </row>
    <row r="106" spans="6:23" ht="15.75" customHeight="1" thickBot="1" x14ac:dyDescent="0.3">
      <c r="F106" s="5">
        <v>5328</v>
      </c>
      <c r="G106" s="1" t="s">
        <v>22</v>
      </c>
      <c r="H106" s="4" t="s">
        <v>1</v>
      </c>
      <c r="I106" s="4">
        <f>K94</f>
        <v>690</v>
      </c>
      <c r="S106" s="5">
        <v>5328</v>
      </c>
      <c r="T106" s="1" t="s">
        <v>88</v>
      </c>
      <c r="U106" s="1" t="s">
        <v>1</v>
      </c>
      <c r="V106" s="4">
        <f>X94</f>
        <v>690</v>
      </c>
    </row>
    <row r="107" spans="6:23" ht="15.75" customHeight="1" thickBot="1" x14ac:dyDescent="0.3">
      <c r="F107" s="11">
        <v>641</v>
      </c>
      <c r="G107" s="1" t="s">
        <v>21</v>
      </c>
      <c r="H107" s="4">
        <f>H83</f>
        <v>24610</v>
      </c>
      <c r="S107" s="11">
        <v>641</v>
      </c>
      <c r="T107" s="1" t="s">
        <v>89</v>
      </c>
      <c r="U107" s="4">
        <f>U83</f>
        <v>24610</v>
      </c>
    </row>
    <row r="108" spans="6:23" ht="15.75" customHeight="1" thickBot="1" x14ac:dyDescent="0.3">
      <c r="F108" s="11">
        <v>642</v>
      </c>
      <c r="G108" s="1" t="s">
        <v>20</v>
      </c>
      <c r="H108" s="4">
        <f>H94</f>
        <v>690</v>
      </c>
      <c r="I108" s="4"/>
      <c r="S108" s="11">
        <v>642</v>
      </c>
      <c r="T108" s="1" t="s">
        <v>90</v>
      </c>
      <c r="U108" s="4">
        <f>U94</f>
        <v>690</v>
      </c>
    </row>
    <row r="109" spans="6:23" ht="15.75" customHeight="1" thickBot="1" x14ac:dyDescent="0.3">
      <c r="F109" s="11">
        <v>646</v>
      </c>
      <c r="G109" s="1" t="s">
        <v>19</v>
      </c>
      <c r="H109" s="4">
        <f>H91</f>
        <v>554</v>
      </c>
      <c r="S109" s="11">
        <v>646</v>
      </c>
      <c r="T109" s="1" t="s">
        <v>91</v>
      </c>
      <c r="U109" s="4">
        <f>U91</f>
        <v>554</v>
      </c>
    </row>
    <row r="110" spans="6:23" ht="15" customHeight="1" x14ac:dyDescent="0.25">
      <c r="H110" s="4"/>
    </row>
    <row r="111" spans="6:23" ht="15" customHeight="1" x14ac:dyDescent="0.25">
      <c r="G111" s="3" t="s">
        <v>0</v>
      </c>
      <c r="H111" s="2">
        <f>SUM(H100:H109)</f>
        <v>36199</v>
      </c>
      <c r="I111" s="2">
        <f>SUM(I100:I109)</f>
        <v>36199</v>
      </c>
      <c r="J111" s="2">
        <f>H111-I111</f>
        <v>0</v>
      </c>
      <c r="T111" s="3" t="s">
        <v>0</v>
      </c>
      <c r="U111" s="2">
        <f>SUM(U100:U109)</f>
        <v>36199</v>
      </c>
      <c r="V111" s="2">
        <f>SUM(V100:V109)</f>
        <v>36199</v>
      </c>
      <c r="W111" s="2">
        <f>U111-V111</f>
        <v>0</v>
      </c>
    </row>
    <row r="113" spans="3:26" ht="15" customHeight="1" x14ac:dyDescent="0.25">
      <c r="C113" s="8" t="s">
        <v>18</v>
      </c>
      <c r="P113" s="8" t="s">
        <v>75</v>
      </c>
    </row>
    <row r="114" spans="3:26" ht="15.75" customHeight="1" x14ac:dyDescent="0.25"/>
    <row r="115" spans="3:26" ht="15" customHeight="1" x14ac:dyDescent="0.25">
      <c r="C115" s="8"/>
      <c r="D115" s="3" t="str">
        <f>"Aferente "&amp;D6&amp;", de inregistrat in "&amp;IF(INT(D6)=12,1,INT(D6)+1)&amp;"."&amp;IF(INT(D6)=12,RIGHT(D6,4)+1,RIGHT(D6,4))&amp;"."</f>
        <v>Aferente 7.2026, de inregistrat in 8.2026.</v>
      </c>
      <c r="Q115" s="3" t="str">
        <f>"Related to "&amp;Q6&amp;", to be recorded in "&amp;IF(INT(Q6)=12,1,INT(Q6)+1)&amp;"."&amp;IF(INT(Q6)=12,RIGHT(Q6,4)+1,RIGHT(Q6,4))&amp;"."</f>
        <v>Related to 7.2026, to be recorded in 8.2026.</v>
      </c>
    </row>
    <row r="116" spans="3:26" ht="15.75" customHeight="1" x14ac:dyDescent="0.25"/>
    <row r="117" spans="3:26" ht="15.75" customHeight="1" x14ac:dyDescent="0.25">
      <c r="D117" s="3" t="s">
        <v>17</v>
      </c>
      <c r="Q117" s="3" t="s">
        <v>76</v>
      </c>
    </row>
    <row r="119" spans="3:26" ht="15.75" customHeight="1" x14ac:dyDescent="0.25">
      <c r="E119" s="8" t="s">
        <v>16</v>
      </c>
      <c r="R119" s="8" t="s">
        <v>77</v>
      </c>
    </row>
    <row r="120" spans="3:26" ht="15.75" customHeight="1" thickBot="1" x14ac:dyDescent="0.3">
      <c r="G120" s="8"/>
      <c r="H120" s="8"/>
      <c r="I120" s="8"/>
      <c r="J120" s="8"/>
      <c r="K120" s="8"/>
      <c r="L120" s="8"/>
    </row>
    <row r="121" spans="3:26" ht="15.75" customHeight="1" thickBot="1" x14ac:dyDescent="0.3">
      <c r="G121" s="17" t="s">
        <v>9</v>
      </c>
      <c r="H121" s="17"/>
      <c r="I121" s="17"/>
      <c r="J121" s="17" t="s">
        <v>8</v>
      </c>
      <c r="K121" s="17"/>
      <c r="L121" s="17"/>
      <c r="T121" s="17" t="s">
        <v>9</v>
      </c>
      <c r="U121" s="17"/>
      <c r="V121" s="17"/>
      <c r="W121" s="17" t="s">
        <v>8</v>
      </c>
      <c r="X121" s="17"/>
      <c r="Y121" s="17"/>
    </row>
    <row r="122" spans="3:26" ht="15.75" customHeight="1" x14ac:dyDescent="0.25">
      <c r="G122" s="8"/>
      <c r="H122" s="8"/>
      <c r="I122" s="8"/>
      <c r="J122" s="8"/>
      <c r="K122" s="8"/>
      <c r="L122" s="8"/>
    </row>
    <row r="123" spans="3:26" ht="15" customHeight="1" x14ac:dyDescent="0.25">
      <c r="G123" s="10" t="s">
        <v>15</v>
      </c>
      <c r="H123" s="10" t="s">
        <v>14</v>
      </c>
      <c r="I123" s="10" t="s">
        <v>13</v>
      </c>
      <c r="J123" s="10" t="s">
        <v>15</v>
      </c>
      <c r="K123" s="10" t="s">
        <v>14</v>
      </c>
      <c r="L123" s="10" t="s">
        <v>13</v>
      </c>
      <c r="T123" s="10" t="s">
        <v>69</v>
      </c>
      <c r="U123" s="10" t="s">
        <v>70</v>
      </c>
      <c r="V123" s="10" t="s">
        <v>71</v>
      </c>
      <c r="W123" s="10" t="s">
        <v>69</v>
      </c>
      <c r="X123" s="10" t="s">
        <v>70</v>
      </c>
      <c r="Y123" s="10" t="s">
        <v>71</v>
      </c>
    </row>
    <row r="125" spans="3:26" ht="15.75" customHeight="1" thickBot="1" x14ac:dyDescent="0.3">
      <c r="F125" s="8" t="s">
        <v>12</v>
      </c>
      <c r="M125" s="1" t="s">
        <v>1</v>
      </c>
      <c r="S125" s="8" t="s">
        <v>84</v>
      </c>
    </row>
    <row r="126" spans="3:26" ht="15.75" customHeight="1" thickBot="1" x14ac:dyDescent="0.3">
      <c r="G126" s="6">
        <v>421</v>
      </c>
      <c r="H126" s="4">
        <f>E22</f>
        <v>14265</v>
      </c>
      <c r="I126" s="4" t="str">
        <f>"Stingere datorie salariala fata de personal"&amp;D26</f>
        <v>Stingere datorie salariala fata de personal - 7.2026 - CHIRIACESCU DIANA-ELENA</v>
      </c>
      <c r="J126" s="9">
        <v>5121</v>
      </c>
      <c r="K126" s="4">
        <f>E22</f>
        <v>14265</v>
      </c>
      <c r="L126" s="4" t="str">
        <f>"Plata salarii nete din banca"&amp;D26</f>
        <v>Plata salarii nete din banca - 7.2026 - CHIRIACESCU DIANA-ELENA</v>
      </c>
      <c r="M126" s="1" t="s">
        <v>1</v>
      </c>
      <c r="T126" s="6">
        <v>421</v>
      </c>
      <c r="U126" s="4">
        <f>R22</f>
        <v>14265</v>
      </c>
      <c r="V126" s="4" t="str">
        <f>"Settlement of payroll liability to employee"&amp;Q26</f>
        <v>Settlement of payroll liability to employee - 7.2026 - CHIRIACESCU DIANA-ELENA</v>
      </c>
      <c r="W126" s="9">
        <v>5121</v>
      </c>
      <c r="X126" s="4">
        <f>R22</f>
        <v>14265</v>
      </c>
      <c r="Y126" s="4" t="str">
        <f>"Payment of net wages from bank"&amp;Q26</f>
        <v>Payment of net wages from bank - 7.2026 - CHIRIACESCU DIANA-ELENA</v>
      </c>
      <c r="Z126" s="1" t="s">
        <v>1</v>
      </c>
    </row>
    <row r="127" spans="3:26" ht="15" customHeight="1" x14ac:dyDescent="0.25">
      <c r="H127" s="4"/>
      <c r="I127" s="4"/>
      <c r="K127" s="4"/>
      <c r="L127" s="4"/>
      <c r="M127" s="1" t="s">
        <v>1</v>
      </c>
    </row>
    <row r="128" spans="3:26" ht="15" customHeight="1" thickBot="1" x14ac:dyDescent="0.3">
      <c r="F128" s="8" t="s">
        <v>11</v>
      </c>
      <c r="M128" s="1" t="s">
        <v>1</v>
      </c>
      <c r="S128" s="8" t="s">
        <v>85</v>
      </c>
    </row>
    <row r="129" spans="5:26" ht="15" customHeight="1" thickBot="1" x14ac:dyDescent="0.3">
      <c r="G129" s="6">
        <v>4315</v>
      </c>
      <c r="H129" s="4">
        <f>E17</f>
        <v>6153</v>
      </c>
      <c r="I129" s="4" t="str">
        <f>"Stingere datorie CAS catre buget"&amp;D26</f>
        <v>Stingere datorie CAS catre buget - 7.2026 - CHIRIACESCU DIANA-ELENA</v>
      </c>
      <c r="J129" s="9">
        <v>5121</v>
      </c>
      <c r="K129" s="4">
        <f>SUM(H129:H131)</f>
        <v>10345</v>
      </c>
      <c r="L129" s="4" t="str">
        <f>"Plata CAS, CASS, impozit din banca"&amp;D26</f>
        <v>Plata CAS, CASS, impozit din banca - 7.2026 - CHIRIACESCU DIANA-ELENA</v>
      </c>
      <c r="M129" s="1" t="s">
        <v>1</v>
      </c>
      <c r="T129" s="6">
        <v>4315</v>
      </c>
      <c r="U129" s="4">
        <f>R17</f>
        <v>6153</v>
      </c>
      <c r="V129" s="4" t="str">
        <f>"Settlement of CAS liability to the state budget"&amp;Q26</f>
        <v>Settlement of CAS liability to the state budget - 7.2026 - CHIRIACESCU DIANA-ELENA</v>
      </c>
      <c r="W129" s="9">
        <v>5121</v>
      </c>
      <c r="X129" s="4">
        <f>SUM(U129:U131)</f>
        <v>10345</v>
      </c>
      <c r="Y129" s="4" t="str">
        <f>"Payment of CAS, CASS, income tax from bank"&amp;Q26</f>
        <v>Payment of CAS, CASS, income tax from bank - 7.2026 - CHIRIACESCU DIANA-ELENA</v>
      </c>
      <c r="Z129" s="1" t="s">
        <v>1</v>
      </c>
    </row>
    <row r="130" spans="5:26" ht="15" customHeight="1" thickBot="1" x14ac:dyDescent="0.3">
      <c r="G130" s="6">
        <v>4316</v>
      </c>
      <c r="H130" s="4">
        <f>E18</f>
        <v>2530</v>
      </c>
      <c r="I130" s="4" t="str">
        <f>"Stingere datorie CASS catre buget"&amp;D26</f>
        <v>Stingere datorie CASS catre buget - 7.2026 - CHIRIACESCU DIANA-ELENA</v>
      </c>
      <c r="J130" s="1" t="s">
        <v>1</v>
      </c>
      <c r="M130" s="1" t="s">
        <v>1</v>
      </c>
      <c r="T130" s="6">
        <v>4316</v>
      </c>
      <c r="U130" s="4">
        <f>R18</f>
        <v>2530</v>
      </c>
      <c r="V130" s="4" t="str">
        <f>"Settlement of CASS liability to the state budget"&amp;Q26</f>
        <v>Settlement of CASS liability to the state budget - 7.2026 - CHIRIACESCU DIANA-ELENA</v>
      </c>
      <c r="W130" s="1" t="s">
        <v>1</v>
      </c>
    </row>
    <row r="131" spans="5:26" ht="15.75" customHeight="1" thickBot="1" x14ac:dyDescent="0.3">
      <c r="G131" s="6">
        <v>444</v>
      </c>
      <c r="H131" s="4">
        <f>E20</f>
        <v>1662</v>
      </c>
      <c r="I131" s="4" t="str">
        <f>"Stingere datorie impozit catre buget"&amp;D26</f>
        <v>Stingere datorie impozit catre buget - 7.2026 - CHIRIACESCU DIANA-ELENA</v>
      </c>
      <c r="J131" s="1" t="s">
        <v>1</v>
      </c>
      <c r="M131" s="1" t="s">
        <v>1</v>
      </c>
      <c r="T131" s="6">
        <v>444</v>
      </c>
      <c r="U131" s="4">
        <f>R20</f>
        <v>1662</v>
      </c>
      <c r="V131" s="4" t="str">
        <f>"Settlement of income tax liability to the state budget"&amp;Q26</f>
        <v>Settlement of income tax liability to the state budget - 7.2026 - CHIRIACESCU DIANA-ELENA</v>
      </c>
      <c r="W131" s="1" t="s">
        <v>1</v>
      </c>
    </row>
    <row r="132" spans="5:26" ht="15.75" customHeight="1" x14ac:dyDescent="0.25">
      <c r="F132" s="8"/>
    </row>
    <row r="133" spans="5:26" ht="15.75" customHeight="1" x14ac:dyDescent="0.25">
      <c r="M133" s="1" t="s">
        <v>1</v>
      </c>
    </row>
    <row r="134" spans="5:26" ht="15.75" customHeight="1" thickBot="1" x14ac:dyDescent="0.3">
      <c r="F134" s="8" t="s">
        <v>4</v>
      </c>
      <c r="M134" s="1" t="s">
        <v>1</v>
      </c>
      <c r="S134" s="8" t="s">
        <v>64</v>
      </c>
    </row>
    <row r="135" spans="5:26" ht="15.75" customHeight="1" thickBot="1" x14ac:dyDescent="0.3">
      <c r="G135" s="6">
        <v>436</v>
      </c>
      <c r="H135" s="4">
        <f>E24</f>
        <v>554</v>
      </c>
      <c r="I135" s="4" t="str">
        <f>"Stingere datorie CAM catre buget"&amp;D26</f>
        <v>Stingere datorie CAM catre buget - 7.2026 - CHIRIACESCU DIANA-ELENA</v>
      </c>
      <c r="J135" s="9">
        <v>5121</v>
      </c>
      <c r="K135" s="4">
        <f>E24</f>
        <v>554</v>
      </c>
      <c r="L135" s="4" t="str">
        <f>"Plata CAM din banca"&amp;D26</f>
        <v>Plata CAM din banca - 7.2026 - CHIRIACESCU DIANA-ELENA</v>
      </c>
      <c r="M135" s="1" t="s">
        <v>1</v>
      </c>
      <c r="T135" s="6">
        <v>436</v>
      </c>
      <c r="U135" s="4">
        <f>R24</f>
        <v>554</v>
      </c>
      <c r="V135" s="4" t="str">
        <f>"Settlement of CAM liability to the state budget"&amp;Q26</f>
        <v>Settlement of CAM liability to the state budget - 7.2026 - CHIRIACESCU DIANA-ELENA</v>
      </c>
      <c r="W135" s="9">
        <v>5121</v>
      </c>
      <c r="X135" s="4">
        <f>R24</f>
        <v>554</v>
      </c>
      <c r="Y135" s="4" t="str">
        <f>"Payment of CAM from bank"&amp;Q26</f>
        <v>Payment of CAM from bank - 7.2026 - CHIRIACESCU DIANA-ELENA</v>
      </c>
      <c r="Z135" s="1" t="s">
        <v>1</v>
      </c>
    </row>
    <row r="136" spans="5:26" ht="15.75" customHeight="1" x14ac:dyDescent="0.25"/>
    <row r="137" spans="5:26" ht="15.75" customHeight="1" x14ac:dyDescent="0.25">
      <c r="E137" s="8" t="s">
        <v>10</v>
      </c>
      <c r="R137" s="8" t="s">
        <v>79</v>
      </c>
    </row>
    <row r="139" spans="5:26" ht="15" customHeight="1" x14ac:dyDescent="0.25">
      <c r="H139" s="7" t="s">
        <v>9</v>
      </c>
      <c r="I139" s="7" t="s">
        <v>8</v>
      </c>
      <c r="U139" s="7" t="s">
        <v>9</v>
      </c>
      <c r="V139" s="7" t="s">
        <v>8</v>
      </c>
    </row>
    <row r="141" spans="5:26" ht="15" customHeight="1" thickBot="1" x14ac:dyDescent="0.3">
      <c r="F141" s="6">
        <v>421</v>
      </c>
      <c r="G141" s="1" t="s">
        <v>7</v>
      </c>
      <c r="H141" s="4">
        <f>SUM(H126:H126)</f>
        <v>14265</v>
      </c>
      <c r="I141" s="4"/>
      <c r="S141" s="6">
        <v>421</v>
      </c>
      <c r="T141" s="1" t="s">
        <v>87</v>
      </c>
      <c r="U141" s="4">
        <f>SUM(U126:U126)</f>
        <v>14265</v>
      </c>
    </row>
    <row r="142" spans="5:26" ht="15" customHeight="1" thickBot="1" x14ac:dyDescent="0.3">
      <c r="F142" s="6">
        <v>4315</v>
      </c>
      <c r="G142" s="1" t="s">
        <v>6</v>
      </c>
      <c r="H142" s="4">
        <f>H129</f>
        <v>6153</v>
      </c>
      <c r="I142" s="4"/>
      <c r="S142" s="6">
        <v>4315</v>
      </c>
      <c r="T142" s="1" t="s">
        <v>58</v>
      </c>
      <c r="U142" s="4">
        <f>U129</f>
        <v>6153</v>
      </c>
    </row>
    <row r="143" spans="5:26" ht="15.75" customHeight="1" thickBot="1" x14ac:dyDescent="0.3">
      <c r="F143" s="6">
        <v>4316</v>
      </c>
      <c r="G143" s="1" t="s">
        <v>5</v>
      </c>
      <c r="H143" s="4">
        <f>H130</f>
        <v>2530</v>
      </c>
      <c r="I143" s="4"/>
      <c r="S143" s="6">
        <v>4316</v>
      </c>
      <c r="T143" s="1" t="s">
        <v>59</v>
      </c>
      <c r="U143" s="4">
        <f>U130</f>
        <v>2530</v>
      </c>
    </row>
    <row r="144" spans="5:26" ht="15.75" customHeight="1" thickBot="1" x14ac:dyDescent="0.3">
      <c r="F144" s="6">
        <v>436</v>
      </c>
      <c r="G144" s="1" t="s">
        <v>4</v>
      </c>
      <c r="H144" s="4">
        <f>H135</f>
        <v>554</v>
      </c>
      <c r="I144" s="4"/>
      <c r="K144" s="4"/>
      <c r="L144" s="4"/>
      <c r="S144" s="6">
        <v>436</v>
      </c>
      <c r="T144" s="1" t="s">
        <v>64</v>
      </c>
      <c r="U144" s="4">
        <f>U135</f>
        <v>554</v>
      </c>
    </row>
    <row r="145" spans="6:23" ht="15.75" customHeight="1" thickBot="1" x14ac:dyDescent="0.3">
      <c r="F145" s="6">
        <v>444</v>
      </c>
      <c r="G145" s="1" t="s">
        <v>3</v>
      </c>
      <c r="H145" s="4">
        <f>H131</f>
        <v>1662</v>
      </c>
      <c r="I145" s="4"/>
      <c r="S145" s="6">
        <v>444</v>
      </c>
      <c r="T145" s="1" t="s">
        <v>61</v>
      </c>
      <c r="U145" s="4">
        <f>U131</f>
        <v>1662</v>
      </c>
    </row>
    <row r="146" spans="6:23" ht="15.75" customHeight="1" thickBot="1" x14ac:dyDescent="0.3">
      <c r="F146" s="5">
        <v>5121</v>
      </c>
      <c r="G146" s="1" t="s">
        <v>2</v>
      </c>
      <c r="H146" s="1" t="s">
        <v>1</v>
      </c>
      <c r="I146" s="4">
        <f>SUM(K126,K129,K135)</f>
        <v>25164</v>
      </c>
      <c r="S146" s="5">
        <v>5121</v>
      </c>
      <c r="T146" s="1" t="s">
        <v>81</v>
      </c>
      <c r="U146" s="1" t="s">
        <v>1</v>
      </c>
      <c r="V146" s="4">
        <f>SUM(X126,X129,X135)</f>
        <v>25164</v>
      </c>
    </row>
    <row r="148" spans="6:23" ht="15" customHeight="1" x14ac:dyDescent="0.25">
      <c r="G148" s="3" t="s">
        <v>0</v>
      </c>
      <c r="H148" s="2">
        <f>SUM(H141:H146)</f>
        <v>25164</v>
      </c>
      <c r="I148" s="2">
        <f>SUM(I141:I146)</f>
        <v>25164</v>
      </c>
      <c r="J148" s="2">
        <f>H148-I148</f>
        <v>0</v>
      </c>
      <c r="T148" s="3" t="s">
        <v>0</v>
      </c>
      <c r="U148" s="2">
        <f>SUM(U141:U146)</f>
        <v>25164</v>
      </c>
      <c r="V148" s="2">
        <f>SUM(V141:V146)</f>
        <v>25164</v>
      </c>
      <c r="W148" s="2">
        <f>U148-V148</f>
        <v>0</v>
      </c>
    </row>
  </sheetData>
  <mergeCells count="16">
    <mergeCell ref="G75:I75"/>
    <mergeCell ref="J75:L75"/>
    <mergeCell ref="T75:V75"/>
    <mergeCell ref="W75:Y75"/>
    <mergeCell ref="G121:I121"/>
    <mergeCell ref="J121:L121"/>
    <mergeCell ref="T121:V121"/>
    <mergeCell ref="W121:Y121"/>
    <mergeCell ref="G35:I35"/>
    <mergeCell ref="J35:L35"/>
    <mergeCell ref="T35:V35"/>
    <mergeCell ref="W35:Y35"/>
    <mergeCell ref="G50:I50"/>
    <mergeCell ref="J50:L50"/>
    <mergeCell ref="T50:V50"/>
    <mergeCell ref="W50:Y50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5CFA-1417-4F0A-8133-4FE5710A00B0}">
  <dimension ref="B2:Z148"/>
  <sheetViews>
    <sheetView zoomScaleNormal="100" workbookViewId="0">
      <selection activeCell="E11" sqref="E11:E13"/>
    </sheetView>
  </sheetViews>
  <sheetFormatPr defaultColWidth="8.7109375" defaultRowHeight="15" x14ac:dyDescent="0.25"/>
  <cols>
    <col min="1" max="3" width="8.7109375" style="1"/>
    <col min="4" max="4" width="9.85546875" style="1" customWidth="1"/>
    <col min="5" max="6" width="9.28515625" style="1" customWidth="1"/>
    <col min="7" max="7" width="10.42578125" style="1" customWidth="1"/>
    <col min="8" max="8" width="13.140625" style="1" customWidth="1"/>
    <col min="9" max="9" width="9.7109375" style="1" customWidth="1"/>
    <col min="10" max="10" width="9.28515625" style="1" customWidth="1"/>
    <col min="11" max="11" width="14.140625" style="1" customWidth="1"/>
    <col min="12" max="12" width="20" style="1" customWidth="1"/>
    <col min="13" max="16" width="8.7109375" style="1"/>
    <col min="17" max="17" width="9.85546875" style="1" customWidth="1"/>
    <col min="18" max="18" width="9.28515625" style="1" customWidth="1"/>
    <col min="19" max="19" width="8.7109375" style="1"/>
    <col min="20" max="20" width="10.42578125" style="1" customWidth="1"/>
    <col min="21" max="21" width="13.140625" style="1" customWidth="1"/>
    <col min="22" max="22" width="9.7109375" style="1" customWidth="1"/>
    <col min="23" max="23" width="9.28515625" style="1" customWidth="1"/>
    <col min="24" max="24" width="14.140625" style="1" customWidth="1"/>
    <col min="25" max="25" width="20" style="1" customWidth="1"/>
    <col min="26" max="16384" width="8.7109375" style="1"/>
  </cols>
  <sheetData>
    <row r="2" spans="2:18" ht="15" customHeight="1" x14ac:dyDescent="0.25">
      <c r="B2" s="8" t="s">
        <v>47</v>
      </c>
      <c r="O2" s="8" t="s">
        <v>47</v>
      </c>
    </row>
    <row r="3" spans="2:18" ht="15" customHeight="1" x14ac:dyDescent="0.25">
      <c r="B3" s="8"/>
    </row>
    <row r="4" spans="2:18" ht="15" customHeight="1" x14ac:dyDescent="0.25">
      <c r="C4" s="18" t="s">
        <v>46</v>
      </c>
    </row>
    <row r="5" spans="2:18" ht="15.75" customHeight="1" thickBot="1" x14ac:dyDescent="0.3">
      <c r="C5" s="15"/>
      <c r="E5" s="15"/>
    </row>
    <row r="6" spans="2:18" ht="15.75" customHeight="1" thickBot="1" x14ac:dyDescent="0.3">
      <c r="C6" s="1" t="s">
        <v>45</v>
      </c>
      <c r="D6" s="16" t="s">
        <v>92</v>
      </c>
      <c r="P6" s="1" t="s">
        <v>51</v>
      </c>
      <c r="Q6" s="4" t="str">
        <f>D6</f>
        <v>7.2026</v>
      </c>
    </row>
    <row r="7" spans="2:18" ht="15.75" customHeight="1" thickBot="1" x14ac:dyDescent="0.3">
      <c r="C7" s="1" t="s">
        <v>44</v>
      </c>
      <c r="D7" s="13" t="s">
        <v>48</v>
      </c>
      <c r="E7" s="1" t="s">
        <v>1</v>
      </c>
      <c r="P7" s="1" t="s">
        <v>52</v>
      </c>
      <c r="Q7" s="4" t="str">
        <f>D7</f>
        <v>NEAGU VLAD-FLORIAN</v>
      </c>
    </row>
    <row r="8" spans="2:18" ht="15" customHeight="1" x14ac:dyDescent="0.25">
      <c r="C8" s="15"/>
      <c r="E8" s="15"/>
    </row>
    <row r="9" spans="2:18" ht="15" customHeight="1" x14ac:dyDescent="0.25">
      <c r="E9" s="14" t="s">
        <v>42</v>
      </c>
      <c r="R9" s="14" t="s">
        <v>42</v>
      </c>
    </row>
    <row r="10" spans="2:18" ht="15.75" customHeight="1" thickBot="1" x14ac:dyDescent="0.3"/>
    <row r="11" spans="2:18" ht="15.75" customHeight="1" thickBot="1" x14ac:dyDescent="0.3">
      <c r="C11" s="1" t="s">
        <v>53</v>
      </c>
      <c r="E11" s="13">
        <v>12513</v>
      </c>
      <c r="P11" s="1" t="s">
        <v>54</v>
      </c>
      <c r="R11" s="4">
        <f>E11</f>
        <v>12513</v>
      </c>
    </row>
    <row r="12" spans="2:18" ht="15.75" customHeight="1" thickBot="1" x14ac:dyDescent="0.3">
      <c r="C12" s="1" t="s">
        <v>41</v>
      </c>
      <c r="E12" s="13">
        <v>480</v>
      </c>
      <c r="P12" s="1" t="s">
        <v>55</v>
      </c>
      <c r="R12" s="4">
        <f>E12</f>
        <v>480</v>
      </c>
    </row>
    <row r="13" spans="2:18" ht="15.75" customHeight="1" thickBot="1" x14ac:dyDescent="0.3">
      <c r="C13" s="1" t="s">
        <v>40</v>
      </c>
      <c r="E13" s="13">
        <v>0</v>
      </c>
      <c r="P13" s="1" t="s">
        <v>56</v>
      </c>
      <c r="R13" s="4">
        <f>E13</f>
        <v>0</v>
      </c>
    </row>
    <row r="15" spans="2:18" ht="15" customHeight="1" x14ac:dyDescent="0.25">
      <c r="B15" s="8" t="s">
        <v>39</v>
      </c>
      <c r="O15" s="8" t="s">
        <v>57</v>
      </c>
    </row>
    <row r="17" spans="2:18" ht="15" customHeight="1" x14ac:dyDescent="0.25">
      <c r="C17" s="1" t="s">
        <v>6</v>
      </c>
      <c r="D17" s="1">
        <v>0.25</v>
      </c>
      <c r="E17" s="4">
        <f>ROUND(E11*D17,0)</f>
        <v>3128</v>
      </c>
      <c r="P17" s="1" t="s">
        <v>58</v>
      </c>
      <c r="Q17" s="1">
        <f>D17</f>
        <v>0.25</v>
      </c>
      <c r="R17" s="4">
        <f>ROUND(R11*Q17,0)</f>
        <v>3128</v>
      </c>
    </row>
    <row r="18" spans="2:18" ht="15" customHeight="1" x14ac:dyDescent="0.25">
      <c r="C18" s="1" t="s">
        <v>5</v>
      </c>
      <c r="D18" s="1">
        <v>0.1</v>
      </c>
      <c r="E18" s="4">
        <f>ROUND((E11+E12)*D18,0)</f>
        <v>1299</v>
      </c>
      <c r="P18" s="1" t="s">
        <v>59</v>
      </c>
      <c r="Q18" s="1">
        <f>D18</f>
        <v>0.1</v>
      </c>
      <c r="R18" s="4">
        <f>ROUND((R11+R12)*Q18,0)</f>
        <v>1299</v>
      </c>
    </row>
    <row r="19" spans="2:18" ht="15" customHeight="1" x14ac:dyDescent="0.25">
      <c r="C19" s="1" t="s">
        <v>38</v>
      </c>
      <c r="E19" s="4">
        <f>E11-E17-E18</f>
        <v>8086</v>
      </c>
      <c r="P19" s="1" t="s">
        <v>60</v>
      </c>
      <c r="R19" s="4">
        <f>R11-R17-R18</f>
        <v>8086</v>
      </c>
    </row>
    <row r="20" spans="2:18" ht="15" customHeight="1" x14ac:dyDescent="0.25">
      <c r="C20" s="1" t="s">
        <v>3</v>
      </c>
      <c r="D20" s="1">
        <v>0.1</v>
      </c>
      <c r="E20" s="4">
        <f>ROUND((E19+E12)*D20,0)</f>
        <v>857</v>
      </c>
      <c r="P20" s="1" t="s">
        <v>61</v>
      </c>
      <c r="Q20" s="1">
        <f>D20</f>
        <v>0.1</v>
      </c>
      <c r="R20" s="4">
        <f>ROUND((R19+R12)*Q20,0)</f>
        <v>857</v>
      </c>
    </row>
    <row r="21" spans="2:18" ht="15" customHeight="1" x14ac:dyDescent="0.25">
      <c r="C21" s="1" t="s">
        <v>37</v>
      </c>
      <c r="E21" s="4">
        <f>E19-E20</f>
        <v>7229</v>
      </c>
      <c r="P21" s="1" t="s">
        <v>62</v>
      </c>
      <c r="R21" s="4">
        <f>R19-R20</f>
        <v>7229</v>
      </c>
    </row>
    <row r="22" spans="2:18" ht="15" customHeight="1" x14ac:dyDescent="0.25">
      <c r="C22" s="1" t="s">
        <v>36</v>
      </c>
      <c r="E22" s="4">
        <f>E21-E13</f>
        <v>7229</v>
      </c>
      <c r="P22" s="1" t="s">
        <v>63</v>
      </c>
      <c r="R22" s="4">
        <f>R21-R13</f>
        <v>7229</v>
      </c>
    </row>
    <row r="24" spans="2:18" ht="15" customHeight="1" x14ac:dyDescent="0.25">
      <c r="C24" s="1" t="s">
        <v>4</v>
      </c>
      <c r="D24" s="1">
        <v>2.2499999999999999E-2</v>
      </c>
      <c r="E24" s="4">
        <f>ROUND(E11*D24,0)</f>
        <v>282</v>
      </c>
      <c r="P24" s="1" t="s">
        <v>64</v>
      </c>
      <c r="Q24" s="1">
        <f>D24</f>
        <v>2.2499999999999999E-2</v>
      </c>
      <c r="R24" s="4">
        <f>ROUND(R11*Q24,0)</f>
        <v>282</v>
      </c>
    </row>
    <row r="26" spans="2:18" ht="15" customHeight="1" x14ac:dyDescent="0.25">
      <c r="C26" s="3" t="s">
        <v>35</v>
      </c>
      <c r="D26" s="3" t="str">
        <f>" - "&amp;D6&amp;" - "&amp;D7</f>
        <v xml:space="preserve"> - 7.2026 - NEAGU VLAD-FLORIAN</v>
      </c>
      <c r="E26" s="1" t="s">
        <v>1</v>
      </c>
      <c r="P26" s="3" t="s">
        <v>65</v>
      </c>
      <c r="Q26" s="3" t="str">
        <f>" - "&amp;Q6&amp;" - "&amp;Q7</f>
        <v xml:space="preserve"> - 7.2026 - NEAGU VLAD-FLORIAN</v>
      </c>
    </row>
    <row r="29" spans="2:18" ht="15" customHeight="1" x14ac:dyDescent="0.25">
      <c r="B29" s="8" t="s">
        <v>34</v>
      </c>
      <c r="O29" s="8" t="s">
        <v>66</v>
      </c>
    </row>
    <row r="30" spans="2:18" ht="15" customHeight="1" x14ac:dyDescent="0.25">
      <c r="B30" s="8"/>
    </row>
    <row r="31" spans="2:18" ht="15" customHeight="1" x14ac:dyDescent="0.25">
      <c r="C31" s="8" t="s">
        <v>27</v>
      </c>
      <c r="P31" s="8" t="s">
        <v>67</v>
      </c>
    </row>
    <row r="32" spans="2:18" ht="15" customHeight="1" x14ac:dyDescent="0.25">
      <c r="C32" s="8"/>
    </row>
    <row r="33" spans="3:25" ht="15" customHeight="1" x14ac:dyDescent="0.25">
      <c r="C33" s="8"/>
      <c r="D33" s="3" t="s">
        <v>33</v>
      </c>
      <c r="Q33" s="3" t="s">
        <v>68</v>
      </c>
    </row>
    <row r="34" spans="3:25" ht="15.75" customHeight="1" thickBot="1" x14ac:dyDescent="0.3">
      <c r="C34" s="8"/>
    </row>
    <row r="35" spans="3:25" ht="18" customHeight="1" thickBot="1" x14ac:dyDescent="0.3">
      <c r="C35" s="8"/>
      <c r="G35" s="17" t="s">
        <v>9</v>
      </c>
      <c r="H35" s="17"/>
      <c r="I35" s="17"/>
      <c r="J35" s="17" t="s">
        <v>8</v>
      </c>
      <c r="K35" s="17"/>
      <c r="L35" s="17"/>
      <c r="T35" s="17" t="s">
        <v>9</v>
      </c>
      <c r="U35" s="17"/>
      <c r="V35" s="17"/>
      <c r="W35" s="17" t="s">
        <v>8</v>
      </c>
      <c r="X35" s="17"/>
      <c r="Y35" s="17"/>
    </row>
    <row r="36" spans="3:25" ht="15" customHeight="1" x14ac:dyDescent="0.25">
      <c r="C36" s="8"/>
    </row>
    <row r="37" spans="3:25" ht="15" customHeight="1" x14ac:dyDescent="0.25">
      <c r="C37" s="8"/>
      <c r="G37" s="10" t="s">
        <v>15</v>
      </c>
      <c r="H37" s="10" t="s">
        <v>14</v>
      </c>
      <c r="I37" s="10" t="s">
        <v>13</v>
      </c>
      <c r="J37" s="10" t="s">
        <v>15</v>
      </c>
      <c r="K37" s="10" t="s">
        <v>14</v>
      </c>
      <c r="L37" s="10" t="s">
        <v>13</v>
      </c>
      <c r="T37" s="10" t="s">
        <v>69</v>
      </c>
      <c r="U37" s="10" t="s">
        <v>70</v>
      </c>
      <c r="V37" s="10" t="s">
        <v>71</v>
      </c>
      <c r="W37" s="10" t="s">
        <v>69</v>
      </c>
      <c r="X37" s="10" t="s">
        <v>70</v>
      </c>
      <c r="Y37" s="10" t="s">
        <v>71</v>
      </c>
    </row>
    <row r="38" spans="3:25" ht="15" customHeight="1" x14ac:dyDescent="0.25">
      <c r="C38" s="8"/>
    </row>
    <row r="39" spans="3:25" ht="15.75" customHeight="1" thickBot="1" x14ac:dyDescent="0.3">
      <c r="F39" s="8"/>
    </row>
    <row r="40" spans="3:25" ht="15.75" customHeight="1" thickBot="1" x14ac:dyDescent="0.3">
      <c r="G40" s="5">
        <v>5328</v>
      </c>
      <c r="H40" s="12" t="s">
        <v>30</v>
      </c>
      <c r="I40" s="4" t="s">
        <v>32</v>
      </c>
      <c r="J40" s="6" t="s">
        <v>31</v>
      </c>
      <c r="K40" s="12" t="s">
        <v>30</v>
      </c>
      <c r="L40" s="4" t="s">
        <v>29</v>
      </c>
      <c r="M40" s="4" t="s">
        <v>1</v>
      </c>
      <c r="T40" s="5">
        <v>5328</v>
      </c>
      <c r="U40" s="12" t="s">
        <v>72</v>
      </c>
      <c r="V40" s="4" t="s">
        <v>73</v>
      </c>
      <c r="W40" s="6" t="s">
        <v>31</v>
      </c>
      <c r="X40" s="12" t="s">
        <v>72</v>
      </c>
      <c r="Y40" s="4" t="s">
        <v>74</v>
      </c>
    </row>
    <row r="41" spans="3:25" ht="15" customHeight="1" x14ac:dyDescent="0.25">
      <c r="C41" s="8"/>
    </row>
    <row r="42" spans="3:25" ht="15.75" customHeight="1" x14ac:dyDescent="0.25">
      <c r="C42" s="8" t="s">
        <v>18</v>
      </c>
      <c r="P42" s="8" t="s">
        <v>75</v>
      </c>
    </row>
    <row r="44" spans="3:25" ht="15" customHeight="1" x14ac:dyDescent="0.25">
      <c r="C44" s="8"/>
      <c r="D44" s="3" t="str">
        <f>"Aferente "&amp;D6&amp;", de inregistrat in "&amp;D6&amp;"."</f>
        <v>Aferente 7.2026, de inregistrat in 7.2026.</v>
      </c>
      <c r="Q44" s="3" t="str">
        <f>"Related to "&amp;Q6&amp;", to be recorded in "&amp;Q6&amp;"."</f>
        <v>Related to 7.2026, to be recorded in 7.2026.</v>
      </c>
    </row>
    <row r="45" spans="3:25" ht="15.75" customHeight="1" x14ac:dyDescent="0.25"/>
    <row r="46" spans="3:25" ht="15.75" customHeight="1" x14ac:dyDescent="0.25">
      <c r="D46" s="3" t="s">
        <v>17</v>
      </c>
      <c r="Q46" s="3" t="s">
        <v>76</v>
      </c>
    </row>
    <row r="48" spans="3:25" ht="15" customHeight="1" x14ac:dyDescent="0.25">
      <c r="E48" s="8" t="s">
        <v>16</v>
      </c>
      <c r="R48" s="8" t="s">
        <v>77</v>
      </c>
    </row>
    <row r="49" spans="5:25" ht="15" customHeight="1" thickBot="1" x14ac:dyDescent="0.3">
      <c r="G49" s="8"/>
      <c r="H49" s="8"/>
      <c r="I49" s="8"/>
      <c r="J49" s="8"/>
      <c r="K49" s="8"/>
      <c r="L49" s="8"/>
    </row>
    <row r="50" spans="5:25" ht="17.25" customHeight="1" thickBot="1" x14ac:dyDescent="0.3">
      <c r="G50" s="17" t="s">
        <v>9</v>
      </c>
      <c r="H50" s="17"/>
      <c r="I50" s="17"/>
      <c r="J50" s="17" t="s">
        <v>8</v>
      </c>
      <c r="K50" s="17"/>
      <c r="L50" s="17"/>
      <c r="T50" s="17" t="s">
        <v>9</v>
      </c>
      <c r="U50" s="17"/>
      <c r="V50" s="17"/>
      <c r="W50" s="17" t="s">
        <v>8</v>
      </c>
      <c r="X50" s="17"/>
      <c r="Y50" s="17"/>
    </row>
    <row r="51" spans="5:25" ht="15" customHeight="1" x14ac:dyDescent="0.25">
      <c r="G51" s="8"/>
      <c r="H51" s="8"/>
      <c r="I51" s="8"/>
      <c r="J51" s="8"/>
      <c r="K51" s="8"/>
      <c r="L51" s="8"/>
    </row>
    <row r="52" spans="5:25" ht="15.75" customHeight="1" x14ac:dyDescent="0.25">
      <c r="G52" s="10" t="s">
        <v>15</v>
      </c>
      <c r="H52" s="10" t="s">
        <v>14</v>
      </c>
      <c r="I52" s="10" t="s">
        <v>13</v>
      </c>
      <c r="J52" s="10" t="s">
        <v>15</v>
      </c>
      <c r="K52" s="10" t="s">
        <v>14</v>
      </c>
      <c r="L52" s="10" t="s">
        <v>13</v>
      </c>
      <c r="T52" s="10" t="s">
        <v>69</v>
      </c>
      <c r="U52" s="10" t="s">
        <v>70</v>
      </c>
      <c r="V52" s="10" t="s">
        <v>71</v>
      </c>
      <c r="W52" s="10" t="s">
        <v>69</v>
      </c>
      <c r="X52" s="10" t="s">
        <v>70</v>
      </c>
      <c r="Y52" s="10" t="s">
        <v>71</v>
      </c>
    </row>
    <row r="53" spans="5:25" ht="15.75" customHeight="1" x14ac:dyDescent="0.25"/>
    <row r="54" spans="5:25" ht="15.75" customHeight="1" thickBot="1" x14ac:dyDescent="0.3">
      <c r="F54" s="8" t="s">
        <v>28</v>
      </c>
      <c r="M54" s="1" t="s">
        <v>1</v>
      </c>
      <c r="S54" s="8" t="s">
        <v>78</v>
      </c>
    </row>
    <row r="55" spans="5:25" ht="15" customHeight="1" thickBot="1" x14ac:dyDescent="0.3">
      <c r="G55" s="6">
        <v>425</v>
      </c>
      <c r="H55" s="4">
        <f>E13</f>
        <v>0</v>
      </c>
      <c r="I55" s="4" t="str">
        <f>"Avans acordat personalului"&amp;D26</f>
        <v>Avans acordat personalului - 7.2026 - NEAGU VLAD-FLORIAN</v>
      </c>
      <c r="J55" s="5">
        <v>5121</v>
      </c>
      <c r="K55" s="4">
        <f>E13</f>
        <v>0</v>
      </c>
      <c r="L55" s="4" t="str">
        <f>"Plata avans personal din banca"&amp;D26</f>
        <v>Plata avans personal din banca - 7.2026 - NEAGU VLAD-FLORIAN</v>
      </c>
      <c r="M55" s="1" t="s">
        <v>1</v>
      </c>
      <c r="T55" s="6">
        <v>425</v>
      </c>
      <c r="U55" s="4">
        <f>R13</f>
        <v>0</v>
      </c>
      <c r="V55" s="4" t="str">
        <f>"Advance granted to employee"&amp;Q26</f>
        <v>Advance granted to employee - 7.2026 - NEAGU VLAD-FLORIAN</v>
      </c>
      <c r="W55" s="5">
        <v>5121</v>
      </c>
      <c r="X55" s="4">
        <f>R13</f>
        <v>0</v>
      </c>
      <c r="Y55" s="4" t="str">
        <f>"Payment of employee advance from bank"&amp;Q26</f>
        <v>Payment of employee advance from bank - 7.2026 - NEAGU VLAD-FLORIAN</v>
      </c>
    </row>
    <row r="56" spans="5:25" ht="15" customHeight="1" x14ac:dyDescent="0.25">
      <c r="H56" s="4"/>
      <c r="I56" s="4"/>
      <c r="K56" s="4"/>
      <c r="L56" s="4"/>
      <c r="M56" s="1" t="s">
        <v>1</v>
      </c>
    </row>
    <row r="58" spans="5:25" ht="15" customHeight="1" x14ac:dyDescent="0.25">
      <c r="E58" s="8" t="s">
        <v>10</v>
      </c>
      <c r="R58" s="8" t="s">
        <v>79</v>
      </c>
    </row>
    <row r="60" spans="5:25" ht="15" customHeight="1" x14ac:dyDescent="0.25">
      <c r="H60" s="7" t="s">
        <v>9</v>
      </c>
      <c r="I60" s="7" t="s">
        <v>8</v>
      </c>
      <c r="U60" s="7" t="s">
        <v>9</v>
      </c>
      <c r="V60" s="7" t="s">
        <v>8</v>
      </c>
    </row>
    <row r="62" spans="5:25" ht="15" customHeight="1" thickBot="1" x14ac:dyDescent="0.3">
      <c r="F62" s="6">
        <v>425</v>
      </c>
      <c r="G62" s="1" t="s">
        <v>23</v>
      </c>
      <c r="H62" s="4">
        <f>SUM(H55:H55)</f>
        <v>0</v>
      </c>
      <c r="I62" s="4"/>
      <c r="S62" s="6">
        <v>425</v>
      </c>
      <c r="T62" s="1" t="s">
        <v>80</v>
      </c>
      <c r="U62" s="4">
        <f>SUM(U55:U55)</f>
        <v>0</v>
      </c>
    </row>
    <row r="63" spans="5:25" ht="15" customHeight="1" thickBot="1" x14ac:dyDescent="0.3">
      <c r="F63" s="5">
        <v>5121</v>
      </c>
      <c r="G63" s="1" t="s">
        <v>2</v>
      </c>
      <c r="H63" s="1" t="s">
        <v>1</v>
      </c>
      <c r="I63" s="4">
        <f>K55</f>
        <v>0</v>
      </c>
      <c r="S63" s="5">
        <v>5121</v>
      </c>
      <c r="T63" s="1" t="s">
        <v>81</v>
      </c>
      <c r="U63" s="1" t="s">
        <v>1</v>
      </c>
      <c r="V63" s="4">
        <f>X55</f>
        <v>0</v>
      </c>
    </row>
    <row r="64" spans="5:25" ht="15.75" customHeight="1" x14ac:dyDescent="0.25"/>
    <row r="65" spans="3:26" ht="18" customHeight="1" x14ac:dyDescent="0.25">
      <c r="G65" s="3" t="s">
        <v>0</v>
      </c>
      <c r="H65" s="1">
        <f>SUM(H62:H63)</f>
        <v>0</v>
      </c>
      <c r="I65" s="1">
        <f>SUM(I62:I63)</f>
        <v>0</v>
      </c>
      <c r="J65" s="2">
        <f>H65-I65</f>
        <v>0</v>
      </c>
      <c r="T65" s="3" t="s">
        <v>0</v>
      </c>
      <c r="U65" s="1">
        <f>SUM(U62:U63)</f>
        <v>0</v>
      </c>
      <c r="V65" s="1">
        <f>SUM(V62:V63)</f>
        <v>0</v>
      </c>
      <c r="W65" s="2">
        <f>U65-V65</f>
        <v>0</v>
      </c>
    </row>
    <row r="66" spans="3:26" ht="15" customHeight="1" x14ac:dyDescent="0.25">
      <c r="C66" s="8"/>
    </row>
    <row r="67" spans="3:26" ht="15" customHeight="1" x14ac:dyDescent="0.25">
      <c r="C67" s="8" t="s">
        <v>27</v>
      </c>
      <c r="P67" s="8" t="s">
        <v>67</v>
      </c>
    </row>
    <row r="68" spans="3:26" ht="15" customHeight="1" x14ac:dyDescent="0.25">
      <c r="C68" s="8"/>
    </row>
    <row r="69" spans="3:26" ht="15" customHeight="1" x14ac:dyDescent="0.25">
      <c r="D69" s="3" t="str">
        <f>"Aferente "&amp;D6&amp;", de inregistrat in "&amp;D6&amp;"."</f>
        <v>Aferente 7.2026, de inregistrat in 7.2026.</v>
      </c>
      <c r="Q69" s="3" t="str">
        <f>"Related to "&amp;Q6&amp;", to be recorded in "&amp;Q6&amp;"."</f>
        <v>Related to 7.2026, to be recorded in 7.2026.</v>
      </c>
    </row>
    <row r="70" spans="3:26" ht="15" customHeight="1" x14ac:dyDescent="0.25">
      <c r="D70" s="3"/>
    </row>
    <row r="71" spans="3:26" ht="15" customHeight="1" x14ac:dyDescent="0.25">
      <c r="D71" s="3" t="s">
        <v>26</v>
      </c>
      <c r="Q71" s="3" t="s">
        <v>82</v>
      </c>
    </row>
    <row r="73" spans="3:26" ht="15" customHeight="1" x14ac:dyDescent="0.25">
      <c r="E73" s="8" t="s">
        <v>16</v>
      </c>
      <c r="R73" s="8" t="s">
        <v>77</v>
      </c>
    </row>
    <row r="74" spans="3:26" ht="15.75" customHeight="1" thickBot="1" x14ac:dyDescent="0.3">
      <c r="E74" s="8"/>
    </row>
    <row r="75" spans="3:26" ht="18" customHeight="1" thickBot="1" x14ac:dyDescent="0.3">
      <c r="G75" s="17" t="s">
        <v>9</v>
      </c>
      <c r="H75" s="17"/>
      <c r="I75" s="17"/>
      <c r="J75" s="17" t="s">
        <v>8</v>
      </c>
      <c r="K75" s="17"/>
      <c r="L75" s="17"/>
      <c r="T75" s="17" t="s">
        <v>9</v>
      </c>
      <c r="U75" s="17"/>
      <c r="V75" s="17"/>
      <c r="W75" s="17" t="s">
        <v>8</v>
      </c>
      <c r="X75" s="17"/>
      <c r="Y75" s="17"/>
    </row>
    <row r="77" spans="3:26" ht="15" customHeight="1" x14ac:dyDescent="0.25">
      <c r="G77" s="10" t="s">
        <v>15</v>
      </c>
      <c r="H77" s="10" t="s">
        <v>14</v>
      </c>
      <c r="I77" s="10" t="s">
        <v>13</v>
      </c>
      <c r="J77" s="10" t="s">
        <v>15</v>
      </c>
      <c r="K77" s="10" t="s">
        <v>14</v>
      </c>
      <c r="L77" s="10" t="s">
        <v>13</v>
      </c>
      <c r="T77" s="10" t="s">
        <v>69</v>
      </c>
      <c r="U77" s="10" t="s">
        <v>70</v>
      </c>
      <c r="V77" s="10" t="s">
        <v>71</v>
      </c>
      <c r="W77" s="10" t="s">
        <v>69</v>
      </c>
      <c r="X77" s="10" t="s">
        <v>70</v>
      </c>
      <c r="Y77" s="10" t="s">
        <v>71</v>
      </c>
    </row>
    <row r="79" spans="3:26" ht="15.75" customHeight="1" thickBot="1" x14ac:dyDescent="0.3">
      <c r="F79" s="8" t="s">
        <v>25</v>
      </c>
      <c r="S79" s="8" t="s">
        <v>83</v>
      </c>
    </row>
    <row r="80" spans="3:26" ht="15.75" customHeight="1" thickBot="1" x14ac:dyDescent="0.3">
      <c r="G80" s="6">
        <v>421</v>
      </c>
      <c r="H80" s="4">
        <f>E13</f>
        <v>0</v>
      </c>
      <c r="I80" s="4" t="str">
        <f>"Diminuare datorie salariala cu avansul acordat"&amp;D26</f>
        <v>Diminuare datorie salariala cu avansul acordat - 7.2026 - NEAGU VLAD-FLORIAN</v>
      </c>
      <c r="J80" s="6">
        <v>425</v>
      </c>
      <c r="K80" s="4">
        <f>H80</f>
        <v>0</v>
      </c>
      <c r="L80" s="4" t="str">
        <f>"Inchidere avans acordat personalului"&amp;D26</f>
        <v>Inchidere avans acordat personalului - 7.2026 - NEAGU VLAD-FLORIAN</v>
      </c>
      <c r="T80" s="6">
        <v>421</v>
      </c>
      <c r="U80" s="4">
        <f>R13</f>
        <v>0</v>
      </c>
      <c r="V80" s="4" t="str">
        <f>"Reduction of payroll liability by the advance granted"&amp;Q26</f>
        <v>Reduction of payroll liability by the advance granted - 7.2026 - NEAGU VLAD-FLORIAN</v>
      </c>
      <c r="W80" s="6">
        <v>425</v>
      </c>
      <c r="X80" s="4">
        <f>U80</f>
        <v>0</v>
      </c>
      <c r="Y80" s="4" t="str">
        <f>"Clearing of advance granted to employee"&amp;Q26</f>
        <v>Clearing of advance granted to employee - 7.2026 - NEAGU VLAD-FLORIAN</v>
      </c>
      <c r="Z80" s="1" t="s">
        <v>1</v>
      </c>
    </row>
    <row r="82" spans="5:26" ht="15.75" customHeight="1" thickBot="1" x14ac:dyDescent="0.3">
      <c r="F82" s="8" t="s">
        <v>12</v>
      </c>
      <c r="M82" s="1" t="s">
        <v>1</v>
      </c>
      <c r="S82" s="8" t="s">
        <v>84</v>
      </c>
    </row>
    <row r="83" spans="5:26" ht="15.75" customHeight="1" thickBot="1" x14ac:dyDescent="0.3">
      <c r="G83" s="11">
        <v>641</v>
      </c>
      <c r="H83" s="4">
        <f>E11</f>
        <v>12513</v>
      </c>
      <c r="I83" s="4" t="str">
        <f>"Cheltuieli cu salariile"&amp;D26</f>
        <v>Cheltuieli cu salariile - 7.2026 - NEAGU VLAD-FLORIAN</v>
      </c>
      <c r="J83" s="6">
        <v>421</v>
      </c>
      <c r="K83" s="4">
        <f>H83</f>
        <v>12513</v>
      </c>
      <c r="L83" s="4" t="str">
        <f>"Salarii brute datorate personalului"&amp;D26</f>
        <v>Salarii brute datorate personalului - 7.2026 - NEAGU VLAD-FLORIAN</v>
      </c>
      <c r="M83" s="1" t="s">
        <v>1</v>
      </c>
      <c r="T83" s="11">
        <v>641</v>
      </c>
      <c r="U83" s="4">
        <f>R11</f>
        <v>12513</v>
      </c>
      <c r="V83" s="4" t="str">
        <f>"Wages and salaries expense"&amp;Q26</f>
        <v>Wages and salaries expense - 7.2026 - NEAGU VLAD-FLORIAN</v>
      </c>
      <c r="W83" s="6">
        <v>421</v>
      </c>
      <c r="X83" s="4">
        <f>U83</f>
        <v>12513</v>
      </c>
      <c r="Y83" s="4" t="str">
        <f>"Gross wages payable to employee"&amp;Q26</f>
        <v>Gross wages payable to employee - 7.2026 - NEAGU VLAD-FLORIAN</v>
      </c>
      <c r="Z83" s="1" t="s">
        <v>1</v>
      </c>
    </row>
    <row r="84" spans="5:26" ht="15.75" customHeight="1" x14ac:dyDescent="0.25"/>
    <row r="85" spans="5:26" ht="15.75" customHeight="1" thickBot="1" x14ac:dyDescent="0.3">
      <c r="F85" s="8" t="s">
        <v>11</v>
      </c>
      <c r="I85" s="4"/>
      <c r="L85" s="4"/>
      <c r="M85" s="1" t="s">
        <v>1</v>
      </c>
      <c r="S85" s="8" t="s">
        <v>85</v>
      </c>
    </row>
    <row r="86" spans="5:26" ht="15.75" customHeight="1" thickBot="1" x14ac:dyDescent="0.3">
      <c r="G86" s="6">
        <v>421</v>
      </c>
      <c r="H86" s="4">
        <f>SUM(K86:K88)</f>
        <v>5284</v>
      </c>
      <c r="I86" s="4" t="str">
        <f>"Retineri din salariu: CAS, CASS, impozit"&amp;D26</f>
        <v>Retineri din salariu: CAS, CASS, impozit - 7.2026 - NEAGU VLAD-FLORIAN</v>
      </c>
      <c r="J86" s="6">
        <v>4315</v>
      </c>
      <c r="K86" s="4">
        <f>E17</f>
        <v>3128</v>
      </c>
      <c r="L86" s="4" t="str">
        <f>"CAS retinut, datorat bugetului"&amp;D26</f>
        <v>CAS retinut, datorat bugetului - 7.2026 - NEAGU VLAD-FLORIAN</v>
      </c>
      <c r="M86" s="1" t="s">
        <v>1</v>
      </c>
      <c r="T86" s="6">
        <v>421</v>
      </c>
      <c r="U86" s="4">
        <f>SUM(X86:X88)</f>
        <v>5284</v>
      </c>
      <c r="V86" s="4" t="str">
        <f>"Payroll withholdings: CAS, CASS, income tax"&amp;Q26</f>
        <v>Payroll withholdings: CAS, CASS, income tax - 7.2026 - NEAGU VLAD-FLORIAN</v>
      </c>
      <c r="W86" s="6">
        <v>4315</v>
      </c>
      <c r="X86" s="4">
        <f>R17</f>
        <v>3128</v>
      </c>
      <c r="Y86" s="4" t="str">
        <f>"CAS withheld, payable to the state budget"&amp;Q26</f>
        <v>CAS withheld, payable to the state budget - 7.2026 - NEAGU VLAD-FLORIAN</v>
      </c>
      <c r="Z86" s="1" t="s">
        <v>1</v>
      </c>
    </row>
    <row r="87" spans="5:26" ht="15.75" customHeight="1" thickBot="1" x14ac:dyDescent="0.3">
      <c r="I87" s="4"/>
      <c r="J87" s="6">
        <v>4316</v>
      </c>
      <c r="K87" s="4">
        <f>E18</f>
        <v>1299</v>
      </c>
      <c r="L87" s="4" t="str">
        <f>"CASS retinut, datorat bugetului"&amp;D26</f>
        <v>CASS retinut, datorat bugetului - 7.2026 - NEAGU VLAD-FLORIAN</v>
      </c>
      <c r="M87" s="1" t="s">
        <v>1</v>
      </c>
      <c r="W87" s="6">
        <v>4316</v>
      </c>
      <c r="X87" s="4">
        <f>R18</f>
        <v>1299</v>
      </c>
      <c r="Y87" s="4" t="str">
        <f>"CASS withheld, payable to the state budget"&amp;Q26</f>
        <v>CASS withheld, payable to the state budget - 7.2026 - NEAGU VLAD-FLORIAN</v>
      </c>
      <c r="Z87" s="1" t="s">
        <v>1</v>
      </c>
    </row>
    <row r="88" spans="5:26" ht="15.75" customHeight="1" thickBot="1" x14ac:dyDescent="0.3">
      <c r="I88" s="4"/>
      <c r="J88" s="6">
        <v>444</v>
      </c>
      <c r="K88" s="4">
        <f>E20</f>
        <v>857</v>
      </c>
      <c r="L88" s="4" t="str">
        <f>"Impozit pe venit retinut, datorat bugetului"&amp;D26</f>
        <v>Impozit pe venit retinut, datorat bugetului - 7.2026 - NEAGU VLAD-FLORIAN</v>
      </c>
      <c r="M88" s="1" t="s">
        <v>1</v>
      </c>
      <c r="W88" s="6">
        <v>444</v>
      </c>
      <c r="X88" s="4">
        <f>R20</f>
        <v>857</v>
      </c>
      <c r="Y88" s="4" t="str">
        <f>"Income tax withheld, payable to the state budget"&amp;Q26</f>
        <v>Income tax withheld, payable to the state budget - 7.2026 - NEAGU VLAD-FLORIAN</v>
      </c>
      <c r="Z88" s="1" t="s">
        <v>1</v>
      </c>
    </row>
    <row r="89" spans="5:26" ht="15" customHeight="1" x14ac:dyDescent="0.25">
      <c r="I89" s="4"/>
      <c r="L89" s="4"/>
      <c r="M89" s="1" t="s">
        <v>1</v>
      </c>
    </row>
    <row r="90" spans="5:26" ht="15.75" customHeight="1" thickBot="1" x14ac:dyDescent="0.3">
      <c r="F90" s="8" t="s">
        <v>4</v>
      </c>
      <c r="I90" s="4"/>
      <c r="L90" s="4"/>
      <c r="M90" s="1" t="s">
        <v>1</v>
      </c>
      <c r="S90" s="8" t="s">
        <v>64</v>
      </c>
    </row>
    <row r="91" spans="5:26" ht="15.75" customHeight="1" thickBot="1" x14ac:dyDescent="0.3">
      <c r="G91" s="11">
        <v>646</v>
      </c>
      <c r="H91" s="4">
        <f>E24</f>
        <v>282</v>
      </c>
      <c r="I91" s="4" t="str">
        <f>"Cheltuieli cu CAM"&amp;D26</f>
        <v>Cheltuieli cu CAM - 7.2026 - NEAGU VLAD-FLORIAN</v>
      </c>
      <c r="J91" s="6">
        <v>436</v>
      </c>
      <c r="K91" s="4">
        <f>E24</f>
        <v>282</v>
      </c>
      <c r="L91" s="4" t="str">
        <f>"CAM datorata bugetului"&amp;D26</f>
        <v>CAM datorata bugetului - 7.2026 - NEAGU VLAD-FLORIAN</v>
      </c>
      <c r="M91" s="1" t="s">
        <v>1</v>
      </c>
      <c r="T91" s="11">
        <v>646</v>
      </c>
      <c r="U91" s="4">
        <f>R24</f>
        <v>282</v>
      </c>
      <c r="V91" s="4" t="str">
        <f>"CAM expense"&amp;Q26</f>
        <v>CAM expense - 7.2026 - NEAGU VLAD-FLORIAN</v>
      </c>
      <c r="W91" s="6">
        <v>436</v>
      </c>
      <c r="X91" s="4">
        <f>R24</f>
        <v>282</v>
      </c>
      <c r="Y91" s="4" t="str">
        <f>"CAM payable to the state budget"&amp;Q26</f>
        <v>CAM payable to the state budget - 7.2026 - NEAGU VLAD-FLORIAN</v>
      </c>
      <c r="Z91" s="1" t="s">
        <v>1</v>
      </c>
    </row>
    <row r="93" spans="5:26" ht="15.75" customHeight="1" thickBot="1" x14ac:dyDescent="0.3">
      <c r="F93" s="8" t="s">
        <v>24</v>
      </c>
      <c r="S93" s="8" t="s">
        <v>86</v>
      </c>
    </row>
    <row r="94" spans="5:26" ht="15.75" customHeight="1" thickBot="1" x14ac:dyDescent="0.3">
      <c r="G94" s="11">
        <v>642</v>
      </c>
      <c r="H94" s="4">
        <f>E12</f>
        <v>480</v>
      </c>
      <c r="I94" s="4" t="str">
        <f>"Cheltuieli cu tichetele de masa"&amp;D26</f>
        <v>Cheltuieli cu tichetele de masa - 7.2026 - NEAGU VLAD-FLORIAN</v>
      </c>
      <c r="J94" s="5">
        <v>5328</v>
      </c>
      <c r="K94" s="4">
        <f>H94</f>
        <v>480</v>
      </c>
      <c r="L94" s="4" t="str">
        <f>"Descarcare tichete de masa"&amp;D26</f>
        <v>Descarcare tichete de masa - 7.2026 - NEAGU VLAD-FLORIAN</v>
      </c>
      <c r="T94" s="11">
        <v>642</v>
      </c>
      <c r="U94" s="4">
        <f>R12</f>
        <v>480</v>
      </c>
      <c r="V94" s="4" t="str">
        <f>"Meal voucher expense"&amp;Q26</f>
        <v>Meal voucher expense - 7.2026 - NEAGU VLAD-FLORIAN</v>
      </c>
      <c r="W94" s="5">
        <v>5328</v>
      </c>
      <c r="X94" s="4">
        <f>U94</f>
        <v>480</v>
      </c>
      <c r="Y94" s="4" t="str">
        <f>"Meal vouchers released from stock"&amp;Q26</f>
        <v>Meal vouchers released from stock - 7.2026 - NEAGU VLAD-FLORIAN</v>
      </c>
      <c r="Z94" s="1" t="s">
        <v>1</v>
      </c>
    </row>
    <row r="95" spans="5:26" ht="15.75" customHeight="1" x14ac:dyDescent="0.25"/>
    <row r="96" spans="5:26" ht="15.75" customHeight="1" x14ac:dyDescent="0.25">
      <c r="E96" s="8" t="s">
        <v>10</v>
      </c>
      <c r="R96" s="8" t="s">
        <v>79</v>
      </c>
    </row>
    <row r="97" spans="6:23" ht="15.75" customHeight="1" x14ac:dyDescent="0.25"/>
    <row r="98" spans="6:23" ht="15.75" customHeight="1" x14ac:dyDescent="0.25">
      <c r="H98" s="7" t="s">
        <v>9</v>
      </c>
      <c r="I98" s="7" t="s">
        <v>8</v>
      </c>
      <c r="U98" s="7" t="s">
        <v>9</v>
      </c>
      <c r="V98" s="7" t="s">
        <v>8</v>
      </c>
    </row>
    <row r="99" spans="6:23" ht="15.75" customHeight="1" thickBot="1" x14ac:dyDescent="0.3"/>
    <row r="100" spans="6:23" ht="15.75" customHeight="1" thickBot="1" x14ac:dyDescent="0.3">
      <c r="F100" s="6">
        <v>421</v>
      </c>
      <c r="G100" s="1" t="s">
        <v>7</v>
      </c>
      <c r="H100" s="4">
        <f>H86+H80</f>
        <v>5284</v>
      </c>
      <c r="I100" s="4">
        <f>K83</f>
        <v>12513</v>
      </c>
      <c r="S100" s="6">
        <v>421</v>
      </c>
      <c r="T100" s="1" t="s">
        <v>87</v>
      </c>
      <c r="U100" s="4">
        <f>U86+U80</f>
        <v>5284</v>
      </c>
      <c r="V100" s="4">
        <f>X83</f>
        <v>12513</v>
      </c>
    </row>
    <row r="101" spans="6:23" ht="15.75" customHeight="1" thickBot="1" x14ac:dyDescent="0.3">
      <c r="F101" s="6">
        <v>425</v>
      </c>
      <c r="G101" s="1" t="s">
        <v>23</v>
      </c>
      <c r="H101" s="4" t="s">
        <v>1</v>
      </c>
      <c r="I101" s="4">
        <f>K80</f>
        <v>0</v>
      </c>
      <c r="S101" s="6">
        <v>425</v>
      </c>
      <c r="T101" s="1" t="s">
        <v>80</v>
      </c>
      <c r="U101" s="1" t="s">
        <v>1</v>
      </c>
      <c r="V101" s="4">
        <f>X80</f>
        <v>0</v>
      </c>
    </row>
    <row r="102" spans="6:23" ht="15.75" customHeight="1" thickBot="1" x14ac:dyDescent="0.3">
      <c r="F102" s="6">
        <v>4315</v>
      </c>
      <c r="G102" s="1" t="s">
        <v>6</v>
      </c>
      <c r="H102" s="4"/>
      <c r="I102" s="4">
        <f>K86</f>
        <v>3128</v>
      </c>
      <c r="S102" s="6">
        <v>4315</v>
      </c>
      <c r="T102" s="1" t="s">
        <v>58</v>
      </c>
      <c r="U102" s="1" t="s">
        <v>1</v>
      </c>
      <c r="V102" s="4">
        <f>X86</f>
        <v>3128</v>
      </c>
    </row>
    <row r="103" spans="6:23" ht="15.75" customHeight="1" thickBot="1" x14ac:dyDescent="0.3">
      <c r="F103" s="6">
        <v>4316</v>
      </c>
      <c r="G103" s="1" t="s">
        <v>5</v>
      </c>
      <c r="H103" s="4"/>
      <c r="I103" s="4">
        <f>K87</f>
        <v>1299</v>
      </c>
      <c r="S103" s="6">
        <v>4316</v>
      </c>
      <c r="T103" s="1" t="s">
        <v>59</v>
      </c>
      <c r="U103" s="1" t="s">
        <v>1</v>
      </c>
      <c r="V103" s="4">
        <f>X87</f>
        <v>1299</v>
      </c>
    </row>
    <row r="104" spans="6:23" ht="15.75" customHeight="1" thickBot="1" x14ac:dyDescent="0.3">
      <c r="F104" s="6">
        <v>436</v>
      </c>
      <c r="G104" s="1" t="s">
        <v>4</v>
      </c>
      <c r="H104" s="4"/>
      <c r="I104" s="4">
        <f>K91</f>
        <v>282</v>
      </c>
      <c r="K104" s="4"/>
      <c r="L104" s="4"/>
      <c r="S104" s="6">
        <v>436</v>
      </c>
      <c r="T104" s="1" t="s">
        <v>64</v>
      </c>
      <c r="U104" s="1" t="s">
        <v>1</v>
      </c>
      <c r="V104" s="4">
        <f>X91</f>
        <v>282</v>
      </c>
    </row>
    <row r="105" spans="6:23" ht="15.75" customHeight="1" thickBot="1" x14ac:dyDescent="0.3">
      <c r="F105" s="6">
        <v>444</v>
      </c>
      <c r="G105" s="1" t="s">
        <v>3</v>
      </c>
      <c r="H105" s="4"/>
      <c r="I105" s="4">
        <f>K88</f>
        <v>857</v>
      </c>
      <c r="S105" s="6">
        <v>444</v>
      </c>
      <c r="T105" s="1" t="s">
        <v>61</v>
      </c>
      <c r="V105" s="4">
        <f>X88</f>
        <v>857</v>
      </c>
    </row>
    <row r="106" spans="6:23" ht="15.75" customHeight="1" thickBot="1" x14ac:dyDescent="0.3">
      <c r="F106" s="5">
        <v>5328</v>
      </c>
      <c r="G106" s="1" t="s">
        <v>22</v>
      </c>
      <c r="H106" s="4" t="s">
        <v>1</v>
      </c>
      <c r="I106" s="4">
        <f>K94</f>
        <v>480</v>
      </c>
      <c r="S106" s="5">
        <v>5328</v>
      </c>
      <c r="T106" s="1" t="s">
        <v>88</v>
      </c>
      <c r="U106" s="1" t="s">
        <v>1</v>
      </c>
      <c r="V106" s="4">
        <f>X94</f>
        <v>480</v>
      </c>
    </row>
    <row r="107" spans="6:23" ht="15.75" customHeight="1" thickBot="1" x14ac:dyDescent="0.3">
      <c r="F107" s="11">
        <v>641</v>
      </c>
      <c r="G107" s="1" t="s">
        <v>21</v>
      </c>
      <c r="H107" s="4">
        <f>H83</f>
        <v>12513</v>
      </c>
      <c r="S107" s="11">
        <v>641</v>
      </c>
      <c r="T107" s="1" t="s">
        <v>89</v>
      </c>
      <c r="U107" s="4">
        <f>U83</f>
        <v>12513</v>
      </c>
    </row>
    <row r="108" spans="6:23" ht="15.75" customHeight="1" thickBot="1" x14ac:dyDescent="0.3">
      <c r="F108" s="11">
        <v>642</v>
      </c>
      <c r="G108" s="1" t="s">
        <v>20</v>
      </c>
      <c r="H108" s="4">
        <f>H94</f>
        <v>480</v>
      </c>
      <c r="I108" s="4"/>
      <c r="S108" s="11">
        <v>642</v>
      </c>
      <c r="T108" s="1" t="s">
        <v>90</v>
      </c>
      <c r="U108" s="4">
        <f>U94</f>
        <v>480</v>
      </c>
    </row>
    <row r="109" spans="6:23" ht="15.75" customHeight="1" thickBot="1" x14ac:dyDescent="0.3">
      <c r="F109" s="11">
        <v>646</v>
      </c>
      <c r="G109" s="1" t="s">
        <v>19</v>
      </c>
      <c r="H109" s="4">
        <f>H91</f>
        <v>282</v>
      </c>
      <c r="S109" s="11">
        <v>646</v>
      </c>
      <c r="T109" s="1" t="s">
        <v>91</v>
      </c>
      <c r="U109" s="4">
        <f>U91</f>
        <v>282</v>
      </c>
    </row>
    <row r="110" spans="6:23" ht="15" customHeight="1" x14ac:dyDescent="0.25">
      <c r="H110" s="4"/>
    </row>
    <row r="111" spans="6:23" ht="15" customHeight="1" x14ac:dyDescent="0.25">
      <c r="G111" s="3" t="s">
        <v>0</v>
      </c>
      <c r="H111" s="2">
        <f>SUM(H100:H109)</f>
        <v>18559</v>
      </c>
      <c r="I111" s="2">
        <f>SUM(I100:I109)</f>
        <v>18559</v>
      </c>
      <c r="J111" s="2">
        <f>H111-I111</f>
        <v>0</v>
      </c>
      <c r="T111" s="3" t="s">
        <v>0</v>
      </c>
      <c r="U111" s="2">
        <f>SUM(U100:U109)</f>
        <v>18559</v>
      </c>
      <c r="V111" s="2">
        <f>SUM(V100:V109)</f>
        <v>18559</v>
      </c>
      <c r="W111" s="2">
        <f>U111-V111</f>
        <v>0</v>
      </c>
    </row>
    <row r="113" spans="3:26" ht="15" customHeight="1" x14ac:dyDescent="0.25">
      <c r="C113" s="8" t="s">
        <v>18</v>
      </c>
      <c r="P113" s="8" t="s">
        <v>75</v>
      </c>
    </row>
    <row r="114" spans="3:26" ht="15.75" customHeight="1" x14ac:dyDescent="0.25"/>
    <row r="115" spans="3:26" ht="15" customHeight="1" x14ac:dyDescent="0.25">
      <c r="C115" s="8"/>
      <c r="D115" s="3" t="str">
        <f>"Aferente "&amp;D6&amp;", de inregistrat in "&amp;IF(INT(D6)=12,1,INT(D6)+1)&amp;"."&amp;IF(INT(D6)=12,RIGHT(D6,4)+1,RIGHT(D6,4))&amp;"."</f>
        <v>Aferente 7.2026, de inregistrat in 8.2026.</v>
      </c>
      <c r="Q115" s="3" t="str">
        <f>"Related to "&amp;Q6&amp;", to be recorded in "&amp;IF(INT(Q6)=12,1,INT(Q6)+1)&amp;"."&amp;IF(INT(Q6)=12,RIGHT(Q6,4)+1,RIGHT(Q6,4))&amp;"."</f>
        <v>Related to 7.2026, to be recorded in 8.2026.</v>
      </c>
    </row>
    <row r="116" spans="3:26" ht="15.75" customHeight="1" x14ac:dyDescent="0.25"/>
    <row r="117" spans="3:26" ht="15.75" customHeight="1" x14ac:dyDescent="0.25">
      <c r="D117" s="3" t="s">
        <v>17</v>
      </c>
      <c r="Q117" s="3" t="s">
        <v>76</v>
      </c>
    </row>
    <row r="119" spans="3:26" ht="15.75" customHeight="1" x14ac:dyDescent="0.25">
      <c r="E119" s="8" t="s">
        <v>16</v>
      </c>
      <c r="R119" s="8" t="s">
        <v>77</v>
      </c>
    </row>
    <row r="120" spans="3:26" ht="15.75" customHeight="1" thickBot="1" x14ac:dyDescent="0.3">
      <c r="G120" s="8"/>
      <c r="H120" s="8"/>
      <c r="I120" s="8"/>
      <c r="J120" s="8"/>
      <c r="K120" s="8"/>
      <c r="L120" s="8"/>
    </row>
    <row r="121" spans="3:26" ht="15.75" customHeight="1" thickBot="1" x14ac:dyDescent="0.3">
      <c r="G121" s="17" t="s">
        <v>9</v>
      </c>
      <c r="H121" s="17"/>
      <c r="I121" s="17"/>
      <c r="J121" s="17" t="s">
        <v>8</v>
      </c>
      <c r="K121" s="17"/>
      <c r="L121" s="17"/>
      <c r="T121" s="17" t="s">
        <v>9</v>
      </c>
      <c r="U121" s="17"/>
      <c r="V121" s="17"/>
      <c r="W121" s="17" t="s">
        <v>8</v>
      </c>
      <c r="X121" s="17"/>
      <c r="Y121" s="17"/>
    </row>
    <row r="122" spans="3:26" ht="15.75" customHeight="1" x14ac:dyDescent="0.25">
      <c r="G122" s="8"/>
      <c r="H122" s="8"/>
      <c r="I122" s="8"/>
      <c r="J122" s="8"/>
      <c r="K122" s="8"/>
      <c r="L122" s="8"/>
    </row>
    <row r="123" spans="3:26" ht="15" customHeight="1" x14ac:dyDescent="0.25">
      <c r="G123" s="10" t="s">
        <v>15</v>
      </c>
      <c r="H123" s="10" t="s">
        <v>14</v>
      </c>
      <c r="I123" s="10" t="s">
        <v>13</v>
      </c>
      <c r="J123" s="10" t="s">
        <v>15</v>
      </c>
      <c r="K123" s="10" t="s">
        <v>14</v>
      </c>
      <c r="L123" s="10" t="s">
        <v>13</v>
      </c>
      <c r="T123" s="10" t="s">
        <v>69</v>
      </c>
      <c r="U123" s="10" t="s">
        <v>70</v>
      </c>
      <c r="V123" s="10" t="s">
        <v>71</v>
      </c>
      <c r="W123" s="10" t="s">
        <v>69</v>
      </c>
      <c r="X123" s="10" t="s">
        <v>70</v>
      </c>
      <c r="Y123" s="10" t="s">
        <v>71</v>
      </c>
    </row>
    <row r="125" spans="3:26" ht="15.75" customHeight="1" thickBot="1" x14ac:dyDescent="0.3">
      <c r="F125" s="8" t="s">
        <v>12</v>
      </c>
      <c r="M125" s="1" t="s">
        <v>1</v>
      </c>
      <c r="S125" s="8" t="s">
        <v>84</v>
      </c>
    </row>
    <row r="126" spans="3:26" ht="15.75" customHeight="1" thickBot="1" x14ac:dyDescent="0.3">
      <c r="G126" s="6">
        <v>421</v>
      </c>
      <c r="H126" s="4">
        <f>E22</f>
        <v>7229</v>
      </c>
      <c r="I126" s="4" t="str">
        <f>"Stingere datorie salariala fata de personal"&amp;D26</f>
        <v>Stingere datorie salariala fata de personal - 7.2026 - NEAGU VLAD-FLORIAN</v>
      </c>
      <c r="J126" s="9">
        <v>5121</v>
      </c>
      <c r="K126" s="4">
        <f>E22</f>
        <v>7229</v>
      </c>
      <c r="L126" s="4" t="str">
        <f>"Plata salarii nete din banca"&amp;D26</f>
        <v>Plata salarii nete din banca - 7.2026 - NEAGU VLAD-FLORIAN</v>
      </c>
      <c r="M126" s="1" t="s">
        <v>1</v>
      </c>
      <c r="T126" s="6">
        <v>421</v>
      </c>
      <c r="U126" s="4">
        <f>R22</f>
        <v>7229</v>
      </c>
      <c r="V126" s="4" t="str">
        <f>"Settlement of payroll liability to employee"&amp;Q26</f>
        <v>Settlement of payroll liability to employee - 7.2026 - NEAGU VLAD-FLORIAN</v>
      </c>
      <c r="W126" s="9">
        <v>5121</v>
      </c>
      <c r="X126" s="4">
        <f>R22</f>
        <v>7229</v>
      </c>
      <c r="Y126" s="4" t="str">
        <f>"Payment of net wages from bank"&amp;Q26</f>
        <v>Payment of net wages from bank - 7.2026 - NEAGU VLAD-FLORIAN</v>
      </c>
      <c r="Z126" s="1" t="s">
        <v>1</v>
      </c>
    </row>
    <row r="127" spans="3:26" ht="15" customHeight="1" x14ac:dyDescent="0.25">
      <c r="H127" s="4"/>
      <c r="I127" s="4"/>
      <c r="K127" s="4"/>
      <c r="L127" s="4"/>
      <c r="M127" s="1" t="s">
        <v>1</v>
      </c>
    </row>
    <row r="128" spans="3:26" ht="15" customHeight="1" thickBot="1" x14ac:dyDescent="0.3">
      <c r="F128" s="8" t="s">
        <v>11</v>
      </c>
      <c r="M128" s="1" t="s">
        <v>1</v>
      </c>
      <c r="S128" s="8" t="s">
        <v>85</v>
      </c>
    </row>
    <row r="129" spans="5:26" ht="15" customHeight="1" thickBot="1" x14ac:dyDescent="0.3">
      <c r="G129" s="6">
        <v>4315</v>
      </c>
      <c r="H129" s="4">
        <f>E17</f>
        <v>3128</v>
      </c>
      <c r="I129" s="4" t="str">
        <f>"Stingere datorie CAS catre buget"&amp;D26</f>
        <v>Stingere datorie CAS catre buget - 7.2026 - NEAGU VLAD-FLORIAN</v>
      </c>
      <c r="J129" s="9">
        <v>5121</v>
      </c>
      <c r="K129" s="4">
        <f>SUM(H129:H131)</f>
        <v>5284</v>
      </c>
      <c r="L129" s="4" t="str">
        <f>"Plata CAS, CASS, impozit din banca"&amp;D26</f>
        <v>Plata CAS, CASS, impozit din banca - 7.2026 - NEAGU VLAD-FLORIAN</v>
      </c>
      <c r="M129" s="1" t="s">
        <v>1</v>
      </c>
      <c r="T129" s="6">
        <v>4315</v>
      </c>
      <c r="U129" s="4">
        <f>R17</f>
        <v>3128</v>
      </c>
      <c r="V129" s="4" t="str">
        <f>"Settlement of CAS liability to the state budget"&amp;Q26</f>
        <v>Settlement of CAS liability to the state budget - 7.2026 - NEAGU VLAD-FLORIAN</v>
      </c>
      <c r="W129" s="9">
        <v>5121</v>
      </c>
      <c r="X129" s="4">
        <f>SUM(U129:U131)</f>
        <v>5284</v>
      </c>
      <c r="Y129" s="4" t="str">
        <f>"Payment of CAS, CASS, income tax from bank"&amp;Q26</f>
        <v>Payment of CAS, CASS, income tax from bank - 7.2026 - NEAGU VLAD-FLORIAN</v>
      </c>
      <c r="Z129" s="1" t="s">
        <v>1</v>
      </c>
    </row>
    <row r="130" spans="5:26" ht="15" customHeight="1" thickBot="1" x14ac:dyDescent="0.3">
      <c r="G130" s="6">
        <v>4316</v>
      </c>
      <c r="H130" s="4">
        <f>E18</f>
        <v>1299</v>
      </c>
      <c r="I130" s="4" t="str">
        <f>"Stingere datorie CASS catre buget"&amp;D26</f>
        <v>Stingere datorie CASS catre buget - 7.2026 - NEAGU VLAD-FLORIAN</v>
      </c>
      <c r="J130" s="1" t="s">
        <v>1</v>
      </c>
      <c r="M130" s="1" t="s">
        <v>1</v>
      </c>
      <c r="T130" s="6">
        <v>4316</v>
      </c>
      <c r="U130" s="4">
        <f>R18</f>
        <v>1299</v>
      </c>
      <c r="V130" s="4" t="str">
        <f>"Settlement of CASS liability to the state budget"&amp;Q26</f>
        <v>Settlement of CASS liability to the state budget - 7.2026 - NEAGU VLAD-FLORIAN</v>
      </c>
      <c r="W130" s="1" t="s">
        <v>1</v>
      </c>
    </row>
    <row r="131" spans="5:26" ht="15.75" customHeight="1" thickBot="1" x14ac:dyDescent="0.3">
      <c r="G131" s="6">
        <v>444</v>
      </c>
      <c r="H131" s="4">
        <f>E20</f>
        <v>857</v>
      </c>
      <c r="I131" s="4" t="str">
        <f>"Stingere datorie impozit catre buget"&amp;D26</f>
        <v>Stingere datorie impozit catre buget - 7.2026 - NEAGU VLAD-FLORIAN</v>
      </c>
      <c r="J131" s="1" t="s">
        <v>1</v>
      </c>
      <c r="M131" s="1" t="s">
        <v>1</v>
      </c>
      <c r="T131" s="6">
        <v>444</v>
      </c>
      <c r="U131" s="4">
        <f>R20</f>
        <v>857</v>
      </c>
      <c r="V131" s="4" t="str">
        <f>"Settlement of income tax liability to the state budget"&amp;Q26</f>
        <v>Settlement of income tax liability to the state budget - 7.2026 - NEAGU VLAD-FLORIAN</v>
      </c>
      <c r="W131" s="1" t="s">
        <v>1</v>
      </c>
    </row>
    <row r="132" spans="5:26" ht="15.75" customHeight="1" x14ac:dyDescent="0.25">
      <c r="F132" s="8"/>
    </row>
    <row r="133" spans="5:26" ht="15.75" customHeight="1" x14ac:dyDescent="0.25">
      <c r="M133" s="1" t="s">
        <v>1</v>
      </c>
    </row>
    <row r="134" spans="5:26" ht="15.75" customHeight="1" thickBot="1" x14ac:dyDescent="0.3">
      <c r="F134" s="8" t="s">
        <v>4</v>
      </c>
      <c r="M134" s="1" t="s">
        <v>1</v>
      </c>
      <c r="S134" s="8" t="s">
        <v>64</v>
      </c>
    </row>
    <row r="135" spans="5:26" ht="15.75" customHeight="1" thickBot="1" x14ac:dyDescent="0.3">
      <c r="G135" s="6">
        <v>436</v>
      </c>
      <c r="H135" s="4">
        <f>E24</f>
        <v>282</v>
      </c>
      <c r="I135" s="4" t="str">
        <f>"Stingere datorie CAM catre buget"&amp;D26</f>
        <v>Stingere datorie CAM catre buget - 7.2026 - NEAGU VLAD-FLORIAN</v>
      </c>
      <c r="J135" s="9">
        <v>5121</v>
      </c>
      <c r="K135" s="4">
        <f>E24</f>
        <v>282</v>
      </c>
      <c r="L135" s="4" t="str">
        <f>"Plata CAM din banca"&amp;D26</f>
        <v>Plata CAM din banca - 7.2026 - NEAGU VLAD-FLORIAN</v>
      </c>
      <c r="M135" s="1" t="s">
        <v>1</v>
      </c>
      <c r="T135" s="6">
        <v>436</v>
      </c>
      <c r="U135" s="4">
        <f>R24</f>
        <v>282</v>
      </c>
      <c r="V135" s="4" t="str">
        <f>"Settlement of CAM liability to the state budget"&amp;Q26</f>
        <v>Settlement of CAM liability to the state budget - 7.2026 - NEAGU VLAD-FLORIAN</v>
      </c>
      <c r="W135" s="9">
        <v>5121</v>
      </c>
      <c r="X135" s="4">
        <f>R24</f>
        <v>282</v>
      </c>
      <c r="Y135" s="4" t="str">
        <f>"Payment of CAM from bank"&amp;Q26</f>
        <v>Payment of CAM from bank - 7.2026 - NEAGU VLAD-FLORIAN</v>
      </c>
      <c r="Z135" s="1" t="s">
        <v>1</v>
      </c>
    </row>
    <row r="136" spans="5:26" ht="15.75" customHeight="1" x14ac:dyDescent="0.25"/>
    <row r="137" spans="5:26" ht="15.75" customHeight="1" x14ac:dyDescent="0.25">
      <c r="E137" s="8" t="s">
        <v>10</v>
      </c>
      <c r="R137" s="8" t="s">
        <v>79</v>
      </c>
    </row>
    <row r="139" spans="5:26" ht="15" customHeight="1" x14ac:dyDescent="0.25">
      <c r="H139" s="7" t="s">
        <v>9</v>
      </c>
      <c r="I139" s="7" t="s">
        <v>8</v>
      </c>
      <c r="U139" s="7" t="s">
        <v>9</v>
      </c>
      <c r="V139" s="7" t="s">
        <v>8</v>
      </c>
    </row>
    <row r="141" spans="5:26" ht="15" customHeight="1" thickBot="1" x14ac:dyDescent="0.3">
      <c r="F141" s="6">
        <v>421</v>
      </c>
      <c r="G141" s="1" t="s">
        <v>7</v>
      </c>
      <c r="H141" s="4">
        <f>SUM(H126:H126)</f>
        <v>7229</v>
      </c>
      <c r="I141" s="4"/>
      <c r="S141" s="6">
        <v>421</v>
      </c>
      <c r="T141" s="1" t="s">
        <v>87</v>
      </c>
      <c r="U141" s="4">
        <f>SUM(U126:U126)</f>
        <v>7229</v>
      </c>
    </row>
    <row r="142" spans="5:26" ht="15" customHeight="1" thickBot="1" x14ac:dyDescent="0.3">
      <c r="F142" s="6">
        <v>4315</v>
      </c>
      <c r="G142" s="1" t="s">
        <v>6</v>
      </c>
      <c r="H142" s="4">
        <f>H129</f>
        <v>3128</v>
      </c>
      <c r="I142" s="4"/>
      <c r="S142" s="6">
        <v>4315</v>
      </c>
      <c r="T142" s="1" t="s">
        <v>58</v>
      </c>
      <c r="U142" s="4">
        <f>U129</f>
        <v>3128</v>
      </c>
    </row>
    <row r="143" spans="5:26" ht="15.75" customHeight="1" thickBot="1" x14ac:dyDescent="0.3">
      <c r="F143" s="6">
        <v>4316</v>
      </c>
      <c r="G143" s="1" t="s">
        <v>5</v>
      </c>
      <c r="H143" s="4">
        <f>H130</f>
        <v>1299</v>
      </c>
      <c r="I143" s="4"/>
      <c r="S143" s="6">
        <v>4316</v>
      </c>
      <c r="T143" s="1" t="s">
        <v>59</v>
      </c>
      <c r="U143" s="4">
        <f>U130</f>
        <v>1299</v>
      </c>
    </row>
    <row r="144" spans="5:26" ht="15.75" customHeight="1" thickBot="1" x14ac:dyDescent="0.3">
      <c r="F144" s="6">
        <v>436</v>
      </c>
      <c r="G144" s="1" t="s">
        <v>4</v>
      </c>
      <c r="H144" s="4">
        <f>H135</f>
        <v>282</v>
      </c>
      <c r="I144" s="4"/>
      <c r="K144" s="4"/>
      <c r="L144" s="4"/>
      <c r="S144" s="6">
        <v>436</v>
      </c>
      <c r="T144" s="1" t="s">
        <v>64</v>
      </c>
      <c r="U144" s="4">
        <f>U135</f>
        <v>282</v>
      </c>
    </row>
    <row r="145" spans="6:23" ht="15.75" customHeight="1" thickBot="1" x14ac:dyDescent="0.3">
      <c r="F145" s="6">
        <v>444</v>
      </c>
      <c r="G145" s="1" t="s">
        <v>3</v>
      </c>
      <c r="H145" s="4">
        <f>H131</f>
        <v>857</v>
      </c>
      <c r="I145" s="4"/>
      <c r="S145" s="6">
        <v>444</v>
      </c>
      <c r="T145" s="1" t="s">
        <v>61</v>
      </c>
      <c r="U145" s="4">
        <f>U131</f>
        <v>857</v>
      </c>
    </row>
    <row r="146" spans="6:23" ht="15.75" customHeight="1" thickBot="1" x14ac:dyDescent="0.3">
      <c r="F146" s="5">
        <v>5121</v>
      </c>
      <c r="G146" s="1" t="s">
        <v>2</v>
      </c>
      <c r="H146" s="1" t="s">
        <v>1</v>
      </c>
      <c r="I146" s="4">
        <f>SUM(K126,K129,K135)</f>
        <v>12795</v>
      </c>
      <c r="S146" s="5">
        <v>5121</v>
      </c>
      <c r="T146" s="1" t="s">
        <v>81</v>
      </c>
      <c r="U146" s="1" t="s">
        <v>1</v>
      </c>
      <c r="V146" s="4">
        <f>SUM(X126,X129,X135)</f>
        <v>12795</v>
      </c>
    </row>
    <row r="148" spans="6:23" ht="15" customHeight="1" x14ac:dyDescent="0.25">
      <c r="G148" s="3" t="s">
        <v>0</v>
      </c>
      <c r="H148" s="2">
        <f>SUM(H141:H146)</f>
        <v>12795</v>
      </c>
      <c r="I148" s="2">
        <f>SUM(I141:I146)</f>
        <v>12795</v>
      </c>
      <c r="J148" s="2">
        <f>H148-I148</f>
        <v>0</v>
      </c>
      <c r="T148" s="3" t="s">
        <v>0</v>
      </c>
      <c r="U148" s="2">
        <f>SUM(U141:U146)</f>
        <v>12795</v>
      </c>
      <c r="V148" s="2">
        <f>SUM(V141:V146)</f>
        <v>12795</v>
      </c>
      <c r="W148" s="2">
        <f>U148-V148</f>
        <v>0</v>
      </c>
    </row>
  </sheetData>
  <mergeCells count="16">
    <mergeCell ref="G75:I75"/>
    <mergeCell ref="J75:L75"/>
    <mergeCell ref="T75:V75"/>
    <mergeCell ref="W75:Y75"/>
    <mergeCell ref="G121:I121"/>
    <mergeCell ref="J121:L121"/>
    <mergeCell ref="T121:V121"/>
    <mergeCell ref="W121:Y121"/>
    <mergeCell ref="G35:I35"/>
    <mergeCell ref="J35:L35"/>
    <mergeCell ref="T35:V35"/>
    <mergeCell ref="W35:Y35"/>
    <mergeCell ref="G50:I50"/>
    <mergeCell ref="J50:L50"/>
    <mergeCell ref="T50:V50"/>
    <mergeCell ref="W50:Y50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DE4A6-5755-420A-842B-B43B78D49A93}">
  <dimension ref="B2:Z148"/>
  <sheetViews>
    <sheetView zoomScaleNormal="100" workbookViewId="0">
      <selection activeCell="H19" sqref="H19"/>
    </sheetView>
  </sheetViews>
  <sheetFormatPr defaultColWidth="8.7109375" defaultRowHeight="15" x14ac:dyDescent="0.25"/>
  <cols>
    <col min="1" max="3" width="8.7109375" style="1"/>
    <col min="4" max="4" width="9.85546875" style="1" customWidth="1"/>
    <col min="5" max="6" width="9.28515625" style="1" customWidth="1"/>
    <col min="7" max="7" width="10.42578125" style="1" customWidth="1"/>
    <col min="8" max="8" width="13.140625" style="1" customWidth="1"/>
    <col min="9" max="9" width="9.7109375" style="1" customWidth="1"/>
    <col min="10" max="10" width="9.28515625" style="1" customWidth="1"/>
    <col min="11" max="11" width="14.140625" style="1" customWidth="1"/>
    <col min="12" max="12" width="20" style="1" customWidth="1"/>
    <col min="13" max="16" width="8.7109375" style="1"/>
    <col min="17" max="17" width="9.85546875" style="1" customWidth="1"/>
    <col min="18" max="18" width="9.28515625" style="1" customWidth="1"/>
    <col min="19" max="19" width="8.7109375" style="1"/>
    <col min="20" max="20" width="10.42578125" style="1" customWidth="1"/>
    <col min="21" max="21" width="13.140625" style="1" customWidth="1"/>
    <col min="22" max="22" width="9.7109375" style="1" customWidth="1"/>
    <col min="23" max="23" width="9.28515625" style="1" customWidth="1"/>
    <col min="24" max="24" width="14.140625" style="1" customWidth="1"/>
    <col min="25" max="25" width="20" style="1" customWidth="1"/>
    <col min="26" max="16384" width="8.7109375" style="1"/>
  </cols>
  <sheetData>
    <row r="2" spans="2:18" ht="15" customHeight="1" x14ac:dyDescent="0.25">
      <c r="B2" s="8" t="s">
        <v>47</v>
      </c>
      <c r="O2" s="8" t="s">
        <v>47</v>
      </c>
    </row>
    <row r="3" spans="2:18" ht="15" customHeight="1" x14ac:dyDescent="0.25">
      <c r="B3" s="8"/>
    </row>
    <row r="4" spans="2:18" ht="15" customHeight="1" x14ac:dyDescent="0.25">
      <c r="C4" s="18" t="s">
        <v>46</v>
      </c>
    </row>
    <row r="5" spans="2:18" ht="15.75" customHeight="1" thickBot="1" x14ac:dyDescent="0.3">
      <c r="C5" s="15"/>
      <c r="E5" s="15"/>
    </row>
    <row r="6" spans="2:18" ht="15.75" customHeight="1" thickBot="1" x14ac:dyDescent="0.3">
      <c r="C6" s="1" t="s">
        <v>45</v>
      </c>
      <c r="D6" s="16" t="s">
        <v>92</v>
      </c>
      <c r="P6" s="1" t="s">
        <v>51</v>
      </c>
      <c r="Q6" s="4" t="str">
        <f>D6</f>
        <v>7.2026</v>
      </c>
    </row>
    <row r="7" spans="2:18" ht="15.75" customHeight="1" thickBot="1" x14ac:dyDescent="0.3">
      <c r="C7" s="1" t="s">
        <v>44</v>
      </c>
      <c r="D7" s="13" t="s">
        <v>49</v>
      </c>
      <c r="E7" s="1" t="s">
        <v>1</v>
      </c>
      <c r="P7" s="1" t="s">
        <v>52</v>
      </c>
      <c r="Q7" s="4" t="str">
        <f>D7</f>
        <v>POPESCU IOANA-GABRIELA</v>
      </c>
    </row>
    <row r="8" spans="2:18" ht="15" customHeight="1" x14ac:dyDescent="0.25">
      <c r="C8" s="15"/>
      <c r="E8" s="15"/>
    </row>
    <row r="9" spans="2:18" ht="15" customHeight="1" x14ac:dyDescent="0.25">
      <c r="E9" s="14" t="s">
        <v>42</v>
      </c>
      <c r="R9" s="14" t="s">
        <v>42</v>
      </c>
    </row>
    <row r="10" spans="2:18" ht="15.75" customHeight="1" thickBot="1" x14ac:dyDescent="0.3"/>
    <row r="11" spans="2:18" ht="15.75" customHeight="1" thickBot="1" x14ac:dyDescent="0.3">
      <c r="C11" s="1" t="s">
        <v>53</v>
      </c>
      <c r="E11" s="13">
        <v>9627</v>
      </c>
      <c r="P11" s="1" t="s">
        <v>54</v>
      </c>
      <c r="R11" s="4">
        <f>E11</f>
        <v>9627</v>
      </c>
    </row>
    <row r="12" spans="2:18" ht="15.75" customHeight="1" thickBot="1" x14ac:dyDescent="0.3">
      <c r="C12" s="1" t="s">
        <v>41</v>
      </c>
      <c r="E12" s="13">
        <v>690</v>
      </c>
      <c r="P12" s="1" t="s">
        <v>55</v>
      </c>
      <c r="R12" s="4">
        <f>E12</f>
        <v>690</v>
      </c>
    </row>
    <row r="13" spans="2:18" ht="15.75" customHeight="1" thickBot="1" x14ac:dyDescent="0.3">
      <c r="C13" s="1" t="s">
        <v>40</v>
      </c>
      <c r="E13" s="13">
        <v>0</v>
      </c>
      <c r="P13" s="1" t="s">
        <v>56</v>
      </c>
      <c r="R13" s="4">
        <f>E13</f>
        <v>0</v>
      </c>
    </row>
    <row r="15" spans="2:18" ht="15" customHeight="1" x14ac:dyDescent="0.25">
      <c r="B15" s="8" t="s">
        <v>39</v>
      </c>
      <c r="O15" s="8" t="s">
        <v>57</v>
      </c>
    </row>
    <row r="17" spans="2:18" ht="15" customHeight="1" x14ac:dyDescent="0.25">
      <c r="C17" s="1" t="s">
        <v>6</v>
      </c>
      <c r="D17" s="1">
        <v>0.25</v>
      </c>
      <c r="E17" s="4">
        <f>ROUND(E11*D17,0)</f>
        <v>2407</v>
      </c>
      <c r="P17" s="1" t="s">
        <v>58</v>
      </c>
      <c r="Q17" s="1">
        <f>D17</f>
        <v>0.25</v>
      </c>
      <c r="R17" s="4">
        <f>ROUND(R11*Q17,0)</f>
        <v>2407</v>
      </c>
    </row>
    <row r="18" spans="2:18" ht="15" customHeight="1" x14ac:dyDescent="0.25">
      <c r="C18" s="1" t="s">
        <v>5</v>
      </c>
      <c r="D18" s="1">
        <v>0.1</v>
      </c>
      <c r="E18" s="4">
        <f>ROUND((E11+E12)*D18,0)</f>
        <v>1032</v>
      </c>
      <c r="P18" s="1" t="s">
        <v>59</v>
      </c>
      <c r="Q18" s="1">
        <f>D18</f>
        <v>0.1</v>
      </c>
      <c r="R18" s="4">
        <f>ROUND((R11+R12)*Q18,0)</f>
        <v>1032</v>
      </c>
    </row>
    <row r="19" spans="2:18" ht="15" customHeight="1" x14ac:dyDescent="0.25">
      <c r="C19" s="1" t="s">
        <v>38</v>
      </c>
      <c r="E19" s="4">
        <f>E11-E17-E18</f>
        <v>6188</v>
      </c>
      <c r="P19" s="1" t="s">
        <v>60</v>
      </c>
      <c r="R19" s="4">
        <f>R11-R17-R18</f>
        <v>6188</v>
      </c>
    </row>
    <row r="20" spans="2:18" ht="15" customHeight="1" x14ac:dyDescent="0.25">
      <c r="C20" s="1" t="s">
        <v>3</v>
      </c>
      <c r="D20" s="1">
        <v>0.1</v>
      </c>
      <c r="E20" s="4">
        <f>ROUND((E19+E12)*D20,0)</f>
        <v>688</v>
      </c>
      <c r="P20" s="1" t="s">
        <v>61</v>
      </c>
      <c r="Q20" s="1">
        <f>D20</f>
        <v>0.1</v>
      </c>
      <c r="R20" s="4">
        <f>ROUND((R19+R12)*Q20,0)</f>
        <v>688</v>
      </c>
    </row>
    <row r="21" spans="2:18" ht="15" customHeight="1" x14ac:dyDescent="0.25">
      <c r="C21" s="1" t="s">
        <v>37</v>
      </c>
      <c r="E21" s="4">
        <f>E19-E20</f>
        <v>5500</v>
      </c>
      <c r="P21" s="1" t="s">
        <v>62</v>
      </c>
      <c r="R21" s="4">
        <f>R19-R20</f>
        <v>5500</v>
      </c>
    </row>
    <row r="22" spans="2:18" ht="15" customHeight="1" x14ac:dyDescent="0.25">
      <c r="C22" s="1" t="s">
        <v>36</v>
      </c>
      <c r="E22" s="4">
        <f>E21-E13</f>
        <v>5500</v>
      </c>
      <c r="P22" s="1" t="s">
        <v>63</v>
      </c>
      <c r="R22" s="4">
        <f>R21-R13</f>
        <v>5500</v>
      </c>
    </row>
    <row r="24" spans="2:18" ht="15" customHeight="1" x14ac:dyDescent="0.25">
      <c r="C24" s="1" t="s">
        <v>4</v>
      </c>
      <c r="D24" s="1">
        <v>2.2499999999999999E-2</v>
      </c>
      <c r="E24" s="4">
        <f>ROUND(E11*D24,0)</f>
        <v>217</v>
      </c>
      <c r="P24" s="1" t="s">
        <v>64</v>
      </c>
      <c r="Q24" s="1">
        <f>D24</f>
        <v>2.2499999999999999E-2</v>
      </c>
      <c r="R24" s="4">
        <f>ROUND(R11*Q24,0)</f>
        <v>217</v>
      </c>
    </row>
    <row r="26" spans="2:18" ht="15" customHeight="1" x14ac:dyDescent="0.25">
      <c r="C26" s="3" t="s">
        <v>35</v>
      </c>
      <c r="D26" s="3" t="str">
        <f>" - "&amp;D6&amp;" - "&amp;D7</f>
        <v xml:space="preserve"> - 7.2026 - POPESCU IOANA-GABRIELA</v>
      </c>
      <c r="E26" s="1" t="s">
        <v>1</v>
      </c>
      <c r="P26" s="3" t="s">
        <v>65</v>
      </c>
      <c r="Q26" s="3" t="str">
        <f>" - "&amp;Q6&amp;" - "&amp;Q7</f>
        <v xml:space="preserve"> - 7.2026 - POPESCU IOANA-GABRIELA</v>
      </c>
    </row>
    <row r="29" spans="2:18" ht="15" customHeight="1" x14ac:dyDescent="0.25">
      <c r="B29" s="8" t="s">
        <v>34</v>
      </c>
      <c r="O29" s="8" t="s">
        <v>66</v>
      </c>
    </row>
    <row r="30" spans="2:18" ht="15" customHeight="1" x14ac:dyDescent="0.25">
      <c r="B30" s="8"/>
    </row>
    <row r="31" spans="2:18" ht="15" customHeight="1" x14ac:dyDescent="0.25">
      <c r="C31" s="8" t="s">
        <v>27</v>
      </c>
      <c r="P31" s="8" t="s">
        <v>67</v>
      </c>
    </row>
    <row r="32" spans="2:18" ht="15" customHeight="1" x14ac:dyDescent="0.25">
      <c r="C32" s="8"/>
    </row>
    <row r="33" spans="3:25" ht="15" customHeight="1" x14ac:dyDescent="0.25">
      <c r="C33" s="8"/>
      <c r="D33" s="3" t="s">
        <v>33</v>
      </c>
      <c r="Q33" s="3" t="s">
        <v>68</v>
      </c>
    </row>
    <row r="34" spans="3:25" ht="15.75" customHeight="1" thickBot="1" x14ac:dyDescent="0.3">
      <c r="C34" s="8"/>
    </row>
    <row r="35" spans="3:25" ht="18" customHeight="1" thickBot="1" x14ac:dyDescent="0.3">
      <c r="C35" s="8"/>
      <c r="G35" s="17" t="s">
        <v>9</v>
      </c>
      <c r="H35" s="17"/>
      <c r="I35" s="17"/>
      <c r="J35" s="17" t="s">
        <v>8</v>
      </c>
      <c r="K35" s="17"/>
      <c r="L35" s="17"/>
      <c r="T35" s="17" t="s">
        <v>9</v>
      </c>
      <c r="U35" s="17"/>
      <c r="V35" s="17"/>
      <c r="W35" s="17" t="s">
        <v>8</v>
      </c>
      <c r="X35" s="17"/>
      <c r="Y35" s="17"/>
    </row>
    <row r="36" spans="3:25" ht="15" customHeight="1" x14ac:dyDescent="0.25">
      <c r="C36" s="8"/>
    </row>
    <row r="37" spans="3:25" ht="15" customHeight="1" x14ac:dyDescent="0.25">
      <c r="C37" s="8"/>
      <c r="G37" s="10" t="s">
        <v>15</v>
      </c>
      <c r="H37" s="10" t="s">
        <v>14</v>
      </c>
      <c r="I37" s="10" t="s">
        <v>13</v>
      </c>
      <c r="J37" s="10" t="s">
        <v>15</v>
      </c>
      <c r="K37" s="10" t="s">
        <v>14</v>
      </c>
      <c r="L37" s="10" t="s">
        <v>13</v>
      </c>
      <c r="T37" s="10" t="s">
        <v>69</v>
      </c>
      <c r="U37" s="10" t="s">
        <v>70</v>
      </c>
      <c r="V37" s="10" t="s">
        <v>71</v>
      </c>
      <c r="W37" s="10" t="s">
        <v>69</v>
      </c>
      <c r="X37" s="10" t="s">
        <v>70</v>
      </c>
      <c r="Y37" s="10" t="s">
        <v>71</v>
      </c>
    </row>
    <row r="38" spans="3:25" ht="15" customHeight="1" x14ac:dyDescent="0.25">
      <c r="C38" s="8"/>
    </row>
    <row r="39" spans="3:25" ht="15.75" customHeight="1" thickBot="1" x14ac:dyDescent="0.3">
      <c r="F39" s="8"/>
    </row>
    <row r="40" spans="3:25" ht="15.75" customHeight="1" thickBot="1" x14ac:dyDescent="0.3">
      <c r="G40" s="5">
        <v>5328</v>
      </c>
      <c r="H40" s="12" t="s">
        <v>30</v>
      </c>
      <c r="I40" s="4" t="s">
        <v>32</v>
      </c>
      <c r="J40" s="6" t="s">
        <v>31</v>
      </c>
      <c r="K40" s="12" t="s">
        <v>30</v>
      </c>
      <c r="L40" s="4" t="s">
        <v>29</v>
      </c>
      <c r="M40" s="4" t="s">
        <v>1</v>
      </c>
      <c r="T40" s="5">
        <v>5328</v>
      </c>
      <c r="U40" s="12" t="s">
        <v>72</v>
      </c>
      <c r="V40" s="4" t="s">
        <v>73</v>
      </c>
      <c r="W40" s="6" t="s">
        <v>31</v>
      </c>
      <c r="X40" s="12" t="s">
        <v>72</v>
      </c>
      <c r="Y40" s="4" t="s">
        <v>74</v>
      </c>
    </row>
    <row r="41" spans="3:25" ht="15" customHeight="1" x14ac:dyDescent="0.25">
      <c r="C41" s="8"/>
    </row>
    <row r="42" spans="3:25" ht="15.75" customHeight="1" x14ac:dyDescent="0.25">
      <c r="C42" s="8" t="s">
        <v>18</v>
      </c>
      <c r="P42" s="8" t="s">
        <v>75</v>
      </c>
    </row>
    <row r="44" spans="3:25" ht="15" customHeight="1" x14ac:dyDescent="0.25">
      <c r="C44" s="8"/>
      <c r="D44" s="3" t="str">
        <f>"Aferente "&amp;D6&amp;", de inregistrat in "&amp;D6&amp;"."</f>
        <v>Aferente 7.2026, de inregistrat in 7.2026.</v>
      </c>
      <c r="Q44" s="3" t="str">
        <f>"Related to "&amp;Q6&amp;", to be recorded in "&amp;Q6&amp;"."</f>
        <v>Related to 7.2026, to be recorded in 7.2026.</v>
      </c>
    </row>
    <row r="45" spans="3:25" ht="15.75" customHeight="1" x14ac:dyDescent="0.25"/>
    <row r="46" spans="3:25" ht="15.75" customHeight="1" x14ac:dyDescent="0.25">
      <c r="D46" s="3" t="s">
        <v>17</v>
      </c>
      <c r="Q46" s="3" t="s">
        <v>76</v>
      </c>
    </row>
    <row r="48" spans="3:25" ht="15" customHeight="1" x14ac:dyDescent="0.25">
      <c r="E48" s="8" t="s">
        <v>16</v>
      </c>
      <c r="R48" s="8" t="s">
        <v>77</v>
      </c>
    </row>
    <row r="49" spans="5:25" ht="15" customHeight="1" thickBot="1" x14ac:dyDescent="0.3">
      <c r="G49" s="8"/>
      <c r="H49" s="8"/>
      <c r="I49" s="8"/>
      <c r="J49" s="8"/>
      <c r="K49" s="8"/>
      <c r="L49" s="8"/>
    </row>
    <row r="50" spans="5:25" ht="17.25" customHeight="1" thickBot="1" x14ac:dyDescent="0.3">
      <c r="G50" s="17" t="s">
        <v>9</v>
      </c>
      <c r="H50" s="17"/>
      <c r="I50" s="17"/>
      <c r="J50" s="17" t="s">
        <v>8</v>
      </c>
      <c r="K50" s="17"/>
      <c r="L50" s="17"/>
      <c r="T50" s="17" t="s">
        <v>9</v>
      </c>
      <c r="U50" s="17"/>
      <c r="V50" s="17"/>
      <c r="W50" s="17" t="s">
        <v>8</v>
      </c>
      <c r="X50" s="17"/>
      <c r="Y50" s="17"/>
    </row>
    <row r="51" spans="5:25" ht="15" customHeight="1" x14ac:dyDescent="0.25">
      <c r="G51" s="8"/>
      <c r="H51" s="8"/>
      <c r="I51" s="8"/>
      <c r="J51" s="8"/>
      <c r="K51" s="8"/>
      <c r="L51" s="8"/>
    </row>
    <row r="52" spans="5:25" ht="15.75" customHeight="1" x14ac:dyDescent="0.25">
      <c r="G52" s="10" t="s">
        <v>15</v>
      </c>
      <c r="H52" s="10" t="s">
        <v>14</v>
      </c>
      <c r="I52" s="10" t="s">
        <v>13</v>
      </c>
      <c r="J52" s="10" t="s">
        <v>15</v>
      </c>
      <c r="K52" s="10" t="s">
        <v>14</v>
      </c>
      <c r="L52" s="10" t="s">
        <v>13</v>
      </c>
      <c r="T52" s="10" t="s">
        <v>69</v>
      </c>
      <c r="U52" s="10" t="s">
        <v>70</v>
      </c>
      <c r="V52" s="10" t="s">
        <v>71</v>
      </c>
      <c r="W52" s="10" t="s">
        <v>69</v>
      </c>
      <c r="X52" s="10" t="s">
        <v>70</v>
      </c>
      <c r="Y52" s="10" t="s">
        <v>71</v>
      </c>
    </row>
    <row r="53" spans="5:25" ht="15.75" customHeight="1" x14ac:dyDescent="0.25"/>
    <row r="54" spans="5:25" ht="15.75" customHeight="1" thickBot="1" x14ac:dyDescent="0.3">
      <c r="F54" s="8" t="s">
        <v>28</v>
      </c>
      <c r="M54" s="1" t="s">
        <v>1</v>
      </c>
      <c r="S54" s="8" t="s">
        <v>78</v>
      </c>
    </row>
    <row r="55" spans="5:25" ht="15" customHeight="1" thickBot="1" x14ac:dyDescent="0.3">
      <c r="G55" s="6">
        <v>425</v>
      </c>
      <c r="H55" s="4">
        <f>E13</f>
        <v>0</v>
      </c>
      <c r="I55" s="4" t="str">
        <f>"Avans acordat personalului"&amp;D26</f>
        <v>Avans acordat personalului - 7.2026 - POPESCU IOANA-GABRIELA</v>
      </c>
      <c r="J55" s="5">
        <v>5121</v>
      </c>
      <c r="K55" s="4">
        <f>E13</f>
        <v>0</v>
      </c>
      <c r="L55" s="4" t="str">
        <f>"Plata avans personal din banca"&amp;D26</f>
        <v>Plata avans personal din banca - 7.2026 - POPESCU IOANA-GABRIELA</v>
      </c>
      <c r="M55" s="1" t="s">
        <v>1</v>
      </c>
      <c r="T55" s="6">
        <v>425</v>
      </c>
      <c r="U55" s="4">
        <f>R13</f>
        <v>0</v>
      </c>
      <c r="V55" s="4" t="str">
        <f>"Advance granted to employee"&amp;Q26</f>
        <v>Advance granted to employee - 7.2026 - POPESCU IOANA-GABRIELA</v>
      </c>
      <c r="W55" s="5">
        <v>5121</v>
      </c>
      <c r="X55" s="4">
        <f>R13</f>
        <v>0</v>
      </c>
      <c r="Y55" s="4" t="str">
        <f>"Payment of employee advance from bank"&amp;Q26</f>
        <v>Payment of employee advance from bank - 7.2026 - POPESCU IOANA-GABRIELA</v>
      </c>
    </row>
    <row r="56" spans="5:25" ht="15" customHeight="1" x14ac:dyDescent="0.25">
      <c r="H56" s="4"/>
      <c r="I56" s="4"/>
      <c r="K56" s="4"/>
      <c r="L56" s="4"/>
      <c r="M56" s="1" t="s">
        <v>1</v>
      </c>
    </row>
    <row r="58" spans="5:25" ht="15" customHeight="1" x14ac:dyDescent="0.25">
      <c r="E58" s="8" t="s">
        <v>10</v>
      </c>
      <c r="R58" s="8" t="s">
        <v>79</v>
      </c>
    </row>
    <row r="60" spans="5:25" ht="15" customHeight="1" x14ac:dyDescent="0.25">
      <c r="H60" s="7" t="s">
        <v>9</v>
      </c>
      <c r="I60" s="7" t="s">
        <v>8</v>
      </c>
      <c r="U60" s="7" t="s">
        <v>9</v>
      </c>
      <c r="V60" s="7" t="s">
        <v>8</v>
      </c>
    </row>
    <row r="62" spans="5:25" ht="15" customHeight="1" thickBot="1" x14ac:dyDescent="0.3">
      <c r="F62" s="6">
        <v>425</v>
      </c>
      <c r="G62" s="1" t="s">
        <v>23</v>
      </c>
      <c r="H62" s="4">
        <f>SUM(H55:H55)</f>
        <v>0</v>
      </c>
      <c r="I62" s="4"/>
      <c r="S62" s="6">
        <v>425</v>
      </c>
      <c r="T62" s="1" t="s">
        <v>80</v>
      </c>
      <c r="U62" s="4">
        <f>SUM(U55:U55)</f>
        <v>0</v>
      </c>
    </row>
    <row r="63" spans="5:25" ht="15" customHeight="1" thickBot="1" x14ac:dyDescent="0.3">
      <c r="F63" s="5">
        <v>5121</v>
      </c>
      <c r="G63" s="1" t="s">
        <v>2</v>
      </c>
      <c r="H63" s="1" t="s">
        <v>1</v>
      </c>
      <c r="I63" s="4">
        <f>K55</f>
        <v>0</v>
      </c>
      <c r="S63" s="5">
        <v>5121</v>
      </c>
      <c r="T63" s="1" t="s">
        <v>81</v>
      </c>
      <c r="U63" s="1" t="s">
        <v>1</v>
      </c>
      <c r="V63" s="4">
        <f>X55</f>
        <v>0</v>
      </c>
    </row>
    <row r="64" spans="5:25" ht="15.75" customHeight="1" x14ac:dyDescent="0.25"/>
    <row r="65" spans="3:26" ht="18" customHeight="1" x14ac:dyDescent="0.25">
      <c r="G65" s="3" t="s">
        <v>0</v>
      </c>
      <c r="H65" s="1">
        <f>SUM(H62:H63)</f>
        <v>0</v>
      </c>
      <c r="I65" s="1">
        <f>SUM(I62:I63)</f>
        <v>0</v>
      </c>
      <c r="J65" s="2">
        <f>H65-I65</f>
        <v>0</v>
      </c>
      <c r="T65" s="3" t="s">
        <v>0</v>
      </c>
      <c r="U65" s="1">
        <f>SUM(U62:U63)</f>
        <v>0</v>
      </c>
      <c r="V65" s="1">
        <f>SUM(V62:V63)</f>
        <v>0</v>
      </c>
      <c r="W65" s="2">
        <f>U65-V65</f>
        <v>0</v>
      </c>
    </row>
    <row r="66" spans="3:26" ht="15" customHeight="1" x14ac:dyDescent="0.25">
      <c r="C66" s="8"/>
    </row>
    <row r="67" spans="3:26" ht="15" customHeight="1" x14ac:dyDescent="0.25">
      <c r="C67" s="8" t="s">
        <v>27</v>
      </c>
      <c r="P67" s="8" t="s">
        <v>67</v>
      </c>
    </row>
    <row r="68" spans="3:26" ht="15" customHeight="1" x14ac:dyDescent="0.25">
      <c r="C68" s="8"/>
    </row>
    <row r="69" spans="3:26" ht="15" customHeight="1" x14ac:dyDescent="0.25">
      <c r="D69" s="3" t="str">
        <f>"Aferente "&amp;D6&amp;", de inregistrat in "&amp;D6&amp;"."</f>
        <v>Aferente 7.2026, de inregistrat in 7.2026.</v>
      </c>
      <c r="Q69" s="3" t="str">
        <f>"Related to "&amp;Q6&amp;", to be recorded in "&amp;Q6&amp;"."</f>
        <v>Related to 7.2026, to be recorded in 7.2026.</v>
      </c>
    </row>
    <row r="70" spans="3:26" ht="15" customHeight="1" x14ac:dyDescent="0.25">
      <c r="D70" s="3"/>
    </row>
    <row r="71" spans="3:26" ht="15" customHeight="1" x14ac:dyDescent="0.25">
      <c r="D71" s="3" t="s">
        <v>26</v>
      </c>
      <c r="Q71" s="3" t="s">
        <v>82</v>
      </c>
    </row>
    <row r="73" spans="3:26" ht="15" customHeight="1" x14ac:dyDescent="0.25">
      <c r="E73" s="8" t="s">
        <v>16</v>
      </c>
      <c r="R73" s="8" t="s">
        <v>77</v>
      </c>
    </row>
    <row r="74" spans="3:26" ht="15.75" customHeight="1" thickBot="1" x14ac:dyDescent="0.3">
      <c r="E74" s="8"/>
    </row>
    <row r="75" spans="3:26" ht="18" customHeight="1" thickBot="1" x14ac:dyDescent="0.3">
      <c r="G75" s="17" t="s">
        <v>9</v>
      </c>
      <c r="H75" s="17"/>
      <c r="I75" s="17"/>
      <c r="J75" s="17" t="s">
        <v>8</v>
      </c>
      <c r="K75" s="17"/>
      <c r="L75" s="17"/>
      <c r="T75" s="17" t="s">
        <v>9</v>
      </c>
      <c r="U75" s="17"/>
      <c r="V75" s="17"/>
      <c r="W75" s="17" t="s">
        <v>8</v>
      </c>
      <c r="X75" s="17"/>
      <c r="Y75" s="17"/>
    </row>
    <row r="77" spans="3:26" ht="15" customHeight="1" x14ac:dyDescent="0.25">
      <c r="G77" s="10" t="s">
        <v>15</v>
      </c>
      <c r="H77" s="10" t="s">
        <v>14</v>
      </c>
      <c r="I77" s="10" t="s">
        <v>13</v>
      </c>
      <c r="J77" s="10" t="s">
        <v>15</v>
      </c>
      <c r="K77" s="10" t="s">
        <v>14</v>
      </c>
      <c r="L77" s="10" t="s">
        <v>13</v>
      </c>
      <c r="T77" s="10" t="s">
        <v>69</v>
      </c>
      <c r="U77" s="10" t="s">
        <v>70</v>
      </c>
      <c r="V77" s="10" t="s">
        <v>71</v>
      </c>
      <c r="W77" s="10" t="s">
        <v>69</v>
      </c>
      <c r="X77" s="10" t="s">
        <v>70</v>
      </c>
      <c r="Y77" s="10" t="s">
        <v>71</v>
      </c>
    </row>
    <row r="79" spans="3:26" ht="15.75" customHeight="1" thickBot="1" x14ac:dyDescent="0.3">
      <c r="F79" s="8" t="s">
        <v>25</v>
      </c>
      <c r="S79" s="8" t="s">
        <v>83</v>
      </c>
    </row>
    <row r="80" spans="3:26" ht="15.75" customHeight="1" thickBot="1" x14ac:dyDescent="0.3">
      <c r="G80" s="6">
        <v>421</v>
      </c>
      <c r="H80" s="4">
        <f>E13</f>
        <v>0</v>
      </c>
      <c r="I80" s="4" t="str">
        <f>"Diminuare datorie salariala cu avansul acordat"&amp;D26</f>
        <v>Diminuare datorie salariala cu avansul acordat - 7.2026 - POPESCU IOANA-GABRIELA</v>
      </c>
      <c r="J80" s="6">
        <v>425</v>
      </c>
      <c r="K80" s="4">
        <f>H80</f>
        <v>0</v>
      </c>
      <c r="L80" s="4" t="str">
        <f>"Inchidere avans acordat personalului"&amp;D26</f>
        <v>Inchidere avans acordat personalului - 7.2026 - POPESCU IOANA-GABRIELA</v>
      </c>
      <c r="T80" s="6">
        <v>421</v>
      </c>
      <c r="U80" s="4">
        <f>R13</f>
        <v>0</v>
      </c>
      <c r="V80" s="4" t="str">
        <f>"Reduction of payroll liability by the advance granted"&amp;Q26</f>
        <v>Reduction of payroll liability by the advance granted - 7.2026 - POPESCU IOANA-GABRIELA</v>
      </c>
      <c r="W80" s="6">
        <v>425</v>
      </c>
      <c r="X80" s="4">
        <f>U80</f>
        <v>0</v>
      </c>
      <c r="Y80" s="4" t="str">
        <f>"Clearing of advance granted to employee"&amp;Q26</f>
        <v>Clearing of advance granted to employee - 7.2026 - POPESCU IOANA-GABRIELA</v>
      </c>
      <c r="Z80" s="1" t="s">
        <v>1</v>
      </c>
    </row>
    <row r="82" spans="5:26" ht="15.75" customHeight="1" thickBot="1" x14ac:dyDescent="0.3">
      <c r="F82" s="8" t="s">
        <v>12</v>
      </c>
      <c r="M82" s="1" t="s">
        <v>1</v>
      </c>
      <c r="S82" s="8" t="s">
        <v>84</v>
      </c>
    </row>
    <row r="83" spans="5:26" ht="15.75" customHeight="1" thickBot="1" x14ac:dyDescent="0.3">
      <c r="G83" s="11">
        <v>641</v>
      </c>
      <c r="H83" s="4">
        <f>E11</f>
        <v>9627</v>
      </c>
      <c r="I83" s="4" t="str">
        <f>"Cheltuieli cu salariile"&amp;D26</f>
        <v>Cheltuieli cu salariile - 7.2026 - POPESCU IOANA-GABRIELA</v>
      </c>
      <c r="J83" s="6">
        <v>421</v>
      </c>
      <c r="K83" s="4">
        <f>H83</f>
        <v>9627</v>
      </c>
      <c r="L83" s="4" t="str">
        <f>"Salarii brute datorate personalului"&amp;D26</f>
        <v>Salarii brute datorate personalului - 7.2026 - POPESCU IOANA-GABRIELA</v>
      </c>
      <c r="M83" s="1" t="s">
        <v>1</v>
      </c>
      <c r="T83" s="11">
        <v>641</v>
      </c>
      <c r="U83" s="4">
        <f>R11</f>
        <v>9627</v>
      </c>
      <c r="V83" s="4" t="str">
        <f>"Wages and salaries expense"&amp;Q26</f>
        <v>Wages and salaries expense - 7.2026 - POPESCU IOANA-GABRIELA</v>
      </c>
      <c r="W83" s="6">
        <v>421</v>
      </c>
      <c r="X83" s="4">
        <f>U83</f>
        <v>9627</v>
      </c>
      <c r="Y83" s="4" t="str">
        <f>"Gross wages payable to employee"&amp;Q26</f>
        <v>Gross wages payable to employee - 7.2026 - POPESCU IOANA-GABRIELA</v>
      </c>
      <c r="Z83" s="1" t="s">
        <v>1</v>
      </c>
    </row>
    <row r="84" spans="5:26" ht="15.75" customHeight="1" x14ac:dyDescent="0.25"/>
    <row r="85" spans="5:26" ht="15.75" customHeight="1" thickBot="1" x14ac:dyDescent="0.3">
      <c r="F85" s="8" t="s">
        <v>11</v>
      </c>
      <c r="I85" s="4"/>
      <c r="L85" s="4"/>
      <c r="M85" s="1" t="s">
        <v>1</v>
      </c>
      <c r="S85" s="8" t="s">
        <v>85</v>
      </c>
    </row>
    <row r="86" spans="5:26" ht="15.75" customHeight="1" thickBot="1" x14ac:dyDescent="0.3">
      <c r="G86" s="6">
        <v>421</v>
      </c>
      <c r="H86" s="4">
        <f>SUM(K86:K88)</f>
        <v>4127</v>
      </c>
      <c r="I86" s="4" t="str">
        <f>"Retineri din salariu: CAS, CASS, impozit"&amp;D26</f>
        <v>Retineri din salariu: CAS, CASS, impozit - 7.2026 - POPESCU IOANA-GABRIELA</v>
      </c>
      <c r="J86" s="6">
        <v>4315</v>
      </c>
      <c r="K86" s="4">
        <f>E17</f>
        <v>2407</v>
      </c>
      <c r="L86" s="4" t="str">
        <f>"CAS retinut, datorat bugetului"&amp;D26</f>
        <v>CAS retinut, datorat bugetului - 7.2026 - POPESCU IOANA-GABRIELA</v>
      </c>
      <c r="M86" s="1" t="s">
        <v>1</v>
      </c>
      <c r="T86" s="6">
        <v>421</v>
      </c>
      <c r="U86" s="4">
        <f>SUM(X86:X88)</f>
        <v>4127</v>
      </c>
      <c r="V86" s="4" t="str">
        <f>"Payroll withholdings: CAS, CASS, income tax"&amp;Q26</f>
        <v>Payroll withholdings: CAS, CASS, income tax - 7.2026 - POPESCU IOANA-GABRIELA</v>
      </c>
      <c r="W86" s="6">
        <v>4315</v>
      </c>
      <c r="X86" s="4">
        <f>R17</f>
        <v>2407</v>
      </c>
      <c r="Y86" s="4" t="str">
        <f>"CAS withheld, payable to the state budget"&amp;Q26</f>
        <v>CAS withheld, payable to the state budget - 7.2026 - POPESCU IOANA-GABRIELA</v>
      </c>
      <c r="Z86" s="1" t="s">
        <v>1</v>
      </c>
    </row>
    <row r="87" spans="5:26" ht="15.75" customHeight="1" thickBot="1" x14ac:dyDescent="0.3">
      <c r="I87" s="4"/>
      <c r="J87" s="6">
        <v>4316</v>
      </c>
      <c r="K87" s="4">
        <f>E18</f>
        <v>1032</v>
      </c>
      <c r="L87" s="4" t="str">
        <f>"CASS retinut, datorat bugetului"&amp;D26</f>
        <v>CASS retinut, datorat bugetului - 7.2026 - POPESCU IOANA-GABRIELA</v>
      </c>
      <c r="M87" s="1" t="s">
        <v>1</v>
      </c>
      <c r="W87" s="6">
        <v>4316</v>
      </c>
      <c r="X87" s="4">
        <f>R18</f>
        <v>1032</v>
      </c>
      <c r="Y87" s="4" t="str">
        <f>"CASS withheld, payable to the state budget"&amp;Q26</f>
        <v>CASS withheld, payable to the state budget - 7.2026 - POPESCU IOANA-GABRIELA</v>
      </c>
      <c r="Z87" s="1" t="s">
        <v>1</v>
      </c>
    </row>
    <row r="88" spans="5:26" ht="15.75" customHeight="1" thickBot="1" x14ac:dyDescent="0.3">
      <c r="I88" s="4"/>
      <c r="J88" s="6">
        <v>444</v>
      </c>
      <c r="K88" s="4">
        <f>E20</f>
        <v>688</v>
      </c>
      <c r="L88" s="4" t="str">
        <f>"Impozit pe venit retinut, datorat bugetului"&amp;D26</f>
        <v>Impozit pe venit retinut, datorat bugetului - 7.2026 - POPESCU IOANA-GABRIELA</v>
      </c>
      <c r="M88" s="1" t="s">
        <v>1</v>
      </c>
      <c r="W88" s="6">
        <v>444</v>
      </c>
      <c r="X88" s="4">
        <f>R20</f>
        <v>688</v>
      </c>
      <c r="Y88" s="4" t="str">
        <f>"Income tax withheld, payable to the state budget"&amp;Q26</f>
        <v>Income tax withheld, payable to the state budget - 7.2026 - POPESCU IOANA-GABRIELA</v>
      </c>
      <c r="Z88" s="1" t="s">
        <v>1</v>
      </c>
    </row>
    <row r="89" spans="5:26" ht="15" customHeight="1" x14ac:dyDescent="0.25">
      <c r="I89" s="4"/>
      <c r="L89" s="4"/>
      <c r="M89" s="1" t="s">
        <v>1</v>
      </c>
    </row>
    <row r="90" spans="5:26" ht="15.75" customHeight="1" thickBot="1" x14ac:dyDescent="0.3">
      <c r="F90" s="8" t="s">
        <v>4</v>
      </c>
      <c r="I90" s="4"/>
      <c r="L90" s="4"/>
      <c r="M90" s="1" t="s">
        <v>1</v>
      </c>
      <c r="S90" s="8" t="s">
        <v>64</v>
      </c>
    </row>
    <row r="91" spans="5:26" ht="15.75" customHeight="1" thickBot="1" x14ac:dyDescent="0.3">
      <c r="G91" s="11">
        <v>646</v>
      </c>
      <c r="H91" s="4">
        <f>E24</f>
        <v>217</v>
      </c>
      <c r="I91" s="4" t="str">
        <f>"Cheltuieli cu CAM"&amp;D26</f>
        <v>Cheltuieli cu CAM - 7.2026 - POPESCU IOANA-GABRIELA</v>
      </c>
      <c r="J91" s="6">
        <v>436</v>
      </c>
      <c r="K91" s="4">
        <f>E24</f>
        <v>217</v>
      </c>
      <c r="L91" s="4" t="str">
        <f>"CAM datorata bugetului"&amp;D26</f>
        <v>CAM datorata bugetului - 7.2026 - POPESCU IOANA-GABRIELA</v>
      </c>
      <c r="M91" s="1" t="s">
        <v>1</v>
      </c>
      <c r="T91" s="11">
        <v>646</v>
      </c>
      <c r="U91" s="4">
        <f>R24</f>
        <v>217</v>
      </c>
      <c r="V91" s="4" t="str">
        <f>"CAM expense"&amp;Q26</f>
        <v>CAM expense - 7.2026 - POPESCU IOANA-GABRIELA</v>
      </c>
      <c r="W91" s="6">
        <v>436</v>
      </c>
      <c r="X91" s="4">
        <f>R24</f>
        <v>217</v>
      </c>
      <c r="Y91" s="4" t="str">
        <f>"CAM payable to the state budget"&amp;Q26</f>
        <v>CAM payable to the state budget - 7.2026 - POPESCU IOANA-GABRIELA</v>
      </c>
      <c r="Z91" s="1" t="s">
        <v>1</v>
      </c>
    </row>
    <row r="93" spans="5:26" ht="15.75" customHeight="1" thickBot="1" x14ac:dyDescent="0.3">
      <c r="F93" s="8" t="s">
        <v>24</v>
      </c>
      <c r="S93" s="8" t="s">
        <v>86</v>
      </c>
    </row>
    <row r="94" spans="5:26" ht="15.75" customHeight="1" thickBot="1" x14ac:dyDescent="0.3">
      <c r="G94" s="11">
        <v>642</v>
      </c>
      <c r="H94" s="4">
        <f>E12</f>
        <v>690</v>
      </c>
      <c r="I94" s="4" t="str">
        <f>"Cheltuieli cu tichetele de masa"&amp;D26</f>
        <v>Cheltuieli cu tichetele de masa - 7.2026 - POPESCU IOANA-GABRIELA</v>
      </c>
      <c r="J94" s="5">
        <v>5328</v>
      </c>
      <c r="K94" s="4">
        <f>H94</f>
        <v>690</v>
      </c>
      <c r="L94" s="4" t="str">
        <f>"Descarcare tichete de masa"&amp;D26</f>
        <v>Descarcare tichete de masa - 7.2026 - POPESCU IOANA-GABRIELA</v>
      </c>
      <c r="T94" s="11">
        <v>642</v>
      </c>
      <c r="U94" s="4">
        <f>R12</f>
        <v>690</v>
      </c>
      <c r="V94" s="4" t="str">
        <f>"Meal voucher expense"&amp;Q26</f>
        <v>Meal voucher expense - 7.2026 - POPESCU IOANA-GABRIELA</v>
      </c>
      <c r="W94" s="5">
        <v>5328</v>
      </c>
      <c r="X94" s="4">
        <f>U94</f>
        <v>690</v>
      </c>
      <c r="Y94" s="4" t="str">
        <f>"Meal vouchers released from stock"&amp;Q26</f>
        <v>Meal vouchers released from stock - 7.2026 - POPESCU IOANA-GABRIELA</v>
      </c>
      <c r="Z94" s="1" t="s">
        <v>1</v>
      </c>
    </row>
    <row r="95" spans="5:26" ht="15.75" customHeight="1" x14ac:dyDescent="0.25"/>
    <row r="96" spans="5:26" ht="15.75" customHeight="1" x14ac:dyDescent="0.25">
      <c r="E96" s="8" t="s">
        <v>10</v>
      </c>
      <c r="R96" s="8" t="s">
        <v>79</v>
      </c>
    </row>
    <row r="97" spans="6:23" ht="15.75" customHeight="1" x14ac:dyDescent="0.25"/>
    <row r="98" spans="6:23" ht="15.75" customHeight="1" x14ac:dyDescent="0.25">
      <c r="H98" s="7" t="s">
        <v>9</v>
      </c>
      <c r="I98" s="7" t="s">
        <v>8</v>
      </c>
      <c r="U98" s="7" t="s">
        <v>9</v>
      </c>
      <c r="V98" s="7" t="s">
        <v>8</v>
      </c>
    </row>
    <row r="99" spans="6:23" ht="15.75" customHeight="1" thickBot="1" x14ac:dyDescent="0.3"/>
    <row r="100" spans="6:23" ht="15.75" customHeight="1" thickBot="1" x14ac:dyDescent="0.3">
      <c r="F100" s="6">
        <v>421</v>
      </c>
      <c r="G100" s="1" t="s">
        <v>7</v>
      </c>
      <c r="H100" s="4">
        <f>H86+H80</f>
        <v>4127</v>
      </c>
      <c r="I100" s="4">
        <f>K83</f>
        <v>9627</v>
      </c>
      <c r="S100" s="6">
        <v>421</v>
      </c>
      <c r="T100" s="1" t="s">
        <v>87</v>
      </c>
      <c r="U100" s="4">
        <f>U86+U80</f>
        <v>4127</v>
      </c>
      <c r="V100" s="4">
        <f>X83</f>
        <v>9627</v>
      </c>
    </row>
    <row r="101" spans="6:23" ht="15.75" customHeight="1" thickBot="1" x14ac:dyDescent="0.3">
      <c r="F101" s="6">
        <v>425</v>
      </c>
      <c r="G101" s="1" t="s">
        <v>23</v>
      </c>
      <c r="H101" s="4" t="s">
        <v>1</v>
      </c>
      <c r="I101" s="4">
        <f>K80</f>
        <v>0</v>
      </c>
      <c r="S101" s="6">
        <v>425</v>
      </c>
      <c r="T101" s="1" t="s">
        <v>80</v>
      </c>
      <c r="U101" s="1" t="s">
        <v>1</v>
      </c>
      <c r="V101" s="4">
        <f>X80</f>
        <v>0</v>
      </c>
    </row>
    <row r="102" spans="6:23" ht="15.75" customHeight="1" thickBot="1" x14ac:dyDescent="0.3">
      <c r="F102" s="6">
        <v>4315</v>
      </c>
      <c r="G102" s="1" t="s">
        <v>6</v>
      </c>
      <c r="H102" s="4"/>
      <c r="I102" s="4">
        <f>K86</f>
        <v>2407</v>
      </c>
      <c r="S102" s="6">
        <v>4315</v>
      </c>
      <c r="T102" s="1" t="s">
        <v>58</v>
      </c>
      <c r="U102" s="1" t="s">
        <v>1</v>
      </c>
      <c r="V102" s="4">
        <f>X86</f>
        <v>2407</v>
      </c>
    </row>
    <row r="103" spans="6:23" ht="15.75" customHeight="1" thickBot="1" x14ac:dyDescent="0.3">
      <c r="F103" s="6">
        <v>4316</v>
      </c>
      <c r="G103" s="1" t="s">
        <v>5</v>
      </c>
      <c r="H103" s="4"/>
      <c r="I103" s="4">
        <f>K87</f>
        <v>1032</v>
      </c>
      <c r="S103" s="6">
        <v>4316</v>
      </c>
      <c r="T103" s="1" t="s">
        <v>59</v>
      </c>
      <c r="U103" s="1" t="s">
        <v>1</v>
      </c>
      <c r="V103" s="4">
        <f>X87</f>
        <v>1032</v>
      </c>
    </row>
    <row r="104" spans="6:23" ht="15.75" customHeight="1" thickBot="1" x14ac:dyDescent="0.3">
      <c r="F104" s="6">
        <v>436</v>
      </c>
      <c r="G104" s="1" t="s">
        <v>4</v>
      </c>
      <c r="H104" s="4"/>
      <c r="I104" s="4">
        <f>K91</f>
        <v>217</v>
      </c>
      <c r="K104" s="4"/>
      <c r="L104" s="4"/>
      <c r="S104" s="6">
        <v>436</v>
      </c>
      <c r="T104" s="1" t="s">
        <v>64</v>
      </c>
      <c r="U104" s="1" t="s">
        <v>1</v>
      </c>
      <c r="V104" s="4">
        <f>X91</f>
        <v>217</v>
      </c>
    </row>
    <row r="105" spans="6:23" ht="15.75" customHeight="1" thickBot="1" x14ac:dyDescent="0.3">
      <c r="F105" s="6">
        <v>444</v>
      </c>
      <c r="G105" s="1" t="s">
        <v>3</v>
      </c>
      <c r="H105" s="4"/>
      <c r="I105" s="4">
        <f>K88</f>
        <v>688</v>
      </c>
      <c r="S105" s="6">
        <v>444</v>
      </c>
      <c r="T105" s="1" t="s">
        <v>61</v>
      </c>
      <c r="V105" s="4">
        <f>X88</f>
        <v>688</v>
      </c>
    </row>
    <row r="106" spans="6:23" ht="15.75" customHeight="1" thickBot="1" x14ac:dyDescent="0.3">
      <c r="F106" s="5">
        <v>5328</v>
      </c>
      <c r="G106" s="1" t="s">
        <v>22</v>
      </c>
      <c r="H106" s="4" t="s">
        <v>1</v>
      </c>
      <c r="I106" s="4">
        <f>K94</f>
        <v>690</v>
      </c>
      <c r="S106" s="5">
        <v>5328</v>
      </c>
      <c r="T106" s="1" t="s">
        <v>88</v>
      </c>
      <c r="U106" s="1" t="s">
        <v>1</v>
      </c>
      <c r="V106" s="4">
        <f>X94</f>
        <v>690</v>
      </c>
    </row>
    <row r="107" spans="6:23" ht="15.75" customHeight="1" thickBot="1" x14ac:dyDescent="0.3">
      <c r="F107" s="11">
        <v>641</v>
      </c>
      <c r="G107" s="1" t="s">
        <v>21</v>
      </c>
      <c r="H107" s="4">
        <f>H83</f>
        <v>9627</v>
      </c>
      <c r="S107" s="11">
        <v>641</v>
      </c>
      <c r="T107" s="1" t="s">
        <v>89</v>
      </c>
      <c r="U107" s="4">
        <f>U83</f>
        <v>9627</v>
      </c>
    </row>
    <row r="108" spans="6:23" ht="15.75" customHeight="1" thickBot="1" x14ac:dyDescent="0.3">
      <c r="F108" s="11">
        <v>642</v>
      </c>
      <c r="G108" s="1" t="s">
        <v>20</v>
      </c>
      <c r="H108" s="4">
        <f>H94</f>
        <v>690</v>
      </c>
      <c r="I108" s="4"/>
      <c r="S108" s="11">
        <v>642</v>
      </c>
      <c r="T108" s="1" t="s">
        <v>90</v>
      </c>
      <c r="U108" s="4">
        <f>U94</f>
        <v>690</v>
      </c>
    </row>
    <row r="109" spans="6:23" ht="15.75" customHeight="1" thickBot="1" x14ac:dyDescent="0.3">
      <c r="F109" s="11">
        <v>646</v>
      </c>
      <c r="G109" s="1" t="s">
        <v>19</v>
      </c>
      <c r="H109" s="4">
        <f>H91</f>
        <v>217</v>
      </c>
      <c r="S109" s="11">
        <v>646</v>
      </c>
      <c r="T109" s="1" t="s">
        <v>91</v>
      </c>
      <c r="U109" s="4">
        <f>U91</f>
        <v>217</v>
      </c>
    </row>
    <row r="110" spans="6:23" ht="15" customHeight="1" x14ac:dyDescent="0.25">
      <c r="H110" s="4"/>
    </row>
    <row r="111" spans="6:23" ht="15" customHeight="1" x14ac:dyDescent="0.25">
      <c r="G111" s="3" t="s">
        <v>0</v>
      </c>
      <c r="H111" s="2">
        <f>SUM(H100:H109)</f>
        <v>14661</v>
      </c>
      <c r="I111" s="2">
        <f>SUM(I100:I109)</f>
        <v>14661</v>
      </c>
      <c r="J111" s="2">
        <f>H111-I111</f>
        <v>0</v>
      </c>
      <c r="T111" s="3" t="s">
        <v>0</v>
      </c>
      <c r="U111" s="2">
        <f>SUM(U100:U109)</f>
        <v>14661</v>
      </c>
      <c r="V111" s="2">
        <f>SUM(V100:V109)</f>
        <v>14661</v>
      </c>
      <c r="W111" s="2">
        <f>U111-V111</f>
        <v>0</v>
      </c>
    </row>
    <row r="113" spans="3:26" ht="15" customHeight="1" x14ac:dyDescent="0.25">
      <c r="C113" s="8" t="s">
        <v>18</v>
      </c>
      <c r="P113" s="8" t="s">
        <v>75</v>
      </c>
    </row>
    <row r="114" spans="3:26" ht="15.75" customHeight="1" x14ac:dyDescent="0.25"/>
    <row r="115" spans="3:26" ht="15" customHeight="1" x14ac:dyDescent="0.25">
      <c r="C115" s="8"/>
      <c r="D115" s="3" t="str">
        <f>"Aferente "&amp;D6&amp;", de inregistrat in "&amp;IF(INT(D6)=12,1,INT(D6)+1)&amp;"."&amp;IF(INT(D6)=12,RIGHT(D6,4)+1,RIGHT(D6,4))&amp;"."</f>
        <v>Aferente 7.2026, de inregistrat in 8.2026.</v>
      </c>
      <c r="Q115" s="3" t="str">
        <f>"Related to "&amp;Q6&amp;", to be recorded in "&amp;IF(INT(Q6)=12,1,INT(Q6)+1)&amp;"."&amp;IF(INT(Q6)=12,RIGHT(Q6,4)+1,RIGHT(Q6,4))&amp;"."</f>
        <v>Related to 7.2026, to be recorded in 8.2026.</v>
      </c>
    </row>
    <row r="116" spans="3:26" ht="15.75" customHeight="1" x14ac:dyDescent="0.25"/>
    <row r="117" spans="3:26" ht="15.75" customHeight="1" x14ac:dyDescent="0.25">
      <c r="D117" s="3" t="s">
        <v>17</v>
      </c>
      <c r="Q117" s="3" t="s">
        <v>76</v>
      </c>
    </row>
    <row r="119" spans="3:26" ht="15.75" customHeight="1" x14ac:dyDescent="0.25">
      <c r="E119" s="8" t="s">
        <v>16</v>
      </c>
      <c r="R119" s="8" t="s">
        <v>77</v>
      </c>
    </row>
    <row r="120" spans="3:26" ht="15.75" customHeight="1" thickBot="1" x14ac:dyDescent="0.3">
      <c r="G120" s="8"/>
      <c r="H120" s="8"/>
      <c r="I120" s="8"/>
      <c r="J120" s="8"/>
      <c r="K120" s="8"/>
      <c r="L120" s="8"/>
    </row>
    <row r="121" spans="3:26" ht="15.75" customHeight="1" thickBot="1" x14ac:dyDescent="0.3">
      <c r="G121" s="17" t="s">
        <v>9</v>
      </c>
      <c r="H121" s="17"/>
      <c r="I121" s="17"/>
      <c r="J121" s="17" t="s">
        <v>8</v>
      </c>
      <c r="K121" s="17"/>
      <c r="L121" s="17"/>
      <c r="T121" s="17" t="s">
        <v>9</v>
      </c>
      <c r="U121" s="17"/>
      <c r="V121" s="17"/>
      <c r="W121" s="17" t="s">
        <v>8</v>
      </c>
      <c r="X121" s="17"/>
      <c r="Y121" s="17"/>
    </row>
    <row r="122" spans="3:26" ht="15.75" customHeight="1" x14ac:dyDescent="0.25">
      <c r="G122" s="8"/>
      <c r="H122" s="8"/>
      <c r="I122" s="8"/>
      <c r="J122" s="8"/>
      <c r="K122" s="8"/>
      <c r="L122" s="8"/>
    </row>
    <row r="123" spans="3:26" ht="15" customHeight="1" x14ac:dyDescent="0.25">
      <c r="G123" s="10" t="s">
        <v>15</v>
      </c>
      <c r="H123" s="10" t="s">
        <v>14</v>
      </c>
      <c r="I123" s="10" t="s">
        <v>13</v>
      </c>
      <c r="J123" s="10" t="s">
        <v>15</v>
      </c>
      <c r="K123" s="10" t="s">
        <v>14</v>
      </c>
      <c r="L123" s="10" t="s">
        <v>13</v>
      </c>
      <c r="T123" s="10" t="s">
        <v>69</v>
      </c>
      <c r="U123" s="10" t="s">
        <v>70</v>
      </c>
      <c r="V123" s="10" t="s">
        <v>71</v>
      </c>
      <c r="W123" s="10" t="s">
        <v>69</v>
      </c>
      <c r="X123" s="10" t="s">
        <v>70</v>
      </c>
      <c r="Y123" s="10" t="s">
        <v>71</v>
      </c>
    </row>
    <row r="125" spans="3:26" ht="15.75" customHeight="1" thickBot="1" x14ac:dyDescent="0.3">
      <c r="F125" s="8" t="s">
        <v>12</v>
      </c>
      <c r="M125" s="1" t="s">
        <v>1</v>
      </c>
      <c r="S125" s="8" t="s">
        <v>84</v>
      </c>
    </row>
    <row r="126" spans="3:26" ht="15.75" customHeight="1" thickBot="1" x14ac:dyDescent="0.3">
      <c r="G126" s="6">
        <v>421</v>
      </c>
      <c r="H126" s="4">
        <f>E22</f>
        <v>5500</v>
      </c>
      <c r="I126" s="4" t="str">
        <f>"Stingere datorie salariala fata de personal"&amp;D26</f>
        <v>Stingere datorie salariala fata de personal - 7.2026 - POPESCU IOANA-GABRIELA</v>
      </c>
      <c r="J126" s="9">
        <v>5121</v>
      </c>
      <c r="K126" s="4">
        <f>E22</f>
        <v>5500</v>
      </c>
      <c r="L126" s="4" t="str">
        <f>"Plata salarii nete din banca"&amp;D26</f>
        <v>Plata salarii nete din banca - 7.2026 - POPESCU IOANA-GABRIELA</v>
      </c>
      <c r="M126" s="1" t="s">
        <v>1</v>
      </c>
      <c r="T126" s="6">
        <v>421</v>
      </c>
      <c r="U126" s="4">
        <f>R22</f>
        <v>5500</v>
      </c>
      <c r="V126" s="4" t="str">
        <f>"Settlement of payroll liability to employee"&amp;Q26</f>
        <v>Settlement of payroll liability to employee - 7.2026 - POPESCU IOANA-GABRIELA</v>
      </c>
      <c r="W126" s="9">
        <v>5121</v>
      </c>
      <c r="X126" s="4">
        <f>R22</f>
        <v>5500</v>
      </c>
      <c r="Y126" s="4" t="str">
        <f>"Payment of net wages from bank"&amp;Q26</f>
        <v>Payment of net wages from bank - 7.2026 - POPESCU IOANA-GABRIELA</v>
      </c>
      <c r="Z126" s="1" t="s">
        <v>1</v>
      </c>
    </row>
    <row r="127" spans="3:26" ht="15" customHeight="1" x14ac:dyDescent="0.25">
      <c r="H127" s="4"/>
      <c r="I127" s="4"/>
      <c r="K127" s="4"/>
      <c r="L127" s="4"/>
      <c r="M127" s="1" t="s">
        <v>1</v>
      </c>
    </row>
    <row r="128" spans="3:26" ht="15" customHeight="1" thickBot="1" x14ac:dyDescent="0.3">
      <c r="F128" s="8" t="s">
        <v>11</v>
      </c>
      <c r="M128" s="1" t="s">
        <v>1</v>
      </c>
      <c r="S128" s="8" t="s">
        <v>85</v>
      </c>
    </row>
    <row r="129" spans="5:26" ht="15" customHeight="1" thickBot="1" x14ac:dyDescent="0.3">
      <c r="G129" s="6">
        <v>4315</v>
      </c>
      <c r="H129" s="4">
        <f>E17</f>
        <v>2407</v>
      </c>
      <c r="I129" s="4" t="str">
        <f>"Stingere datorie CAS catre buget"&amp;D26</f>
        <v>Stingere datorie CAS catre buget - 7.2026 - POPESCU IOANA-GABRIELA</v>
      </c>
      <c r="J129" s="9">
        <v>5121</v>
      </c>
      <c r="K129" s="4">
        <f>SUM(H129:H131)</f>
        <v>4127</v>
      </c>
      <c r="L129" s="4" t="str">
        <f>"Plata CAS, CASS, impozit din banca"&amp;D26</f>
        <v>Plata CAS, CASS, impozit din banca - 7.2026 - POPESCU IOANA-GABRIELA</v>
      </c>
      <c r="M129" s="1" t="s">
        <v>1</v>
      </c>
      <c r="T129" s="6">
        <v>4315</v>
      </c>
      <c r="U129" s="4">
        <f>R17</f>
        <v>2407</v>
      </c>
      <c r="V129" s="4" t="str">
        <f>"Settlement of CAS liability to the state budget"&amp;Q26</f>
        <v>Settlement of CAS liability to the state budget - 7.2026 - POPESCU IOANA-GABRIELA</v>
      </c>
      <c r="W129" s="9">
        <v>5121</v>
      </c>
      <c r="X129" s="4">
        <f>SUM(U129:U131)</f>
        <v>4127</v>
      </c>
      <c r="Y129" s="4" t="str">
        <f>"Payment of CAS, CASS, income tax from bank"&amp;Q26</f>
        <v>Payment of CAS, CASS, income tax from bank - 7.2026 - POPESCU IOANA-GABRIELA</v>
      </c>
      <c r="Z129" s="1" t="s">
        <v>1</v>
      </c>
    </row>
    <row r="130" spans="5:26" ht="15" customHeight="1" thickBot="1" x14ac:dyDescent="0.3">
      <c r="G130" s="6">
        <v>4316</v>
      </c>
      <c r="H130" s="4">
        <f>E18</f>
        <v>1032</v>
      </c>
      <c r="I130" s="4" t="str">
        <f>"Stingere datorie CASS catre buget"&amp;D26</f>
        <v>Stingere datorie CASS catre buget - 7.2026 - POPESCU IOANA-GABRIELA</v>
      </c>
      <c r="J130" s="1" t="s">
        <v>1</v>
      </c>
      <c r="M130" s="1" t="s">
        <v>1</v>
      </c>
      <c r="T130" s="6">
        <v>4316</v>
      </c>
      <c r="U130" s="4">
        <f>R18</f>
        <v>1032</v>
      </c>
      <c r="V130" s="4" t="str">
        <f>"Settlement of CASS liability to the state budget"&amp;Q26</f>
        <v>Settlement of CASS liability to the state budget - 7.2026 - POPESCU IOANA-GABRIELA</v>
      </c>
      <c r="W130" s="1" t="s">
        <v>1</v>
      </c>
    </row>
    <row r="131" spans="5:26" ht="15.75" customHeight="1" thickBot="1" x14ac:dyDescent="0.3">
      <c r="G131" s="6">
        <v>444</v>
      </c>
      <c r="H131" s="4">
        <f>E20</f>
        <v>688</v>
      </c>
      <c r="I131" s="4" t="str">
        <f>"Stingere datorie impozit catre buget"&amp;D26</f>
        <v>Stingere datorie impozit catre buget - 7.2026 - POPESCU IOANA-GABRIELA</v>
      </c>
      <c r="J131" s="1" t="s">
        <v>1</v>
      </c>
      <c r="M131" s="1" t="s">
        <v>1</v>
      </c>
      <c r="T131" s="6">
        <v>444</v>
      </c>
      <c r="U131" s="4">
        <f>R20</f>
        <v>688</v>
      </c>
      <c r="V131" s="4" t="str">
        <f>"Settlement of income tax liability to the state budget"&amp;Q26</f>
        <v>Settlement of income tax liability to the state budget - 7.2026 - POPESCU IOANA-GABRIELA</v>
      </c>
      <c r="W131" s="1" t="s">
        <v>1</v>
      </c>
    </row>
    <row r="132" spans="5:26" ht="15.75" customHeight="1" x14ac:dyDescent="0.25">
      <c r="F132" s="8"/>
    </row>
    <row r="133" spans="5:26" ht="15.75" customHeight="1" x14ac:dyDescent="0.25">
      <c r="M133" s="1" t="s">
        <v>1</v>
      </c>
    </row>
    <row r="134" spans="5:26" ht="15.75" customHeight="1" thickBot="1" x14ac:dyDescent="0.3">
      <c r="F134" s="8" t="s">
        <v>4</v>
      </c>
      <c r="M134" s="1" t="s">
        <v>1</v>
      </c>
      <c r="S134" s="8" t="s">
        <v>64</v>
      </c>
    </row>
    <row r="135" spans="5:26" ht="15.75" customHeight="1" thickBot="1" x14ac:dyDescent="0.3">
      <c r="G135" s="6">
        <v>436</v>
      </c>
      <c r="H135" s="4">
        <f>E24</f>
        <v>217</v>
      </c>
      <c r="I135" s="4" t="str">
        <f>"Stingere datorie CAM catre buget"&amp;D26</f>
        <v>Stingere datorie CAM catre buget - 7.2026 - POPESCU IOANA-GABRIELA</v>
      </c>
      <c r="J135" s="9">
        <v>5121</v>
      </c>
      <c r="K135" s="4">
        <f>E24</f>
        <v>217</v>
      </c>
      <c r="L135" s="4" t="str">
        <f>"Plata CAM din banca"&amp;D26</f>
        <v>Plata CAM din banca - 7.2026 - POPESCU IOANA-GABRIELA</v>
      </c>
      <c r="M135" s="1" t="s">
        <v>1</v>
      </c>
      <c r="T135" s="6">
        <v>436</v>
      </c>
      <c r="U135" s="4">
        <f>R24</f>
        <v>217</v>
      </c>
      <c r="V135" s="4" t="str">
        <f>"Settlement of CAM liability to the state budget"&amp;Q26</f>
        <v>Settlement of CAM liability to the state budget - 7.2026 - POPESCU IOANA-GABRIELA</v>
      </c>
      <c r="W135" s="9">
        <v>5121</v>
      </c>
      <c r="X135" s="4">
        <f>R24</f>
        <v>217</v>
      </c>
      <c r="Y135" s="4" t="str">
        <f>"Payment of CAM from bank"&amp;Q26</f>
        <v>Payment of CAM from bank - 7.2026 - POPESCU IOANA-GABRIELA</v>
      </c>
      <c r="Z135" s="1" t="s">
        <v>1</v>
      </c>
    </row>
    <row r="136" spans="5:26" ht="15.75" customHeight="1" x14ac:dyDescent="0.25"/>
    <row r="137" spans="5:26" ht="15.75" customHeight="1" x14ac:dyDescent="0.25">
      <c r="E137" s="8" t="s">
        <v>10</v>
      </c>
      <c r="R137" s="8" t="s">
        <v>79</v>
      </c>
    </row>
    <row r="139" spans="5:26" ht="15" customHeight="1" x14ac:dyDescent="0.25">
      <c r="H139" s="7" t="s">
        <v>9</v>
      </c>
      <c r="I139" s="7" t="s">
        <v>8</v>
      </c>
      <c r="U139" s="7" t="s">
        <v>9</v>
      </c>
      <c r="V139" s="7" t="s">
        <v>8</v>
      </c>
    </row>
    <row r="141" spans="5:26" ht="15" customHeight="1" thickBot="1" x14ac:dyDescent="0.3">
      <c r="F141" s="6">
        <v>421</v>
      </c>
      <c r="G141" s="1" t="s">
        <v>7</v>
      </c>
      <c r="H141" s="4">
        <f>SUM(H126:H126)</f>
        <v>5500</v>
      </c>
      <c r="I141" s="4"/>
      <c r="S141" s="6">
        <v>421</v>
      </c>
      <c r="T141" s="1" t="s">
        <v>87</v>
      </c>
      <c r="U141" s="4">
        <f>SUM(U126:U126)</f>
        <v>5500</v>
      </c>
    </row>
    <row r="142" spans="5:26" ht="15" customHeight="1" thickBot="1" x14ac:dyDescent="0.3">
      <c r="F142" s="6">
        <v>4315</v>
      </c>
      <c r="G142" s="1" t="s">
        <v>6</v>
      </c>
      <c r="H142" s="4">
        <f>H129</f>
        <v>2407</v>
      </c>
      <c r="I142" s="4"/>
      <c r="S142" s="6">
        <v>4315</v>
      </c>
      <c r="T142" s="1" t="s">
        <v>58</v>
      </c>
      <c r="U142" s="4">
        <f>U129</f>
        <v>2407</v>
      </c>
    </row>
    <row r="143" spans="5:26" ht="15.75" customHeight="1" thickBot="1" x14ac:dyDescent="0.3">
      <c r="F143" s="6">
        <v>4316</v>
      </c>
      <c r="G143" s="1" t="s">
        <v>5</v>
      </c>
      <c r="H143" s="4">
        <f>H130</f>
        <v>1032</v>
      </c>
      <c r="I143" s="4"/>
      <c r="S143" s="6">
        <v>4316</v>
      </c>
      <c r="T143" s="1" t="s">
        <v>59</v>
      </c>
      <c r="U143" s="4">
        <f>U130</f>
        <v>1032</v>
      </c>
    </row>
    <row r="144" spans="5:26" ht="15.75" customHeight="1" thickBot="1" x14ac:dyDescent="0.3">
      <c r="F144" s="6">
        <v>436</v>
      </c>
      <c r="G144" s="1" t="s">
        <v>4</v>
      </c>
      <c r="H144" s="4">
        <f>H135</f>
        <v>217</v>
      </c>
      <c r="I144" s="4"/>
      <c r="K144" s="4"/>
      <c r="L144" s="4"/>
      <c r="S144" s="6">
        <v>436</v>
      </c>
      <c r="T144" s="1" t="s">
        <v>64</v>
      </c>
      <c r="U144" s="4">
        <f>U135</f>
        <v>217</v>
      </c>
    </row>
    <row r="145" spans="6:23" ht="15.75" customHeight="1" thickBot="1" x14ac:dyDescent="0.3">
      <c r="F145" s="6">
        <v>444</v>
      </c>
      <c r="G145" s="1" t="s">
        <v>3</v>
      </c>
      <c r="H145" s="4">
        <f>H131</f>
        <v>688</v>
      </c>
      <c r="I145" s="4"/>
      <c r="S145" s="6">
        <v>444</v>
      </c>
      <c r="T145" s="1" t="s">
        <v>61</v>
      </c>
      <c r="U145" s="4">
        <f>U131</f>
        <v>688</v>
      </c>
    </row>
    <row r="146" spans="6:23" ht="15.75" customHeight="1" thickBot="1" x14ac:dyDescent="0.3">
      <c r="F146" s="5">
        <v>5121</v>
      </c>
      <c r="G146" s="1" t="s">
        <v>2</v>
      </c>
      <c r="H146" s="1" t="s">
        <v>1</v>
      </c>
      <c r="I146" s="4">
        <f>SUM(K126,K129,K135)</f>
        <v>9844</v>
      </c>
      <c r="S146" s="5">
        <v>5121</v>
      </c>
      <c r="T146" s="1" t="s">
        <v>81</v>
      </c>
      <c r="U146" s="1" t="s">
        <v>1</v>
      </c>
      <c r="V146" s="4">
        <f>SUM(X126,X129,X135)</f>
        <v>9844</v>
      </c>
    </row>
    <row r="148" spans="6:23" ht="15" customHeight="1" x14ac:dyDescent="0.25">
      <c r="G148" s="3" t="s">
        <v>0</v>
      </c>
      <c r="H148" s="2">
        <f>SUM(H141:H146)</f>
        <v>9844</v>
      </c>
      <c r="I148" s="2">
        <f>SUM(I141:I146)</f>
        <v>9844</v>
      </c>
      <c r="J148" s="2">
        <f>H148-I148</f>
        <v>0</v>
      </c>
      <c r="T148" s="3" t="s">
        <v>0</v>
      </c>
      <c r="U148" s="2">
        <f>SUM(U141:U146)</f>
        <v>9844</v>
      </c>
      <c r="V148" s="2">
        <f>SUM(V141:V146)</f>
        <v>9844</v>
      </c>
      <c r="W148" s="2">
        <f>U148-V148</f>
        <v>0</v>
      </c>
    </row>
  </sheetData>
  <mergeCells count="16">
    <mergeCell ref="G75:I75"/>
    <mergeCell ref="J75:L75"/>
    <mergeCell ref="T75:V75"/>
    <mergeCell ref="W75:Y75"/>
    <mergeCell ref="G121:I121"/>
    <mergeCell ref="J121:L121"/>
    <mergeCell ref="T121:V121"/>
    <mergeCell ref="W121:Y121"/>
    <mergeCell ref="G35:I35"/>
    <mergeCell ref="J35:L35"/>
    <mergeCell ref="T35:V35"/>
    <mergeCell ref="W35:Y35"/>
    <mergeCell ref="G50:I50"/>
    <mergeCell ref="J50:L50"/>
    <mergeCell ref="T50:V50"/>
    <mergeCell ref="W50:Y50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277A-ECA2-4BE9-A2F1-32E5EC6C943D}">
  <dimension ref="B2:Z148"/>
  <sheetViews>
    <sheetView tabSelected="1" zoomScaleNormal="100" workbookViewId="0">
      <selection activeCell="K12" sqref="K12"/>
    </sheetView>
  </sheetViews>
  <sheetFormatPr defaultColWidth="8.7109375" defaultRowHeight="15" x14ac:dyDescent="0.25"/>
  <cols>
    <col min="1" max="3" width="8.7109375" style="1"/>
    <col min="4" max="4" width="9.85546875" style="1" customWidth="1"/>
    <col min="5" max="6" width="9.28515625" style="1" customWidth="1"/>
    <col min="7" max="7" width="10.42578125" style="1" customWidth="1"/>
    <col min="8" max="8" width="13.140625" style="1" customWidth="1"/>
    <col min="9" max="9" width="9.7109375" style="1" customWidth="1"/>
    <col min="10" max="10" width="9.28515625" style="1" customWidth="1"/>
    <col min="11" max="11" width="14.140625" style="1" customWidth="1"/>
    <col min="12" max="12" width="20" style="1" customWidth="1"/>
    <col min="13" max="16" width="8.7109375" style="1"/>
    <col min="17" max="17" width="9.85546875" style="1" customWidth="1"/>
    <col min="18" max="18" width="9.28515625" style="1" customWidth="1"/>
    <col min="19" max="19" width="8.7109375" style="1"/>
    <col min="20" max="20" width="10.42578125" style="1" customWidth="1"/>
    <col min="21" max="21" width="13.140625" style="1" customWidth="1"/>
    <col min="22" max="22" width="9.7109375" style="1" customWidth="1"/>
    <col min="23" max="23" width="9.28515625" style="1" customWidth="1"/>
    <col min="24" max="24" width="14.140625" style="1" customWidth="1"/>
    <col min="25" max="25" width="20" style="1" customWidth="1"/>
    <col min="26" max="16384" width="8.7109375" style="1"/>
  </cols>
  <sheetData>
    <row r="2" spans="2:18" ht="15" customHeight="1" x14ac:dyDescent="0.25">
      <c r="B2" s="8" t="s">
        <v>47</v>
      </c>
      <c r="O2" s="8" t="s">
        <v>47</v>
      </c>
    </row>
    <row r="3" spans="2:18" ht="15" customHeight="1" x14ac:dyDescent="0.25">
      <c r="B3" s="8"/>
    </row>
    <row r="4" spans="2:18" ht="15" customHeight="1" x14ac:dyDescent="0.25">
      <c r="C4" s="18" t="s">
        <v>46</v>
      </c>
    </row>
    <row r="5" spans="2:18" ht="15.75" customHeight="1" thickBot="1" x14ac:dyDescent="0.3">
      <c r="C5" s="15"/>
      <c r="E5" s="15"/>
    </row>
    <row r="6" spans="2:18" ht="15.75" customHeight="1" thickBot="1" x14ac:dyDescent="0.3">
      <c r="C6" s="1" t="s">
        <v>45</v>
      </c>
      <c r="D6" s="16" t="s">
        <v>92</v>
      </c>
      <c r="P6" s="1" t="s">
        <v>51</v>
      </c>
      <c r="Q6" s="4" t="str">
        <f>D6</f>
        <v>7.2026</v>
      </c>
    </row>
    <row r="7" spans="2:18" ht="15.75" customHeight="1" thickBot="1" x14ac:dyDescent="0.3">
      <c r="C7" s="1" t="s">
        <v>44</v>
      </c>
      <c r="D7" s="13" t="s">
        <v>50</v>
      </c>
      <c r="E7" s="1" t="s">
        <v>1</v>
      </c>
      <c r="P7" s="1" t="s">
        <v>52</v>
      </c>
      <c r="Q7" s="4" t="str">
        <f>D7</f>
        <v>SASCAU COSMIN-BOGDAN</v>
      </c>
    </row>
    <row r="8" spans="2:18" ht="15" customHeight="1" x14ac:dyDescent="0.25">
      <c r="C8" s="15"/>
      <c r="E8" s="15"/>
    </row>
    <row r="9" spans="2:18" ht="15" customHeight="1" x14ac:dyDescent="0.25">
      <c r="E9" s="14" t="s">
        <v>42</v>
      </c>
      <c r="R9" s="14" t="s">
        <v>42</v>
      </c>
    </row>
    <row r="10" spans="2:18" ht="15.75" customHeight="1" thickBot="1" x14ac:dyDescent="0.3"/>
    <row r="11" spans="2:18" ht="15.75" customHeight="1" thickBot="1" x14ac:dyDescent="0.3">
      <c r="C11" s="1" t="s">
        <v>53</v>
      </c>
      <c r="E11" s="13">
        <v>24127</v>
      </c>
      <c r="P11" s="1" t="s">
        <v>54</v>
      </c>
      <c r="R11" s="4">
        <f>E11</f>
        <v>24127</v>
      </c>
    </row>
    <row r="12" spans="2:18" ht="15.75" customHeight="1" thickBot="1" x14ac:dyDescent="0.3">
      <c r="C12" s="1" t="s">
        <v>41</v>
      </c>
      <c r="E12" s="13">
        <v>690</v>
      </c>
      <c r="P12" s="1" t="s">
        <v>55</v>
      </c>
      <c r="R12" s="4">
        <f>E12</f>
        <v>690</v>
      </c>
    </row>
    <row r="13" spans="2:18" ht="15.75" customHeight="1" thickBot="1" x14ac:dyDescent="0.3">
      <c r="C13" s="1" t="s">
        <v>40</v>
      </c>
      <c r="E13" s="13">
        <v>0</v>
      </c>
      <c r="P13" s="1" t="s">
        <v>56</v>
      </c>
      <c r="R13" s="4">
        <f>E13</f>
        <v>0</v>
      </c>
    </row>
    <row r="15" spans="2:18" ht="15" customHeight="1" x14ac:dyDescent="0.25">
      <c r="B15" s="8" t="s">
        <v>39</v>
      </c>
      <c r="O15" s="8" t="s">
        <v>57</v>
      </c>
    </row>
    <row r="17" spans="2:18" ht="15" customHeight="1" x14ac:dyDescent="0.25">
      <c r="C17" s="1" t="s">
        <v>6</v>
      </c>
      <c r="D17" s="1">
        <v>0.25</v>
      </c>
      <c r="E17" s="4">
        <f>ROUND(E11*D17,0)</f>
        <v>6032</v>
      </c>
      <c r="P17" s="1" t="s">
        <v>58</v>
      </c>
      <c r="Q17" s="1">
        <f>D17</f>
        <v>0.25</v>
      </c>
      <c r="R17" s="4">
        <f>ROUND(R11*Q17,0)</f>
        <v>6032</v>
      </c>
    </row>
    <row r="18" spans="2:18" ht="15" customHeight="1" x14ac:dyDescent="0.25">
      <c r="C18" s="1" t="s">
        <v>5</v>
      </c>
      <c r="D18" s="1">
        <v>0.1</v>
      </c>
      <c r="E18" s="4">
        <f>ROUND((E11+E12)*D18,0)</f>
        <v>2482</v>
      </c>
      <c r="P18" s="1" t="s">
        <v>59</v>
      </c>
      <c r="Q18" s="1">
        <f>D18</f>
        <v>0.1</v>
      </c>
      <c r="R18" s="4">
        <f>ROUND((R11+R12)*Q18,0)</f>
        <v>2482</v>
      </c>
    </row>
    <row r="19" spans="2:18" ht="15" customHeight="1" x14ac:dyDescent="0.25">
      <c r="C19" s="1" t="s">
        <v>38</v>
      </c>
      <c r="E19" s="4">
        <f>E11-E17-E18</f>
        <v>15613</v>
      </c>
      <c r="P19" s="1" t="s">
        <v>60</v>
      </c>
      <c r="R19" s="4">
        <f>R11-R17-R18</f>
        <v>15613</v>
      </c>
    </row>
    <row r="20" spans="2:18" ht="15" customHeight="1" x14ac:dyDescent="0.25">
      <c r="C20" s="1" t="s">
        <v>3</v>
      </c>
      <c r="D20" s="1">
        <v>0.1</v>
      </c>
      <c r="E20" s="4">
        <f>ROUND((E19+E12)*D20,0)</f>
        <v>1630</v>
      </c>
      <c r="P20" s="1" t="s">
        <v>61</v>
      </c>
      <c r="Q20" s="1">
        <f>D20</f>
        <v>0.1</v>
      </c>
      <c r="R20" s="4">
        <f>ROUND((R19+R12)*Q20,0)</f>
        <v>1630</v>
      </c>
    </row>
    <row r="21" spans="2:18" ht="15" customHeight="1" x14ac:dyDescent="0.25">
      <c r="C21" s="1" t="s">
        <v>37</v>
      </c>
      <c r="E21" s="4">
        <f>E19-E20</f>
        <v>13983</v>
      </c>
      <c r="P21" s="1" t="s">
        <v>62</v>
      </c>
      <c r="R21" s="4">
        <f>R19-R20</f>
        <v>13983</v>
      </c>
    </row>
    <row r="22" spans="2:18" ht="15" customHeight="1" x14ac:dyDescent="0.25">
      <c r="C22" s="1" t="s">
        <v>36</v>
      </c>
      <c r="E22" s="4">
        <f>E21-E13</f>
        <v>13983</v>
      </c>
      <c r="P22" s="1" t="s">
        <v>63</v>
      </c>
      <c r="R22" s="4">
        <f>R21-R13</f>
        <v>13983</v>
      </c>
    </row>
    <row r="24" spans="2:18" ht="15" customHeight="1" x14ac:dyDescent="0.25">
      <c r="C24" s="1" t="s">
        <v>4</v>
      </c>
      <c r="D24" s="1">
        <v>2.2499999999999999E-2</v>
      </c>
      <c r="E24" s="4">
        <f>ROUND(E11*D24,0)</f>
        <v>543</v>
      </c>
      <c r="P24" s="1" t="s">
        <v>64</v>
      </c>
      <c r="Q24" s="1">
        <f>D24</f>
        <v>2.2499999999999999E-2</v>
      </c>
      <c r="R24" s="4">
        <f>ROUND(R11*Q24,0)</f>
        <v>543</v>
      </c>
    </row>
    <row r="26" spans="2:18" ht="15" customHeight="1" x14ac:dyDescent="0.25">
      <c r="C26" s="3" t="s">
        <v>35</v>
      </c>
      <c r="D26" s="3" t="str">
        <f>" - "&amp;D6&amp;" - "&amp;D7</f>
        <v xml:space="preserve"> - 7.2026 - SASCAU COSMIN-BOGDAN</v>
      </c>
      <c r="E26" s="1" t="s">
        <v>1</v>
      </c>
      <c r="P26" s="3" t="s">
        <v>65</v>
      </c>
      <c r="Q26" s="3" t="str">
        <f>" - "&amp;Q6&amp;" - "&amp;Q7</f>
        <v xml:space="preserve"> - 7.2026 - SASCAU COSMIN-BOGDAN</v>
      </c>
    </row>
    <row r="29" spans="2:18" ht="15" customHeight="1" x14ac:dyDescent="0.25">
      <c r="B29" s="8" t="s">
        <v>34</v>
      </c>
      <c r="O29" s="8" t="s">
        <v>66</v>
      </c>
    </row>
    <row r="30" spans="2:18" ht="15" customHeight="1" x14ac:dyDescent="0.25">
      <c r="B30" s="8"/>
    </row>
    <row r="31" spans="2:18" ht="15" customHeight="1" x14ac:dyDescent="0.25">
      <c r="C31" s="8" t="s">
        <v>27</v>
      </c>
      <c r="P31" s="8" t="s">
        <v>67</v>
      </c>
    </row>
    <row r="32" spans="2:18" ht="15" customHeight="1" x14ac:dyDescent="0.25">
      <c r="C32" s="8"/>
    </row>
    <row r="33" spans="3:25" ht="15" customHeight="1" x14ac:dyDescent="0.25">
      <c r="C33" s="8"/>
      <c r="D33" s="3" t="s">
        <v>33</v>
      </c>
      <c r="Q33" s="3" t="s">
        <v>68</v>
      </c>
    </row>
    <row r="34" spans="3:25" ht="15.75" customHeight="1" thickBot="1" x14ac:dyDescent="0.3">
      <c r="C34" s="8"/>
    </row>
    <row r="35" spans="3:25" ht="18" customHeight="1" thickBot="1" x14ac:dyDescent="0.3">
      <c r="C35" s="8"/>
      <c r="G35" s="17" t="s">
        <v>9</v>
      </c>
      <c r="H35" s="17"/>
      <c r="I35" s="17"/>
      <c r="J35" s="17" t="s">
        <v>8</v>
      </c>
      <c r="K35" s="17"/>
      <c r="L35" s="17"/>
      <c r="T35" s="17" t="s">
        <v>9</v>
      </c>
      <c r="U35" s="17"/>
      <c r="V35" s="17"/>
      <c r="W35" s="17" t="s">
        <v>8</v>
      </c>
      <c r="X35" s="17"/>
      <c r="Y35" s="17"/>
    </row>
    <row r="36" spans="3:25" ht="15" customHeight="1" x14ac:dyDescent="0.25">
      <c r="C36" s="8"/>
    </row>
    <row r="37" spans="3:25" ht="15" customHeight="1" x14ac:dyDescent="0.25">
      <c r="C37" s="8"/>
      <c r="G37" s="10" t="s">
        <v>15</v>
      </c>
      <c r="H37" s="10" t="s">
        <v>14</v>
      </c>
      <c r="I37" s="10" t="s">
        <v>13</v>
      </c>
      <c r="J37" s="10" t="s">
        <v>15</v>
      </c>
      <c r="K37" s="10" t="s">
        <v>14</v>
      </c>
      <c r="L37" s="10" t="s">
        <v>13</v>
      </c>
      <c r="T37" s="10" t="s">
        <v>69</v>
      </c>
      <c r="U37" s="10" t="s">
        <v>70</v>
      </c>
      <c r="V37" s="10" t="s">
        <v>71</v>
      </c>
      <c r="W37" s="10" t="s">
        <v>69</v>
      </c>
      <c r="X37" s="10" t="s">
        <v>70</v>
      </c>
      <c r="Y37" s="10" t="s">
        <v>71</v>
      </c>
    </row>
    <row r="38" spans="3:25" ht="15" customHeight="1" x14ac:dyDescent="0.25">
      <c r="C38" s="8"/>
    </row>
    <row r="39" spans="3:25" ht="15.75" customHeight="1" thickBot="1" x14ac:dyDescent="0.3">
      <c r="F39" s="8"/>
    </row>
    <row r="40" spans="3:25" ht="15.75" customHeight="1" thickBot="1" x14ac:dyDescent="0.3">
      <c r="G40" s="5">
        <v>5328</v>
      </c>
      <c r="H40" s="12" t="s">
        <v>30</v>
      </c>
      <c r="I40" s="4" t="s">
        <v>32</v>
      </c>
      <c r="J40" s="6" t="s">
        <v>31</v>
      </c>
      <c r="K40" s="12" t="s">
        <v>30</v>
      </c>
      <c r="L40" s="4" t="s">
        <v>29</v>
      </c>
      <c r="M40" s="4" t="s">
        <v>1</v>
      </c>
      <c r="T40" s="5">
        <v>5328</v>
      </c>
      <c r="U40" s="12" t="s">
        <v>72</v>
      </c>
      <c r="V40" s="4" t="s">
        <v>73</v>
      </c>
      <c r="W40" s="6" t="s">
        <v>31</v>
      </c>
      <c r="X40" s="12" t="s">
        <v>72</v>
      </c>
      <c r="Y40" s="4" t="s">
        <v>74</v>
      </c>
    </row>
    <row r="41" spans="3:25" ht="15" customHeight="1" x14ac:dyDescent="0.25">
      <c r="C41" s="8"/>
    </row>
    <row r="42" spans="3:25" ht="15.75" customHeight="1" x14ac:dyDescent="0.25">
      <c r="C42" s="8" t="s">
        <v>18</v>
      </c>
      <c r="P42" s="8" t="s">
        <v>75</v>
      </c>
    </row>
    <row r="44" spans="3:25" ht="15" customHeight="1" x14ac:dyDescent="0.25">
      <c r="C44" s="8"/>
      <c r="D44" s="3" t="str">
        <f>"Aferente "&amp;D6&amp;", de inregistrat in "&amp;D6&amp;"."</f>
        <v>Aferente 7.2026, de inregistrat in 7.2026.</v>
      </c>
      <c r="Q44" s="3" t="str">
        <f>"Related to "&amp;Q6&amp;", to be recorded in "&amp;Q6&amp;"."</f>
        <v>Related to 7.2026, to be recorded in 7.2026.</v>
      </c>
    </row>
    <row r="45" spans="3:25" ht="15.75" customHeight="1" x14ac:dyDescent="0.25"/>
    <row r="46" spans="3:25" ht="15.75" customHeight="1" x14ac:dyDescent="0.25">
      <c r="D46" s="3" t="s">
        <v>17</v>
      </c>
      <c r="Q46" s="3" t="s">
        <v>76</v>
      </c>
    </row>
    <row r="48" spans="3:25" ht="15" customHeight="1" x14ac:dyDescent="0.25">
      <c r="E48" s="8" t="s">
        <v>16</v>
      </c>
      <c r="R48" s="8" t="s">
        <v>77</v>
      </c>
    </row>
    <row r="49" spans="5:25" ht="15" customHeight="1" thickBot="1" x14ac:dyDescent="0.3">
      <c r="G49" s="8"/>
      <c r="H49" s="8"/>
      <c r="I49" s="8"/>
      <c r="J49" s="8"/>
      <c r="K49" s="8"/>
      <c r="L49" s="8"/>
    </row>
    <row r="50" spans="5:25" ht="17.25" customHeight="1" thickBot="1" x14ac:dyDescent="0.3">
      <c r="G50" s="17" t="s">
        <v>9</v>
      </c>
      <c r="H50" s="17"/>
      <c r="I50" s="17"/>
      <c r="J50" s="17" t="s">
        <v>8</v>
      </c>
      <c r="K50" s="17"/>
      <c r="L50" s="17"/>
      <c r="T50" s="17" t="s">
        <v>9</v>
      </c>
      <c r="U50" s="17"/>
      <c r="V50" s="17"/>
      <c r="W50" s="17" t="s">
        <v>8</v>
      </c>
      <c r="X50" s="17"/>
      <c r="Y50" s="17"/>
    </row>
    <row r="51" spans="5:25" ht="15" customHeight="1" x14ac:dyDescent="0.25">
      <c r="G51" s="8"/>
      <c r="H51" s="8"/>
      <c r="I51" s="8"/>
      <c r="J51" s="8"/>
      <c r="K51" s="8"/>
      <c r="L51" s="8"/>
    </row>
    <row r="52" spans="5:25" ht="15.75" customHeight="1" x14ac:dyDescent="0.25">
      <c r="G52" s="10" t="s">
        <v>15</v>
      </c>
      <c r="H52" s="10" t="s">
        <v>14</v>
      </c>
      <c r="I52" s="10" t="s">
        <v>13</v>
      </c>
      <c r="J52" s="10" t="s">
        <v>15</v>
      </c>
      <c r="K52" s="10" t="s">
        <v>14</v>
      </c>
      <c r="L52" s="10" t="s">
        <v>13</v>
      </c>
      <c r="T52" s="10" t="s">
        <v>69</v>
      </c>
      <c r="U52" s="10" t="s">
        <v>70</v>
      </c>
      <c r="V52" s="10" t="s">
        <v>71</v>
      </c>
      <c r="W52" s="10" t="s">
        <v>69</v>
      </c>
      <c r="X52" s="10" t="s">
        <v>70</v>
      </c>
      <c r="Y52" s="10" t="s">
        <v>71</v>
      </c>
    </row>
    <row r="53" spans="5:25" ht="15.75" customHeight="1" x14ac:dyDescent="0.25"/>
    <row r="54" spans="5:25" ht="15.75" customHeight="1" thickBot="1" x14ac:dyDescent="0.3">
      <c r="F54" s="8" t="s">
        <v>28</v>
      </c>
      <c r="M54" s="1" t="s">
        <v>1</v>
      </c>
      <c r="S54" s="8" t="s">
        <v>78</v>
      </c>
    </row>
    <row r="55" spans="5:25" ht="15" customHeight="1" thickBot="1" x14ac:dyDescent="0.3">
      <c r="G55" s="6">
        <v>425</v>
      </c>
      <c r="H55" s="4">
        <f>E13</f>
        <v>0</v>
      </c>
      <c r="I55" s="4" t="str">
        <f>"Avans acordat personalului"&amp;D26</f>
        <v>Avans acordat personalului - 7.2026 - SASCAU COSMIN-BOGDAN</v>
      </c>
      <c r="J55" s="5">
        <v>5121</v>
      </c>
      <c r="K55" s="4">
        <f>E13</f>
        <v>0</v>
      </c>
      <c r="L55" s="4" t="str">
        <f>"Plata avans personal din banca"&amp;D26</f>
        <v>Plata avans personal din banca - 7.2026 - SASCAU COSMIN-BOGDAN</v>
      </c>
      <c r="M55" s="1" t="s">
        <v>1</v>
      </c>
      <c r="T55" s="6">
        <v>425</v>
      </c>
      <c r="U55" s="4">
        <f>R13</f>
        <v>0</v>
      </c>
      <c r="V55" s="4" t="str">
        <f>"Advance granted to employee"&amp;Q26</f>
        <v>Advance granted to employee - 7.2026 - SASCAU COSMIN-BOGDAN</v>
      </c>
      <c r="W55" s="5">
        <v>5121</v>
      </c>
      <c r="X55" s="4">
        <f>R13</f>
        <v>0</v>
      </c>
      <c r="Y55" s="4" t="str">
        <f>"Payment of employee advance from bank"&amp;Q26</f>
        <v>Payment of employee advance from bank - 7.2026 - SASCAU COSMIN-BOGDAN</v>
      </c>
    </row>
    <row r="56" spans="5:25" ht="15" customHeight="1" x14ac:dyDescent="0.25">
      <c r="H56" s="4"/>
      <c r="I56" s="4"/>
      <c r="K56" s="4"/>
      <c r="L56" s="4"/>
      <c r="M56" s="1" t="s">
        <v>1</v>
      </c>
    </row>
    <row r="58" spans="5:25" ht="15" customHeight="1" x14ac:dyDescent="0.25">
      <c r="E58" s="8" t="s">
        <v>10</v>
      </c>
      <c r="R58" s="8" t="s">
        <v>79</v>
      </c>
    </row>
    <row r="60" spans="5:25" ht="15" customHeight="1" x14ac:dyDescent="0.25">
      <c r="H60" s="7" t="s">
        <v>9</v>
      </c>
      <c r="I60" s="7" t="s">
        <v>8</v>
      </c>
      <c r="U60" s="7" t="s">
        <v>9</v>
      </c>
      <c r="V60" s="7" t="s">
        <v>8</v>
      </c>
    </row>
    <row r="62" spans="5:25" ht="15" customHeight="1" thickBot="1" x14ac:dyDescent="0.3">
      <c r="F62" s="6">
        <v>425</v>
      </c>
      <c r="G62" s="1" t="s">
        <v>23</v>
      </c>
      <c r="H62" s="4">
        <f>SUM(H55:H55)</f>
        <v>0</v>
      </c>
      <c r="I62" s="4"/>
      <c r="S62" s="6">
        <v>425</v>
      </c>
      <c r="T62" s="1" t="s">
        <v>80</v>
      </c>
      <c r="U62" s="4">
        <f>SUM(U55:U55)</f>
        <v>0</v>
      </c>
    </row>
    <row r="63" spans="5:25" ht="15" customHeight="1" thickBot="1" x14ac:dyDescent="0.3">
      <c r="F63" s="5">
        <v>5121</v>
      </c>
      <c r="G63" s="1" t="s">
        <v>2</v>
      </c>
      <c r="H63" s="1" t="s">
        <v>1</v>
      </c>
      <c r="I63" s="4">
        <f>K55</f>
        <v>0</v>
      </c>
      <c r="S63" s="5">
        <v>5121</v>
      </c>
      <c r="T63" s="1" t="s">
        <v>81</v>
      </c>
      <c r="U63" s="1" t="s">
        <v>1</v>
      </c>
      <c r="V63" s="4">
        <f>X55</f>
        <v>0</v>
      </c>
    </row>
    <row r="64" spans="5:25" ht="15.75" customHeight="1" x14ac:dyDescent="0.25"/>
    <row r="65" spans="3:26" ht="18" customHeight="1" x14ac:dyDescent="0.25">
      <c r="G65" s="3" t="s">
        <v>0</v>
      </c>
      <c r="H65" s="1">
        <f>SUM(H62:H63)</f>
        <v>0</v>
      </c>
      <c r="I65" s="1">
        <f>SUM(I62:I63)</f>
        <v>0</v>
      </c>
      <c r="J65" s="2">
        <f>H65-I65</f>
        <v>0</v>
      </c>
      <c r="T65" s="3" t="s">
        <v>0</v>
      </c>
      <c r="U65" s="1">
        <f>SUM(U62:U63)</f>
        <v>0</v>
      </c>
      <c r="V65" s="1">
        <f>SUM(V62:V63)</f>
        <v>0</v>
      </c>
      <c r="W65" s="2">
        <f>U65-V65</f>
        <v>0</v>
      </c>
    </row>
    <row r="66" spans="3:26" ht="15" customHeight="1" x14ac:dyDescent="0.25">
      <c r="C66" s="8"/>
    </row>
    <row r="67" spans="3:26" ht="15" customHeight="1" x14ac:dyDescent="0.25">
      <c r="C67" s="8" t="s">
        <v>27</v>
      </c>
      <c r="P67" s="8" t="s">
        <v>67</v>
      </c>
    </row>
    <row r="68" spans="3:26" ht="15" customHeight="1" x14ac:dyDescent="0.25">
      <c r="C68" s="8"/>
    </row>
    <row r="69" spans="3:26" ht="15" customHeight="1" x14ac:dyDescent="0.25">
      <c r="D69" s="3" t="str">
        <f>"Aferente "&amp;D6&amp;", de inregistrat in "&amp;D6&amp;"."</f>
        <v>Aferente 7.2026, de inregistrat in 7.2026.</v>
      </c>
      <c r="Q69" s="3" t="str">
        <f>"Related to "&amp;Q6&amp;", to be recorded in "&amp;Q6&amp;"."</f>
        <v>Related to 7.2026, to be recorded in 7.2026.</v>
      </c>
    </row>
    <row r="70" spans="3:26" ht="15" customHeight="1" x14ac:dyDescent="0.25">
      <c r="D70" s="3"/>
    </row>
    <row r="71" spans="3:26" ht="15" customHeight="1" x14ac:dyDescent="0.25">
      <c r="D71" s="3" t="s">
        <v>26</v>
      </c>
      <c r="Q71" s="3" t="s">
        <v>82</v>
      </c>
    </row>
    <row r="73" spans="3:26" ht="15" customHeight="1" x14ac:dyDescent="0.25">
      <c r="E73" s="8" t="s">
        <v>16</v>
      </c>
      <c r="R73" s="8" t="s">
        <v>77</v>
      </c>
    </row>
    <row r="74" spans="3:26" ht="15.75" customHeight="1" thickBot="1" x14ac:dyDescent="0.3">
      <c r="E74" s="8"/>
    </row>
    <row r="75" spans="3:26" ht="18" customHeight="1" thickBot="1" x14ac:dyDescent="0.3">
      <c r="G75" s="17" t="s">
        <v>9</v>
      </c>
      <c r="H75" s="17"/>
      <c r="I75" s="17"/>
      <c r="J75" s="17" t="s">
        <v>8</v>
      </c>
      <c r="K75" s="17"/>
      <c r="L75" s="17"/>
      <c r="T75" s="17" t="s">
        <v>9</v>
      </c>
      <c r="U75" s="17"/>
      <c r="V75" s="17"/>
      <c r="W75" s="17" t="s">
        <v>8</v>
      </c>
      <c r="X75" s="17"/>
      <c r="Y75" s="17"/>
    </row>
    <row r="77" spans="3:26" ht="15" customHeight="1" x14ac:dyDescent="0.25">
      <c r="G77" s="10" t="s">
        <v>15</v>
      </c>
      <c r="H77" s="10" t="s">
        <v>14</v>
      </c>
      <c r="I77" s="10" t="s">
        <v>13</v>
      </c>
      <c r="J77" s="10" t="s">
        <v>15</v>
      </c>
      <c r="K77" s="10" t="s">
        <v>14</v>
      </c>
      <c r="L77" s="10" t="s">
        <v>13</v>
      </c>
      <c r="T77" s="10" t="s">
        <v>69</v>
      </c>
      <c r="U77" s="10" t="s">
        <v>70</v>
      </c>
      <c r="V77" s="10" t="s">
        <v>71</v>
      </c>
      <c r="W77" s="10" t="s">
        <v>69</v>
      </c>
      <c r="X77" s="10" t="s">
        <v>70</v>
      </c>
      <c r="Y77" s="10" t="s">
        <v>71</v>
      </c>
    </row>
    <row r="79" spans="3:26" ht="15.75" customHeight="1" thickBot="1" x14ac:dyDescent="0.3">
      <c r="F79" s="8" t="s">
        <v>25</v>
      </c>
      <c r="S79" s="8" t="s">
        <v>83</v>
      </c>
    </row>
    <row r="80" spans="3:26" ht="15.75" customHeight="1" thickBot="1" x14ac:dyDescent="0.3">
      <c r="G80" s="6">
        <v>421</v>
      </c>
      <c r="H80" s="4">
        <f>E13</f>
        <v>0</v>
      </c>
      <c r="I80" s="4" t="str">
        <f>"Diminuare datorie salariala cu avansul acordat"&amp;D26</f>
        <v>Diminuare datorie salariala cu avansul acordat - 7.2026 - SASCAU COSMIN-BOGDAN</v>
      </c>
      <c r="J80" s="6">
        <v>425</v>
      </c>
      <c r="K80" s="4">
        <f>H80</f>
        <v>0</v>
      </c>
      <c r="L80" s="4" t="str">
        <f>"Inchidere avans acordat personalului"&amp;D26</f>
        <v>Inchidere avans acordat personalului - 7.2026 - SASCAU COSMIN-BOGDAN</v>
      </c>
      <c r="T80" s="6">
        <v>421</v>
      </c>
      <c r="U80" s="4">
        <f>R13</f>
        <v>0</v>
      </c>
      <c r="V80" s="4" t="str">
        <f>"Reduction of payroll liability by the advance granted"&amp;Q26</f>
        <v>Reduction of payroll liability by the advance granted - 7.2026 - SASCAU COSMIN-BOGDAN</v>
      </c>
      <c r="W80" s="6">
        <v>425</v>
      </c>
      <c r="X80" s="4">
        <f>U80</f>
        <v>0</v>
      </c>
      <c r="Y80" s="4" t="str">
        <f>"Clearing of advance granted to employee"&amp;Q26</f>
        <v>Clearing of advance granted to employee - 7.2026 - SASCAU COSMIN-BOGDAN</v>
      </c>
      <c r="Z80" s="1" t="s">
        <v>1</v>
      </c>
    </row>
    <row r="82" spans="5:26" ht="15.75" customHeight="1" thickBot="1" x14ac:dyDescent="0.3">
      <c r="F82" s="8" t="s">
        <v>12</v>
      </c>
      <c r="M82" s="1" t="s">
        <v>1</v>
      </c>
      <c r="S82" s="8" t="s">
        <v>84</v>
      </c>
    </row>
    <row r="83" spans="5:26" ht="15.75" customHeight="1" thickBot="1" x14ac:dyDescent="0.3">
      <c r="G83" s="11">
        <v>641</v>
      </c>
      <c r="H83" s="4">
        <f>E11</f>
        <v>24127</v>
      </c>
      <c r="I83" s="4" t="str">
        <f>"Cheltuieli cu salariile"&amp;D26</f>
        <v>Cheltuieli cu salariile - 7.2026 - SASCAU COSMIN-BOGDAN</v>
      </c>
      <c r="J83" s="6">
        <v>421</v>
      </c>
      <c r="K83" s="4">
        <f>H83</f>
        <v>24127</v>
      </c>
      <c r="L83" s="4" t="str">
        <f>"Salarii brute datorate personalului"&amp;D26</f>
        <v>Salarii brute datorate personalului - 7.2026 - SASCAU COSMIN-BOGDAN</v>
      </c>
      <c r="M83" s="1" t="s">
        <v>1</v>
      </c>
      <c r="T83" s="11">
        <v>641</v>
      </c>
      <c r="U83" s="4">
        <f>R11</f>
        <v>24127</v>
      </c>
      <c r="V83" s="4" t="str">
        <f>"Wages and salaries expense"&amp;Q26</f>
        <v>Wages and salaries expense - 7.2026 - SASCAU COSMIN-BOGDAN</v>
      </c>
      <c r="W83" s="6">
        <v>421</v>
      </c>
      <c r="X83" s="4">
        <f>U83</f>
        <v>24127</v>
      </c>
      <c r="Y83" s="4" t="str">
        <f>"Gross wages payable to employee"&amp;Q26</f>
        <v>Gross wages payable to employee - 7.2026 - SASCAU COSMIN-BOGDAN</v>
      </c>
      <c r="Z83" s="1" t="s">
        <v>1</v>
      </c>
    </row>
    <row r="84" spans="5:26" ht="15.75" customHeight="1" x14ac:dyDescent="0.25"/>
    <row r="85" spans="5:26" ht="15.75" customHeight="1" thickBot="1" x14ac:dyDescent="0.3">
      <c r="F85" s="8" t="s">
        <v>11</v>
      </c>
      <c r="I85" s="4"/>
      <c r="L85" s="4"/>
      <c r="M85" s="1" t="s">
        <v>1</v>
      </c>
      <c r="S85" s="8" t="s">
        <v>85</v>
      </c>
    </row>
    <row r="86" spans="5:26" ht="15.75" customHeight="1" thickBot="1" x14ac:dyDescent="0.3">
      <c r="G86" s="6">
        <v>421</v>
      </c>
      <c r="H86" s="4">
        <f>SUM(K86:K88)</f>
        <v>10144</v>
      </c>
      <c r="I86" s="4" t="str">
        <f>"Retineri din salariu: CAS, CASS, impozit"&amp;D26</f>
        <v>Retineri din salariu: CAS, CASS, impozit - 7.2026 - SASCAU COSMIN-BOGDAN</v>
      </c>
      <c r="J86" s="6">
        <v>4315</v>
      </c>
      <c r="K86" s="4">
        <f>E17</f>
        <v>6032</v>
      </c>
      <c r="L86" s="4" t="str">
        <f>"CAS retinut, datorat bugetului"&amp;D26</f>
        <v>CAS retinut, datorat bugetului - 7.2026 - SASCAU COSMIN-BOGDAN</v>
      </c>
      <c r="M86" s="1" t="s">
        <v>1</v>
      </c>
      <c r="T86" s="6">
        <v>421</v>
      </c>
      <c r="U86" s="4">
        <f>SUM(X86:X88)</f>
        <v>10144</v>
      </c>
      <c r="V86" s="4" t="str">
        <f>"Payroll withholdings: CAS, CASS, income tax"&amp;Q26</f>
        <v>Payroll withholdings: CAS, CASS, income tax - 7.2026 - SASCAU COSMIN-BOGDAN</v>
      </c>
      <c r="W86" s="6">
        <v>4315</v>
      </c>
      <c r="X86" s="4">
        <f>R17</f>
        <v>6032</v>
      </c>
      <c r="Y86" s="4" t="str">
        <f>"CAS withheld, payable to the state budget"&amp;Q26</f>
        <v>CAS withheld, payable to the state budget - 7.2026 - SASCAU COSMIN-BOGDAN</v>
      </c>
      <c r="Z86" s="1" t="s">
        <v>1</v>
      </c>
    </row>
    <row r="87" spans="5:26" ht="15.75" customHeight="1" thickBot="1" x14ac:dyDescent="0.3">
      <c r="I87" s="4"/>
      <c r="J87" s="6">
        <v>4316</v>
      </c>
      <c r="K87" s="4">
        <f>E18</f>
        <v>2482</v>
      </c>
      <c r="L87" s="4" t="str">
        <f>"CASS retinut, datorat bugetului"&amp;D26</f>
        <v>CASS retinut, datorat bugetului - 7.2026 - SASCAU COSMIN-BOGDAN</v>
      </c>
      <c r="M87" s="1" t="s">
        <v>1</v>
      </c>
      <c r="W87" s="6">
        <v>4316</v>
      </c>
      <c r="X87" s="4">
        <f>R18</f>
        <v>2482</v>
      </c>
      <c r="Y87" s="4" t="str">
        <f>"CASS withheld, payable to the state budget"&amp;Q26</f>
        <v>CASS withheld, payable to the state budget - 7.2026 - SASCAU COSMIN-BOGDAN</v>
      </c>
      <c r="Z87" s="1" t="s">
        <v>1</v>
      </c>
    </row>
    <row r="88" spans="5:26" ht="15.75" customHeight="1" thickBot="1" x14ac:dyDescent="0.3">
      <c r="I88" s="4"/>
      <c r="J88" s="6">
        <v>444</v>
      </c>
      <c r="K88" s="4">
        <f>E20</f>
        <v>1630</v>
      </c>
      <c r="L88" s="4" t="str">
        <f>"Impozit pe venit retinut, datorat bugetului"&amp;D26</f>
        <v>Impozit pe venit retinut, datorat bugetului - 7.2026 - SASCAU COSMIN-BOGDAN</v>
      </c>
      <c r="M88" s="1" t="s">
        <v>1</v>
      </c>
      <c r="W88" s="6">
        <v>444</v>
      </c>
      <c r="X88" s="4">
        <f>R20</f>
        <v>1630</v>
      </c>
      <c r="Y88" s="4" t="str">
        <f>"Income tax withheld, payable to the state budget"&amp;Q26</f>
        <v>Income tax withheld, payable to the state budget - 7.2026 - SASCAU COSMIN-BOGDAN</v>
      </c>
      <c r="Z88" s="1" t="s">
        <v>1</v>
      </c>
    </row>
    <row r="89" spans="5:26" ht="15" customHeight="1" x14ac:dyDescent="0.25">
      <c r="I89" s="4"/>
      <c r="L89" s="4"/>
      <c r="M89" s="1" t="s">
        <v>1</v>
      </c>
    </row>
    <row r="90" spans="5:26" ht="15.75" customHeight="1" thickBot="1" x14ac:dyDescent="0.3">
      <c r="F90" s="8" t="s">
        <v>4</v>
      </c>
      <c r="I90" s="4"/>
      <c r="L90" s="4"/>
      <c r="M90" s="1" t="s">
        <v>1</v>
      </c>
      <c r="S90" s="8" t="s">
        <v>64</v>
      </c>
    </row>
    <row r="91" spans="5:26" ht="15.75" customHeight="1" thickBot="1" x14ac:dyDescent="0.3">
      <c r="G91" s="11">
        <v>646</v>
      </c>
      <c r="H91" s="4">
        <f>E24</f>
        <v>543</v>
      </c>
      <c r="I91" s="4" t="str">
        <f>"Cheltuieli cu CAM"&amp;D26</f>
        <v>Cheltuieli cu CAM - 7.2026 - SASCAU COSMIN-BOGDAN</v>
      </c>
      <c r="J91" s="6">
        <v>436</v>
      </c>
      <c r="K91" s="4">
        <f>E24</f>
        <v>543</v>
      </c>
      <c r="L91" s="4" t="str">
        <f>"CAM datorata bugetului"&amp;D26</f>
        <v>CAM datorata bugetului - 7.2026 - SASCAU COSMIN-BOGDAN</v>
      </c>
      <c r="M91" s="1" t="s">
        <v>1</v>
      </c>
      <c r="T91" s="11">
        <v>646</v>
      </c>
      <c r="U91" s="4">
        <f>R24</f>
        <v>543</v>
      </c>
      <c r="V91" s="4" t="str">
        <f>"CAM expense"&amp;Q26</f>
        <v>CAM expense - 7.2026 - SASCAU COSMIN-BOGDAN</v>
      </c>
      <c r="W91" s="6">
        <v>436</v>
      </c>
      <c r="X91" s="4">
        <f>R24</f>
        <v>543</v>
      </c>
      <c r="Y91" s="4" t="str">
        <f>"CAM payable to the state budget"&amp;Q26</f>
        <v>CAM payable to the state budget - 7.2026 - SASCAU COSMIN-BOGDAN</v>
      </c>
      <c r="Z91" s="1" t="s">
        <v>1</v>
      </c>
    </row>
    <row r="93" spans="5:26" ht="15.75" customHeight="1" thickBot="1" x14ac:dyDescent="0.3">
      <c r="F93" s="8" t="s">
        <v>24</v>
      </c>
      <c r="S93" s="8" t="s">
        <v>86</v>
      </c>
    </row>
    <row r="94" spans="5:26" ht="15.75" customHeight="1" thickBot="1" x14ac:dyDescent="0.3">
      <c r="G94" s="11">
        <v>642</v>
      </c>
      <c r="H94" s="4">
        <f>E12</f>
        <v>690</v>
      </c>
      <c r="I94" s="4" t="str">
        <f>"Cheltuieli cu tichetele de masa"&amp;D26</f>
        <v>Cheltuieli cu tichetele de masa - 7.2026 - SASCAU COSMIN-BOGDAN</v>
      </c>
      <c r="J94" s="5">
        <v>5328</v>
      </c>
      <c r="K94" s="4">
        <f>H94</f>
        <v>690</v>
      </c>
      <c r="L94" s="4" t="str">
        <f>"Descarcare tichete de masa"&amp;D26</f>
        <v>Descarcare tichete de masa - 7.2026 - SASCAU COSMIN-BOGDAN</v>
      </c>
      <c r="T94" s="11">
        <v>642</v>
      </c>
      <c r="U94" s="4">
        <f>R12</f>
        <v>690</v>
      </c>
      <c r="V94" s="4" t="str">
        <f>"Meal voucher expense"&amp;Q26</f>
        <v>Meal voucher expense - 7.2026 - SASCAU COSMIN-BOGDAN</v>
      </c>
      <c r="W94" s="5">
        <v>5328</v>
      </c>
      <c r="X94" s="4">
        <f>U94</f>
        <v>690</v>
      </c>
      <c r="Y94" s="4" t="str">
        <f>"Meal vouchers released from stock"&amp;Q26</f>
        <v>Meal vouchers released from stock - 7.2026 - SASCAU COSMIN-BOGDAN</v>
      </c>
      <c r="Z94" s="1" t="s">
        <v>1</v>
      </c>
    </row>
    <row r="95" spans="5:26" ht="15.75" customHeight="1" x14ac:dyDescent="0.25"/>
    <row r="96" spans="5:26" ht="15.75" customHeight="1" x14ac:dyDescent="0.25">
      <c r="E96" s="8" t="s">
        <v>10</v>
      </c>
      <c r="R96" s="8" t="s">
        <v>79</v>
      </c>
    </row>
    <row r="97" spans="6:23" ht="15.75" customHeight="1" x14ac:dyDescent="0.25"/>
    <row r="98" spans="6:23" ht="15.75" customHeight="1" x14ac:dyDescent="0.25">
      <c r="H98" s="7" t="s">
        <v>9</v>
      </c>
      <c r="I98" s="7" t="s">
        <v>8</v>
      </c>
      <c r="U98" s="7" t="s">
        <v>9</v>
      </c>
      <c r="V98" s="7" t="s">
        <v>8</v>
      </c>
    </row>
    <row r="99" spans="6:23" ht="15.75" customHeight="1" thickBot="1" x14ac:dyDescent="0.3"/>
    <row r="100" spans="6:23" ht="15.75" customHeight="1" thickBot="1" x14ac:dyDescent="0.3">
      <c r="F100" s="6">
        <v>421</v>
      </c>
      <c r="G100" s="1" t="s">
        <v>7</v>
      </c>
      <c r="H100" s="4">
        <f>H86+H80</f>
        <v>10144</v>
      </c>
      <c r="I100" s="4">
        <f>K83</f>
        <v>24127</v>
      </c>
      <c r="S100" s="6">
        <v>421</v>
      </c>
      <c r="T100" s="1" t="s">
        <v>87</v>
      </c>
      <c r="U100" s="4">
        <f>U86+U80</f>
        <v>10144</v>
      </c>
      <c r="V100" s="4">
        <f>X83</f>
        <v>24127</v>
      </c>
    </row>
    <row r="101" spans="6:23" ht="15.75" customHeight="1" thickBot="1" x14ac:dyDescent="0.3">
      <c r="F101" s="6">
        <v>425</v>
      </c>
      <c r="G101" s="1" t="s">
        <v>23</v>
      </c>
      <c r="H101" s="4" t="s">
        <v>1</v>
      </c>
      <c r="I101" s="4">
        <f>K80</f>
        <v>0</v>
      </c>
      <c r="S101" s="6">
        <v>425</v>
      </c>
      <c r="T101" s="1" t="s">
        <v>80</v>
      </c>
      <c r="U101" s="1" t="s">
        <v>1</v>
      </c>
      <c r="V101" s="4">
        <f>X80</f>
        <v>0</v>
      </c>
    </row>
    <row r="102" spans="6:23" ht="15.75" customHeight="1" thickBot="1" x14ac:dyDescent="0.3">
      <c r="F102" s="6">
        <v>4315</v>
      </c>
      <c r="G102" s="1" t="s">
        <v>6</v>
      </c>
      <c r="H102" s="4"/>
      <c r="I102" s="4">
        <f>K86</f>
        <v>6032</v>
      </c>
      <c r="S102" s="6">
        <v>4315</v>
      </c>
      <c r="T102" s="1" t="s">
        <v>58</v>
      </c>
      <c r="U102" s="1" t="s">
        <v>1</v>
      </c>
      <c r="V102" s="4">
        <f>X86</f>
        <v>6032</v>
      </c>
    </row>
    <row r="103" spans="6:23" ht="15.75" customHeight="1" thickBot="1" x14ac:dyDescent="0.3">
      <c r="F103" s="6">
        <v>4316</v>
      </c>
      <c r="G103" s="1" t="s">
        <v>5</v>
      </c>
      <c r="H103" s="4"/>
      <c r="I103" s="4">
        <f>K87</f>
        <v>2482</v>
      </c>
      <c r="S103" s="6">
        <v>4316</v>
      </c>
      <c r="T103" s="1" t="s">
        <v>59</v>
      </c>
      <c r="U103" s="1" t="s">
        <v>1</v>
      </c>
      <c r="V103" s="4">
        <f>X87</f>
        <v>2482</v>
      </c>
    </row>
    <row r="104" spans="6:23" ht="15.75" customHeight="1" thickBot="1" x14ac:dyDescent="0.3">
      <c r="F104" s="6">
        <v>436</v>
      </c>
      <c r="G104" s="1" t="s">
        <v>4</v>
      </c>
      <c r="H104" s="4"/>
      <c r="I104" s="4">
        <f>K91</f>
        <v>543</v>
      </c>
      <c r="K104" s="4"/>
      <c r="L104" s="4"/>
      <c r="S104" s="6">
        <v>436</v>
      </c>
      <c r="T104" s="1" t="s">
        <v>64</v>
      </c>
      <c r="U104" s="1" t="s">
        <v>1</v>
      </c>
      <c r="V104" s="4">
        <f>X91</f>
        <v>543</v>
      </c>
    </row>
    <row r="105" spans="6:23" ht="15.75" customHeight="1" thickBot="1" x14ac:dyDescent="0.3">
      <c r="F105" s="6">
        <v>444</v>
      </c>
      <c r="G105" s="1" t="s">
        <v>3</v>
      </c>
      <c r="H105" s="4"/>
      <c r="I105" s="4">
        <f>K88</f>
        <v>1630</v>
      </c>
      <c r="S105" s="6">
        <v>444</v>
      </c>
      <c r="T105" s="1" t="s">
        <v>61</v>
      </c>
      <c r="V105" s="4">
        <f>X88</f>
        <v>1630</v>
      </c>
    </row>
    <row r="106" spans="6:23" ht="15.75" customHeight="1" thickBot="1" x14ac:dyDescent="0.3">
      <c r="F106" s="5">
        <v>5328</v>
      </c>
      <c r="G106" s="1" t="s">
        <v>22</v>
      </c>
      <c r="H106" s="4" t="s">
        <v>1</v>
      </c>
      <c r="I106" s="4">
        <f>K94</f>
        <v>690</v>
      </c>
      <c r="S106" s="5">
        <v>5328</v>
      </c>
      <c r="T106" s="1" t="s">
        <v>88</v>
      </c>
      <c r="U106" s="1" t="s">
        <v>1</v>
      </c>
      <c r="V106" s="4">
        <f>X94</f>
        <v>690</v>
      </c>
    </row>
    <row r="107" spans="6:23" ht="15.75" customHeight="1" thickBot="1" x14ac:dyDescent="0.3">
      <c r="F107" s="11">
        <v>641</v>
      </c>
      <c r="G107" s="1" t="s">
        <v>21</v>
      </c>
      <c r="H107" s="4">
        <f>H83</f>
        <v>24127</v>
      </c>
      <c r="S107" s="11">
        <v>641</v>
      </c>
      <c r="T107" s="1" t="s">
        <v>89</v>
      </c>
      <c r="U107" s="4">
        <f>U83</f>
        <v>24127</v>
      </c>
    </row>
    <row r="108" spans="6:23" ht="15.75" customHeight="1" thickBot="1" x14ac:dyDescent="0.3">
      <c r="F108" s="11">
        <v>642</v>
      </c>
      <c r="G108" s="1" t="s">
        <v>20</v>
      </c>
      <c r="H108" s="4">
        <f>H94</f>
        <v>690</v>
      </c>
      <c r="I108" s="4"/>
      <c r="S108" s="11">
        <v>642</v>
      </c>
      <c r="T108" s="1" t="s">
        <v>90</v>
      </c>
      <c r="U108" s="4">
        <f>U94</f>
        <v>690</v>
      </c>
    </row>
    <row r="109" spans="6:23" ht="15.75" customHeight="1" thickBot="1" x14ac:dyDescent="0.3">
      <c r="F109" s="11">
        <v>646</v>
      </c>
      <c r="G109" s="1" t="s">
        <v>19</v>
      </c>
      <c r="H109" s="4">
        <f>H91</f>
        <v>543</v>
      </c>
      <c r="S109" s="11">
        <v>646</v>
      </c>
      <c r="T109" s="1" t="s">
        <v>91</v>
      </c>
      <c r="U109" s="4">
        <f>U91</f>
        <v>543</v>
      </c>
    </row>
    <row r="110" spans="6:23" ht="15" customHeight="1" x14ac:dyDescent="0.25">
      <c r="H110" s="4"/>
    </row>
    <row r="111" spans="6:23" ht="15" customHeight="1" x14ac:dyDescent="0.25">
      <c r="G111" s="3" t="s">
        <v>0</v>
      </c>
      <c r="H111" s="2">
        <f>SUM(H100:H109)</f>
        <v>35504</v>
      </c>
      <c r="I111" s="2">
        <f>SUM(I100:I109)</f>
        <v>35504</v>
      </c>
      <c r="J111" s="2">
        <f>H111-I111</f>
        <v>0</v>
      </c>
      <c r="T111" s="3" t="s">
        <v>0</v>
      </c>
      <c r="U111" s="2">
        <f>SUM(U100:U109)</f>
        <v>35504</v>
      </c>
      <c r="V111" s="2">
        <f>SUM(V100:V109)</f>
        <v>35504</v>
      </c>
      <c r="W111" s="2">
        <f>U111-V111</f>
        <v>0</v>
      </c>
    </row>
    <row r="113" spans="3:26" ht="15" customHeight="1" x14ac:dyDescent="0.25">
      <c r="C113" s="8" t="s">
        <v>18</v>
      </c>
      <c r="P113" s="8" t="s">
        <v>75</v>
      </c>
    </row>
    <row r="114" spans="3:26" ht="15.75" customHeight="1" x14ac:dyDescent="0.25"/>
    <row r="115" spans="3:26" ht="15" customHeight="1" x14ac:dyDescent="0.25">
      <c r="C115" s="8"/>
      <c r="D115" s="3" t="str">
        <f>"Aferente "&amp;D6&amp;", de inregistrat in "&amp;IF(INT(D6)=12,1,INT(D6)+1)&amp;"."&amp;IF(INT(D6)=12,RIGHT(D6,4)+1,RIGHT(D6,4))&amp;"."</f>
        <v>Aferente 7.2026, de inregistrat in 8.2026.</v>
      </c>
      <c r="Q115" s="3" t="str">
        <f>"Related to "&amp;Q6&amp;", to be recorded in "&amp;IF(INT(Q6)=12,1,INT(Q6)+1)&amp;"."&amp;IF(INT(Q6)=12,RIGHT(Q6,4)+1,RIGHT(Q6,4))&amp;"."</f>
        <v>Related to 7.2026, to be recorded in 8.2026.</v>
      </c>
    </row>
    <row r="116" spans="3:26" ht="15.75" customHeight="1" x14ac:dyDescent="0.25"/>
    <row r="117" spans="3:26" ht="15.75" customHeight="1" x14ac:dyDescent="0.25">
      <c r="D117" s="3" t="s">
        <v>17</v>
      </c>
      <c r="Q117" s="3" t="s">
        <v>76</v>
      </c>
    </row>
    <row r="119" spans="3:26" ht="15.75" customHeight="1" x14ac:dyDescent="0.25">
      <c r="E119" s="8" t="s">
        <v>16</v>
      </c>
      <c r="R119" s="8" t="s">
        <v>77</v>
      </c>
    </row>
    <row r="120" spans="3:26" ht="15.75" customHeight="1" thickBot="1" x14ac:dyDescent="0.3">
      <c r="G120" s="8"/>
      <c r="H120" s="8"/>
      <c r="I120" s="8"/>
      <c r="J120" s="8"/>
      <c r="K120" s="8"/>
      <c r="L120" s="8"/>
    </row>
    <row r="121" spans="3:26" ht="15.75" customHeight="1" thickBot="1" x14ac:dyDescent="0.3">
      <c r="G121" s="17" t="s">
        <v>9</v>
      </c>
      <c r="H121" s="17"/>
      <c r="I121" s="17"/>
      <c r="J121" s="17" t="s">
        <v>8</v>
      </c>
      <c r="K121" s="17"/>
      <c r="L121" s="17"/>
      <c r="T121" s="17" t="s">
        <v>9</v>
      </c>
      <c r="U121" s="17"/>
      <c r="V121" s="17"/>
      <c r="W121" s="17" t="s">
        <v>8</v>
      </c>
      <c r="X121" s="17"/>
      <c r="Y121" s="17"/>
    </row>
    <row r="122" spans="3:26" ht="15.75" customHeight="1" x14ac:dyDescent="0.25">
      <c r="G122" s="8"/>
      <c r="H122" s="8"/>
      <c r="I122" s="8"/>
      <c r="J122" s="8"/>
      <c r="K122" s="8"/>
      <c r="L122" s="8"/>
    </row>
    <row r="123" spans="3:26" ht="15" customHeight="1" x14ac:dyDescent="0.25">
      <c r="G123" s="10" t="s">
        <v>15</v>
      </c>
      <c r="H123" s="10" t="s">
        <v>14</v>
      </c>
      <c r="I123" s="10" t="s">
        <v>13</v>
      </c>
      <c r="J123" s="10" t="s">
        <v>15</v>
      </c>
      <c r="K123" s="10" t="s">
        <v>14</v>
      </c>
      <c r="L123" s="10" t="s">
        <v>13</v>
      </c>
      <c r="T123" s="10" t="s">
        <v>69</v>
      </c>
      <c r="U123" s="10" t="s">
        <v>70</v>
      </c>
      <c r="V123" s="10" t="s">
        <v>71</v>
      </c>
      <c r="W123" s="10" t="s">
        <v>69</v>
      </c>
      <c r="X123" s="10" t="s">
        <v>70</v>
      </c>
      <c r="Y123" s="10" t="s">
        <v>71</v>
      </c>
    </row>
    <row r="125" spans="3:26" ht="15.75" customHeight="1" thickBot="1" x14ac:dyDescent="0.3">
      <c r="F125" s="8" t="s">
        <v>12</v>
      </c>
      <c r="M125" s="1" t="s">
        <v>1</v>
      </c>
      <c r="S125" s="8" t="s">
        <v>84</v>
      </c>
    </row>
    <row r="126" spans="3:26" ht="15.75" customHeight="1" thickBot="1" x14ac:dyDescent="0.3">
      <c r="G126" s="6">
        <v>421</v>
      </c>
      <c r="H126" s="4">
        <f>E22</f>
        <v>13983</v>
      </c>
      <c r="I126" s="4" t="str">
        <f>"Stingere datorie salariala fata de personal"&amp;D26</f>
        <v>Stingere datorie salariala fata de personal - 7.2026 - SASCAU COSMIN-BOGDAN</v>
      </c>
      <c r="J126" s="9">
        <v>5121</v>
      </c>
      <c r="K126" s="4">
        <f>E22</f>
        <v>13983</v>
      </c>
      <c r="L126" s="4" t="str">
        <f>"Plata salarii nete din banca"&amp;D26</f>
        <v>Plata salarii nete din banca - 7.2026 - SASCAU COSMIN-BOGDAN</v>
      </c>
      <c r="M126" s="1" t="s">
        <v>1</v>
      </c>
      <c r="T126" s="6">
        <v>421</v>
      </c>
      <c r="U126" s="4">
        <f>R22</f>
        <v>13983</v>
      </c>
      <c r="V126" s="4" t="str">
        <f>"Settlement of payroll liability to employee"&amp;Q26</f>
        <v>Settlement of payroll liability to employee - 7.2026 - SASCAU COSMIN-BOGDAN</v>
      </c>
      <c r="W126" s="9">
        <v>5121</v>
      </c>
      <c r="X126" s="4">
        <f>R22</f>
        <v>13983</v>
      </c>
      <c r="Y126" s="4" t="str">
        <f>"Payment of net wages from bank"&amp;Q26</f>
        <v>Payment of net wages from bank - 7.2026 - SASCAU COSMIN-BOGDAN</v>
      </c>
      <c r="Z126" s="1" t="s">
        <v>1</v>
      </c>
    </row>
    <row r="127" spans="3:26" ht="15" customHeight="1" x14ac:dyDescent="0.25">
      <c r="H127" s="4"/>
      <c r="I127" s="4"/>
      <c r="K127" s="4"/>
      <c r="L127" s="4"/>
      <c r="M127" s="1" t="s">
        <v>1</v>
      </c>
    </row>
    <row r="128" spans="3:26" ht="15" customHeight="1" thickBot="1" x14ac:dyDescent="0.3">
      <c r="F128" s="8" t="s">
        <v>11</v>
      </c>
      <c r="M128" s="1" t="s">
        <v>1</v>
      </c>
      <c r="S128" s="8" t="s">
        <v>85</v>
      </c>
    </row>
    <row r="129" spans="5:26" ht="15" customHeight="1" thickBot="1" x14ac:dyDescent="0.3">
      <c r="G129" s="6">
        <v>4315</v>
      </c>
      <c r="H129" s="4">
        <f>E17</f>
        <v>6032</v>
      </c>
      <c r="I129" s="4" t="str">
        <f>"Stingere datorie CAS catre buget"&amp;D26</f>
        <v>Stingere datorie CAS catre buget - 7.2026 - SASCAU COSMIN-BOGDAN</v>
      </c>
      <c r="J129" s="9">
        <v>5121</v>
      </c>
      <c r="K129" s="4">
        <f>SUM(H129:H131)</f>
        <v>10144</v>
      </c>
      <c r="L129" s="4" t="str">
        <f>"Plata CAS, CASS, impozit din banca"&amp;D26</f>
        <v>Plata CAS, CASS, impozit din banca - 7.2026 - SASCAU COSMIN-BOGDAN</v>
      </c>
      <c r="M129" s="1" t="s">
        <v>1</v>
      </c>
      <c r="T129" s="6">
        <v>4315</v>
      </c>
      <c r="U129" s="4">
        <f>R17</f>
        <v>6032</v>
      </c>
      <c r="V129" s="4" t="str">
        <f>"Settlement of CAS liability to the state budget"&amp;Q26</f>
        <v>Settlement of CAS liability to the state budget - 7.2026 - SASCAU COSMIN-BOGDAN</v>
      </c>
      <c r="W129" s="9">
        <v>5121</v>
      </c>
      <c r="X129" s="4">
        <f>SUM(U129:U131)</f>
        <v>10144</v>
      </c>
      <c r="Y129" s="4" t="str">
        <f>"Payment of CAS, CASS, income tax from bank"&amp;Q26</f>
        <v>Payment of CAS, CASS, income tax from bank - 7.2026 - SASCAU COSMIN-BOGDAN</v>
      </c>
      <c r="Z129" s="1" t="s">
        <v>1</v>
      </c>
    </row>
    <row r="130" spans="5:26" ht="15" customHeight="1" thickBot="1" x14ac:dyDescent="0.3">
      <c r="G130" s="6">
        <v>4316</v>
      </c>
      <c r="H130" s="4">
        <f>E18</f>
        <v>2482</v>
      </c>
      <c r="I130" s="4" t="str">
        <f>"Stingere datorie CASS catre buget"&amp;D26</f>
        <v>Stingere datorie CASS catre buget - 7.2026 - SASCAU COSMIN-BOGDAN</v>
      </c>
      <c r="J130" s="1" t="s">
        <v>1</v>
      </c>
      <c r="M130" s="1" t="s">
        <v>1</v>
      </c>
      <c r="T130" s="6">
        <v>4316</v>
      </c>
      <c r="U130" s="4">
        <f>R18</f>
        <v>2482</v>
      </c>
      <c r="V130" s="4" t="str">
        <f>"Settlement of CASS liability to the state budget"&amp;Q26</f>
        <v>Settlement of CASS liability to the state budget - 7.2026 - SASCAU COSMIN-BOGDAN</v>
      </c>
      <c r="W130" s="1" t="s">
        <v>1</v>
      </c>
    </row>
    <row r="131" spans="5:26" ht="15.75" customHeight="1" thickBot="1" x14ac:dyDescent="0.3">
      <c r="G131" s="6">
        <v>444</v>
      </c>
      <c r="H131" s="4">
        <f>E20</f>
        <v>1630</v>
      </c>
      <c r="I131" s="4" t="str">
        <f>"Stingere datorie impozit catre buget"&amp;D26</f>
        <v>Stingere datorie impozit catre buget - 7.2026 - SASCAU COSMIN-BOGDAN</v>
      </c>
      <c r="J131" s="1" t="s">
        <v>1</v>
      </c>
      <c r="M131" s="1" t="s">
        <v>1</v>
      </c>
      <c r="T131" s="6">
        <v>444</v>
      </c>
      <c r="U131" s="4">
        <f>R20</f>
        <v>1630</v>
      </c>
      <c r="V131" s="4" t="str">
        <f>"Settlement of income tax liability to the state budget"&amp;Q26</f>
        <v>Settlement of income tax liability to the state budget - 7.2026 - SASCAU COSMIN-BOGDAN</v>
      </c>
      <c r="W131" s="1" t="s">
        <v>1</v>
      </c>
    </row>
    <row r="132" spans="5:26" ht="15.75" customHeight="1" x14ac:dyDescent="0.25">
      <c r="F132" s="8"/>
    </row>
    <row r="133" spans="5:26" ht="15.75" customHeight="1" x14ac:dyDescent="0.25">
      <c r="M133" s="1" t="s">
        <v>1</v>
      </c>
    </row>
    <row r="134" spans="5:26" ht="15.75" customHeight="1" thickBot="1" x14ac:dyDescent="0.3">
      <c r="F134" s="8" t="s">
        <v>4</v>
      </c>
      <c r="M134" s="1" t="s">
        <v>1</v>
      </c>
      <c r="S134" s="8" t="s">
        <v>64</v>
      </c>
    </row>
    <row r="135" spans="5:26" ht="15.75" customHeight="1" thickBot="1" x14ac:dyDescent="0.3">
      <c r="G135" s="6">
        <v>436</v>
      </c>
      <c r="H135" s="4">
        <f>E24</f>
        <v>543</v>
      </c>
      <c r="I135" s="4" t="str">
        <f>"Stingere datorie CAM catre buget"&amp;D26</f>
        <v>Stingere datorie CAM catre buget - 7.2026 - SASCAU COSMIN-BOGDAN</v>
      </c>
      <c r="J135" s="9">
        <v>5121</v>
      </c>
      <c r="K135" s="4">
        <f>E24</f>
        <v>543</v>
      </c>
      <c r="L135" s="4" t="str">
        <f>"Plata CAM din banca"&amp;D26</f>
        <v>Plata CAM din banca - 7.2026 - SASCAU COSMIN-BOGDAN</v>
      </c>
      <c r="M135" s="1" t="s">
        <v>1</v>
      </c>
      <c r="T135" s="6">
        <v>436</v>
      </c>
      <c r="U135" s="4">
        <f>R24</f>
        <v>543</v>
      </c>
      <c r="V135" s="4" t="str">
        <f>"Settlement of CAM liability to the state budget"&amp;Q26</f>
        <v>Settlement of CAM liability to the state budget - 7.2026 - SASCAU COSMIN-BOGDAN</v>
      </c>
      <c r="W135" s="9">
        <v>5121</v>
      </c>
      <c r="X135" s="4">
        <f>R24</f>
        <v>543</v>
      </c>
      <c r="Y135" s="4" t="str">
        <f>"Payment of CAM from bank"&amp;Q26</f>
        <v>Payment of CAM from bank - 7.2026 - SASCAU COSMIN-BOGDAN</v>
      </c>
      <c r="Z135" s="1" t="s">
        <v>1</v>
      </c>
    </row>
    <row r="136" spans="5:26" ht="15.75" customHeight="1" x14ac:dyDescent="0.25"/>
    <row r="137" spans="5:26" ht="15.75" customHeight="1" x14ac:dyDescent="0.25">
      <c r="E137" s="8" t="s">
        <v>10</v>
      </c>
      <c r="R137" s="8" t="s">
        <v>79</v>
      </c>
    </row>
    <row r="139" spans="5:26" ht="15" customHeight="1" x14ac:dyDescent="0.25">
      <c r="H139" s="7" t="s">
        <v>9</v>
      </c>
      <c r="I139" s="7" t="s">
        <v>8</v>
      </c>
      <c r="U139" s="7" t="s">
        <v>9</v>
      </c>
      <c r="V139" s="7" t="s">
        <v>8</v>
      </c>
    </row>
    <row r="141" spans="5:26" ht="15" customHeight="1" thickBot="1" x14ac:dyDescent="0.3">
      <c r="F141" s="6">
        <v>421</v>
      </c>
      <c r="G141" s="1" t="s">
        <v>7</v>
      </c>
      <c r="H141" s="4">
        <f>SUM(H126:H126)</f>
        <v>13983</v>
      </c>
      <c r="I141" s="4"/>
      <c r="S141" s="6">
        <v>421</v>
      </c>
      <c r="T141" s="1" t="s">
        <v>87</v>
      </c>
      <c r="U141" s="4">
        <f>SUM(U126:U126)</f>
        <v>13983</v>
      </c>
    </row>
    <row r="142" spans="5:26" ht="15" customHeight="1" thickBot="1" x14ac:dyDescent="0.3">
      <c r="F142" s="6">
        <v>4315</v>
      </c>
      <c r="G142" s="1" t="s">
        <v>6</v>
      </c>
      <c r="H142" s="4">
        <f>H129</f>
        <v>6032</v>
      </c>
      <c r="I142" s="4"/>
      <c r="S142" s="6">
        <v>4315</v>
      </c>
      <c r="T142" s="1" t="s">
        <v>58</v>
      </c>
      <c r="U142" s="4">
        <f>U129</f>
        <v>6032</v>
      </c>
    </row>
    <row r="143" spans="5:26" ht="15.75" customHeight="1" thickBot="1" x14ac:dyDescent="0.3">
      <c r="F143" s="6">
        <v>4316</v>
      </c>
      <c r="G143" s="1" t="s">
        <v>5</v>
      </c>
      <c r="H143" s="4">
        <f>H130</f>
        <v>2482</v>
      </c>
      <c r="I143" s="4"/>
      <c r="S143" s="6">
        <v>4316</v>
      </c>
      <c r="T143" s="1" t="s">
        <v>59</v>
      </c>
      <c r="U143" s="4">
        <f>U130</f>
        <v>2482</v>
      </c>
    </row>
    <row r="144" spans="5:26" ht="15.75" customHeight="1" thickBot="1" x14ac:dyDescent="0.3">
      <c r="F144" s="6">
        <v>436</v>
      </c>
      <c r="G144" s="1" t="s">
        <v>4</v>
      </c>
      <c r="H144" s="4">
        <f>H135</f>
        <v>543</v>
      </c>
      <c r="I144" s="4"/>
      <c r="K144" s="4"/>
      <c r="L144" s="4"/>
      <c r="S144" s="6">
        <v>436</v>
      </c>
      <c r="T144" s="1" t="s">
        <v>64</v>
      </c>
      <c r="U144" s="4">
        <f>U135</f>
        <v>543</v>
      </c>
    </row>
    <row r="145" spans="6:23" ht="15.75" customHeight="1" thickBot="1" x14ac:dyDescent="0.3">
      <c r="F145" s="6">
        <v>444</v>
      </c>
      <c r="G145" s="1" t="s">
        <v>3</v>
      </c>
      <c r="H145" s="4">
        <f>H131</f>
        <v>1630</v>
      </c>
      <c r="I145" s="4"/>
      <c r="S145" s="6">
        <v>444</v>
      </c>
      <c r="T145" s="1" t="s">
        <v>61</v>
      </c>
      <c r="U145" s="4">
        <f>U131</f>
        <v>1630</v>
      </c>
    </row>
    <row r="146" spans="6:23" ht="15.75" customHeight="1" thickBot="1" x14ac:dyDescent="0.3">
      <c r="F146" s="5">
        <v>5121</v>
      </c>
      <c r="G146" s="1" t="s">
        <v>2</v>
      </c>
      <c r="H146" s="1" t="s">
        <v>1</v>
      </c>
      <c r="I146" s="4">
        <f>SUM(K126,K129,K135)</f>
        <v>24670</v>
      </c>
      <c r="S146" s="5">
        <v>5121</v>
      </c>
      <c r="T146" s="1" t="s">
        <v>81</v>
      </c>
      <c r="U146" s="1" t="s">
        <v>1</v>
      </c>
      <c r="V146" s="4">
        <f>SUM(X126,X129,X135)</f>
        <v>24670</v>
      </c>
    </row>
    <row r="148" spans="6:23" ht="15" customHeight="1" x14ac:dyDescent="0.25">
      <c r="G148" s="3" t="s">
        <v>0</v>
      </c>
      <c r="H148" s="2">
        <f>SUM(H141:H146)</f>
        <v>24670</v>
      </c>
      <c r="I148" s="2">
        <f>SUM(I141:I146)</f>
        <v>24670</v>
      </c>
      <c r="J148" s="2">
        <f>H148-I148</f>
        <v>0</v>
      </c>
      <c r="T148" s="3" t="s">
        <v>0</v>
      </c>
      <c r="U148" s="2">
        <f>SUM(U141:U146)</f>
        <v>24670</v>
      </c>
      <c r="V148" s="2">
        <f>SUM(V141:V146)</f>
        <v>24670</v>
      </c>
      <c r="W148" s="2">
        <f>U148-V148</f>
        <v>0</v>
      </c>
    </row>
  </sheetData>
  <mergeCells count="16">
    <mergeCell ref="G75:I75"/>
    <mergeCell ref="J75:L75"/>
    <mergeCell ref="T75:V75"/>
    <mergeCell ref="W75:Y75"/>
    <mergeCell ref="G121:I121"/>
    <mergeCell ref="J121:L121"/>
    <mergeCell ref="T121:V121"/>
    <mergeCell ref="W121:Y121"/>
    <mergeCell ref="G35:I35"/>
    <mergeCell ref="J35:L35"/>
    <mergeCell ref="T35:V35"/>
    <mergeCell ref="W35:Y35"/>
    <mergeCell ref="G50:I50"/>
    <mergeCell ref="J50:L50"/>
    <mergeCell ref="T50:V50"/>
    <mergeCell ref="W50:Y50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CHIRIACESCU DIANA-ELENA</vt:lpstr>
      <vt:lpstr>NEAGU VLAD-FLORIAN</vt:lpstr>
      <vt:lpstr>POPESCU IOANA-GABRIELA</vt:lpstr>
      <vt:lpstr>SASCAU COSMIN-BOGDAN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Mircea Muraru</dc:creator>
  <cp:lastModifiedBy>Mircea Muraru</cp:lastModifiedBy>
  <dcterms:created xsi:type="dcterms:W3CDTF">2026-08-05T12:20:44Z</dcterms:created>
  <dcterms:modified xsi:type="dcterms:W3CDTF">2026-08-05T13:45:08Z</dcterms:modified>
</cp:coreProperties>
</file>