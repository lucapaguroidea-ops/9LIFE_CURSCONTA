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uni" sheetId="1" state="visible" r:id="rId3"/>
    <sheet name="Parametri" sheetId="2" state="visible" r:id="rId4"/>
    <sheet name="CatalogModule" sheetId="3" state="visible" r:id="rId5"/>
    <sheet name="Declarații_INCHIDERE_TVA" sheetId="4" state="visible" r:id="rId6"/>
    <sheet name="Reguli_INCHIDERE_TVA" sheetId="5" state="visible" r:id="rId7"/>
    <sheet name="Jurnale_INCHIDERE_TVA" sheetId="6" state="visible" r:id="rId8"/>
    <sheet name="NotaExport_INCHIDERE_TVA" sheetId="7" state="visible" r:id="rId9"/>
    <sheet name="Declarații_APROV_TRANZIT" sheetId="8" state="visible" r:id="rId10"/>
    <sheet name="Reguli_APROV_TRANZIT" sheetId="9" state="visible" r:id="rId11"/>
    <sheet name="Jurnale_APROV_TRANZIT" sheetId="10" state="visible" r:id="rId12"/>
    <sheet name="NotaExport_APROV_TRANZIT" sheetId="11" state="visible" r:id="rId13"/>
    <sheet name="Declarații_INTERMEDIAR" sheetId="12" state="visible" r:id="rId14"/>
    <sheet name="Reguli_INTERMEDIAR" sheetId="13" state="visible" r:id="rId15"/>
    <sheet name="Jurnale_INTERMEDIAR" sheetId="14" state="visible" r:id="rId16"/>
    <sheet name="NotaExport_INTERMEDIAR" sheetId="15" state="visible" r:id="rId17"/>
    <sheet name="Declarații_INCHIDERE_EX" sheetId="16" state="visible" r:id="rId18"/>
    <sheet name="Reguli_INCHIDERE_EX" sheetId="17" state="visible" r:id="rId19"/>
    <sheet name="Jurnale_INCHIDERE_EX" sheetId="18" state="visible" r:id="rId20"/>
    <sheet name="NotaExport_INCHIDERE_EX" sheetId="19" state="visible" r:id="rId21"/>
    <sheet name="Declarații_NEUTRALIZARE" sheetId="20" state="visible" r:id="rId22"/>
    <sheet name="Reguli_NEUTRALIZARE" sheetId="21" state="visible" r:id="rId23"/>
    <sheet name="Jurnale_NEUTRALIZARE" sheetId="22" state="visible" r:id="rId24"/>
    <sheet name="NotaExport_NEUTRALIZARE" sheetId="23" state="visible" r:id="rId25"/>
    <sheet name="Declarații_AMANUNT" sheetId="24" state="visible" r:id="rId26"/>
    <sheet name="Reguli_AMANUNT" sheetId="25" state="visible" r:id="rId27"/>
    <sheet name="Jurnale_AMANUNT" sheetId="26" state="visible" r:id="rId28"/>
    <sheet name="NotaExport_AMANUNT" sheetId="27" state="visible" r:id="rId29"/>
    <sheet name="Declarații_TVA_INC" sheetId="28" state="visible" r:id="rId30"/>
    <sheet name="Reguli_TVA_INC" sheetId="29" state="visible" r:id="rId31"/>
    <sheet name="Jurnale_TVA_INC" sheetId="30" state="visible" r:id="rId32"/>
    <sheet name="NotaExport_TVA_INC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<sst xmlns="http://schemas.openxmlformats.org/spreadsheetml/2006/main" count="1232" uniqueCount="723">
  <si>
    <t xml:space="preserve">MODULE DECLARATIVE — instrucțiuni de utilizare</t>
  </si>
  <si>
    <t xml:space="preserve">Ce este acest fișier</t>
  </si>
  <si>
    <t xml:space="preserve">Primul pas concret către organizarea fluxurilor din Plan de conturi pe rol ca module declarative care se „sumonează” dintr-un catalog.</t>
  </si>
  <si>
    <t xml:space="preserve">Structura urmează exact pattern-ul din template-urile tale (Salarii, Leasing, Deconturi): Declarații → Reguli → Jurnale → NotaExport.</t>
  </si>
  <si>
    <t xml:space="preserve">Cum se folosește MOD_INCHIDERE_TVA (primul modul implementat)</t>
  </si>
  <si>
    <t xml:space="preserve">1. Deschide CatalogModule — verifică că Activ=DA pe MOD_INCHIDERE_TVA.</t>
  </si>
  <si>
    <t xml:space="preserve">2. Deschide Declarații_INCHIDERE_TVA — completează celulele galbene (rulaje 4426/4427 din balanță sau jurnale SAGA).</t>
  </si>
  <si>
    <t xml:space="preserve">3. Deschide Jurnale_INCHIDERE_TVA — verifică Check=0 (OK — nota se închide).</t>
  </si>
  <si>
    <t xml:space="preserve">4. Deschide NotaExport_INCHIDERE_TVA — filtrează Include=DA, copiază/înregistrează în program.</t>
  </si>
  <si>
    <t xml:space="preserve">5. După înregistrare: sold 4426=0, sold 4427=0, sold 4423 sau 4424 = diferența.</t>
  </si>
  <si>
    <t xml:space="preserve">Ce urmează (ordine recomandată)</t>
  </si>
  <si>
    <t xml:space="preserve">• Module IMPLEMENTATE: INCHIDERE_TVA, APROV_TRANZIT, INTERMEDIAR, INCHIDERE_EX, NEUTRALIZARE, VANZ_AMANUNT, TVA_INCASARE</t>
  </si>
  <si>
    <t xml:space="preserve">• Module EXEMPLU EXTERN (deja declarative, aliniate în catalog): SALARII, DECONT, LEASING_FIN</t>
  </si>
  <si>
    <t xml:space="preserve">• Fluxuri corectate/clarificate în Plan de conturi: F-05,06,07,14,15,16,22,24,25,28</t>
  </si>
  <si>
    <t xml:space="preserve">• CatalogModule = punctul unic de sumonare. Activ=DA doar pe ce e nevoie luna curentă.</t>
  </si>
  <si>
    <t xml:space="preserve">Principiu de design</t>
  </si>
  <si>
    <t xml:space="preserve">Modulul nu inventează conturi. Folosește doar conturile din politica declarată + rolurile din Plan de conturi. Porțile de calitate (ΣDr=ΣCr, stare terminală, pas revelator) rămân aceleași ca în foaia Fluxuri.</t>
  </si>
  <si>
    <t xml:space="preserve">PARAMETRI GLOBALI — un singur loc pentru identitate și setări comune</t>
  </si>
  <si>
    <t xml:space="preserve">Completezi o dată. Toate foile Declarații_* citesc de aici. La client nou: schimbi doar aici.</t>
  </si>
  <si>
    <t xml:space="preserve">Identitate (date demonstrative — înlocuiește la utilizare reală)</t>
  </si>
  <si>
    <t xml:space="preserve">Denumire societate</t>
  </si>
  <si>
    <t xml:space="preserve">SC EXEMPLU SRL</t>
  </si>
  <si>
    <t xml:space="preserve">CUI</t>
  </si>
  <si>
    <t xml:space="preserve">RO00000000</t>
  </si>
  <si>
    <t xml:space="preserve">Luna curentă (YYYY-MM)</t>
  </si>
  <si>
    <t xml:space="preserve">2026-07</t>
  </si>
  <si>
    <t xml:space="preserve">Setări contabile comune</t>
  </si>
  <si>
    <t xml:space="preserve">Cotă TVA standard</t>
  </si>
  <si>
    <t xml:space="preserve">Cotă TVA redusă</t>
  </si>
  <si>
    <t xml:space="preserve">Notă: valorile de mai sus sunt placeholder. Nu sunt date reale de client. Modulele Declarații_* referențiază Parametri!B5 / B6 / B7.</t>
  </si>
  <si>
    <t xml:space="preserve">CATALOG MODULE DECLARATIVE — sumonare fluxuri</t>
  </si>
  <si>
    <t xml:space="preserve">Bifează / activează modulele pentru luna curentă. Fiecare modul activ își trage variabilele din Declarații și emite blocuri în Jurnale + NotaExport.</t>
  </si>
  <si>
    <t xml:space="preserve">Arhitectură: Declarații (input galben) → Reguli (tabele fixe) → Registru (dacă e cazul) → Jurnale (auto) → NotaExport (1 rând = 1 înregistrare).</t>
  </si>
  <si>
    <t xml:space="preserve">Activ</t>
  </si>
  <si>
    <t xml:space="preserve">Cod modul</t>
  </si>
  <si>
    <t xml:space="preserve">Flux(uri) acoperite</t>
  </si>
  <si>
    <t xml:space="preserve">Tip</t>
  </si>
  <si>
    <t xml:space="preserve">Variabile obligatorii</t>
  </si>
  <si>
    <t xml:space="preserve">Porți declarative</t>
  </si>
  <si>
    <t xml:space="preserve">Blocuri jurnal emise</t>
  </si>
  <si>
    <t xml:space="preserve">Status</t>
  </si>
  <si>
    <t xml:space="preserve">DA</t>
  </si>
  <si>
    <t xml:space="preserve">MOD_INCHIDERE_TVA</t>
  </si>
  <si>
    <t xml:space="preserve">F-21</t>
  </si>
  <si>
    <t xml:space="preserve">Lunar (fără linii)</t>
  </si>
  <si>
    <t xml:space="preserve">Rulaj 4426, Rulaj 4427, Luna</t>
  </si>
  <si>
    <t xml:space="preserve">—</t>
  </si>
  <si>
    <t xml:space="preserve">B1 Închidere 4426/4427 → 4423/4424</t>
  </si>
  <si>
    <t xml:space="preserve">IMPLEMENTAT</t>
  </si>
  <si>
    <t xml:space="preserve">MOD_APROV_TRANZIT</t>
  </si>
  <si>
    <t xml:space="preserve">F-02 (+408 simetric)</t>
  </si>
  <si>
    <t xml:space="preserve">Eveniment + stingere</t>
  </si>
  <si>
    <t xml:space="preserve">Sumă netă, TVA, Cont stoc, Furnizor, Data factură, Data recepție</t>
  </si>
  <si>
    <t xml:space="preserve">Tranzit vs. direct</t>
  </si>
  <si>
    <t xml:space="preserve">B1 Factură→32x; B2 Recepție 30x=32x</t>
  </si>
  <si>
    <t xml:space="preserve">NU</t>
  </si>
  <si>
    <t xml:space="preserve">MOD_SALARII</t>
  </si>
  <si>
    <t xml:space="preserve">F-32</t>
  </si>
  <si>
    <t xml:space="preserve">Lunar + plăți</t>
  </si>
  <si>
    <t xml:space="preserve">Brut, Tichete, Avans, Angajat, Luna — vezi fișierul Salarii AS Kids</t>
  </si>
  <si>
    <t xml:space="preserve">B1 Costuri; B2 Plăți net+taxe; B3 Tichete — EXEMPLU EXTERN complet</t>
  </si>
  <si>
    <t xml:space="preserve">EXEMPLU EXTERN</t>
  </si>
  <si>
    <t xml:space="preserve">MOD_DECONT</t>
  </si>
  <si>
    <t xml:space="preserve">F-35 + deplasări</t>
  </si>
  <si>
    <t xml:space="preserve">Pe decont</t>
  </si>
  <si>
    <t xml:space="preserve">Linii decont, Titular, Avans, Cotă TVA — vezi Deconturi AS Kids</t>
  </si>
  <si>
    <t xml:space="preserve">Platitor TVA, % ded. vehicule</t>
  </si>
  <si>
    <t xml:space="preserve">B1 Avans; B2 Cheltuieli; B3 Regularizare; B4 Plată — EXEMPLU EXTERN complet</t>
  </si>
  <si>
    <t xml:space="preserve">MOD_LEASING_FIN</t>
  </si>
  <si>
    <t xml:space="preserve">F-26 + F-28 + reeval</t>
  </si>
  <si>
    <t xml:space="preserve">Pe contract + lună</t>
  </si>
  <si>
    <t xml:space="preserve">Contract, Scadențar, Regim vehicul, Curs BNR — vezi Template_leasing_financiar_auto</t>
  </si>
  <si>
    <t xml:space="preserve">MIXT/EXCLUSIV/EXCEPTAT; Capitalizare vs Cheltuială TVA neded.</t>
  </si>
  <si>
    <t xml:space="preserve">B1–B7 pe momente — EXEMPLU EXTERN complet</t>
  </si>
  <si>
    <t xml:space="preserve">MOD_VANZ_AMANUNT</t>
  </si>
  <si>
    <t xml:space="preserve">F-14</t>
  </si>
  <si>
    <t xml:space="preserve">Pe gestiune + cotă</t>
  </si>
  <si>
    <t xml:space="preserve">Cost, Adaos %, Cotă TVA, Gestiune</t>
  </si>
  <si>
    <t xml:space="preserve">En-gros vs Amănunt</t>
  </si>
  <si>
    <t xml:space="preserve">B1 Aprovizionare PVA; B2 TVA ded.; B3 Descărcare; B4 Venit; B5 Corelații; B6 Închidere TVA</t>
  </si>
  <si>
    <t xml:space="preserve">MOD_TVA_INCASARE</t>
  </si>
  <si>
    <t xml:space="preserve">F-17</t>
  </si>
  <si>
    <t xml:space="preserve">Pe factură</t>
  </si>
  <si>
    <t xml:space="preserve">Sumă netă, TVA, Tip (achiziție/vânzare), Data plată/încasare</t>
  </si>
  <si>
    <t xml:space="preserve">4428.INC activ</t>
  </si>
  <si>
    <t xml:space="preserve">B1 Factură→4428.INC; B2 Plată/Încasare→4426/4427</t>
  </si>
  <si>
    <t xml:space="preserve">MOD_INCHIDERE_EX</t>
  </si>
  <si>
    <t xml:space="preserve">F-37</t>
  </si>
  <si>
    <t xml:space="preserve">Anual</t>
  </si>
  <si>
    <t xml:space="preserve">Rulaje cls.6, Rulaje cls.7, Impozit/IMCA</t>
  </si>
  <si>
    <t xml:space="preserve">B1 Închidere 6xx; B2 Închidere 7xx; B3 Impozit; B4 Repartizare 129; B5 Report 117</t>
  </si>
  <si>
    <t xml:space="preserve">MOD_INTERMEDIAR</t>
  </si>
  <si>
    <t xml:space="preserve">F-23, F-33, F-34</t>
  </si>
  <si>
    <t xml:space="preserve">Eveniment discret</t>
  </si>
  <si>
    <t xml:space="preserve">Sumă, Cont intermediar (408/418/581/473), Cont final, Document</t>
  </si>
  <si>
    <t xml:space="preserve">B1 Deschidere intermediar; B2 Stingere</t>
  </si>
  <si>
    <t xml:space="preserve">MOD_NEUTRALIZARE</t>
  </si>
  <si>
    <t xml:space="preserve">F-05, F-07, F-28</t>
  </si>
  <si>
    <t xml:space="preserve">Pe stadiu producție</t>
  </si>
  <si>
    <t xml:space="preserve">Cost acumulat, Cont stoc (331/332/231), Cont venit (711/712/722)</t>
  </si>
  <si>
    <t xml:space="preserve">B1 Costuri→stoc; B2 Neutralizare; B3 Finalizare/livrare</t>
  </si>
  <si>
    <t xml:space="preserve">REGULĂ DE SUMONARE</t>
  </si>
  <si>
    <t xml:space="preserve">1. În CatalogModule setezi Activ=DA doar pe modulele necesare lunii.</t>
  </si>
  <si>
    <t xml:space="preserve">2. Completezi variabilele din foaia Declarații_Modul (galben).</t>
  </si>
  <si>
    <t xml:space="preserve">3. Jurnalele și NotaExport se populează automat doar pentru modulele active.</t>
  </si>
  <si>
    <t xml:space="preserve">4. Verifici Check=0 pe fiecare bloc; filtrezi NotaExport pe Include=DA și imporți.</t>
  </si>
  <si>
    <t xml:space="preserve">Nu se creează conturi noi din modul — se folosesc doar conturile din politica declarată + planul de conturi pe rol.</t>
  </si>
  <si>
    <t xml:space="preserve">MOD_INCHIDERE_TVA — Declarații (input)</t>
  </si>
  <si>
    <t xml:space="preserve">Completează doar celulele galbene cu scris albastru. Restul sunt formule sau text fix.</t>
  </si>
  <si>
    <t xml:space="preserve">1. Antet</t>
  </si>
  <si>
    <t xml:space="preserve">Societate</t>
  </si>
  <si>
    <t xml:space="preserve">Luna (AAAA-LL)</t>
  </si>
  <si>
    <t xml:space="preserve">Data jurnal (ultima zi a lunii)</t>
  </si>
  <si>
    <t xml:space="preserve">2026-07-31</t>
  </si>
  <si>
    <t xml:space="preserve">2. Rulaje TVA din jurnale (introducere manuală din balanță / jurnale SAGA)</t>
  </si>
  <si>
    <t xml:space="preserve">Rulaj debitor 4426 (TVA deductibilă)</t>
  </si>
  <si>
    <t xml:space="preserve">Rulaj creditor 4427 (TVA colectată)</t>
  </si>
  <si>
    <t xml:space="preserve">3. Politică de conturi (din planul pe rol)</t>
  </si>
  <si>
    <t xml:space="preserve">Cont TVA deductibilă</t>
  </si>
  <si>
    <t xml:space="preserve">4426</t>
  </si>
  <si>
    <t xml:space="preserve">Cont TVA colectată</t>
  </si>
  <si>
    <t xml:space="preserve">4427</t>
  </si>
  <si>
    <t xml:space="preserve">Cont TVA de plată</t>
  </si>
  <si>
    <t xml:space="preserve">4423</t>
  </si>
  <si>
    <t xml:space="preserve">Cont TVA de recuperat</t>
  </si>
  <si>
    <t xml:space="preserve">4424</t>
  </si>
  <si>
    <t xml:space="preserve">4. Calcul automat (nu edita)</t>
  </si>
  <si>
    <t xml:space="preserve">Sold net (4427 − 4426)</t>
  </si>
  <si>
    <t xml:space="preserve">Direcție</t>
  </si>
  <si>
    <t xml:space="preserve">Sumă pe 4423</t>
  </si>
  <si>
    <t xml:space="preserve">Sumă pe 4424</t>
  </si>
  <si>
    <t xml:space="preserve">5. Sufix descriere (generat)</t>
  </si>
  <si>
    <t xml:space="preserve">Sufix</t>
  </si>
  <si>
    <t xml:space="preserve">6. Control</t>
  </si>
  <si>
    <t xml:space="preserve">Check: 4426 și 4427 trebuie să aibă sold 0 după notă</t>
  </si>
  <si>
    <t xml:space="preserve">OK dacă nota e înregistrată integral</t>
  </si>
  <si>
    <t xml:space="preserve">Modul activ în CatalogModule?</t>
  </si>
  <si>
    <t xml:space="preserve">MOD_INCHIDERE_TVA — Reguli (tabele fixe)</t>
  </si>
  <si>
    <t xml:space="preserve">Regula fiscală/contabilă este dată, nu formulă. Se editează doar când se schimbă legea sau politica firmei.</t>
  </si>
  <si>
    <t xml:space="preserve">Tabel A — Secvența de închidere</t>
  </si>
  <si>
    <t xml:space="preserve">Pas</t>
  </si>
  <si>
    <t xml:space="preserve">Cont Dr</t>
  </si>
  <si>
    <t xml:space="preserve">Cont Cr</t>
  </si>
  <si>
    <t xml:space="preserve">Sumă (sursă)</t>
  </si>
  <si>
    <t xml:space="preserve">Condiție</t>
  </si>
  <si>
    <t xml:space="preserve">Temei / observație</t>
  </si>
  <si>
    <t xml:space="preserve">MIN(rulaj 4426, rulaj 4427)</t>
  </si>
  <si>
    <t xml:space="preserve">Întotdeauna</t>
  </si>
  <si>
    <t xml:space="preserve">Stingere reciprocă a rulajelor — fără sold intermediar</t>
  </si>
  <si>
    <t xml:space="preserve">MAX(0, 4427−4426)</t>
  </si>
  <si>
    <t xml:space="preserve">Dacă 4427 &gt; 4426</t>
  </si>
  <si>
    <t xml:space="preserve">Sold net = TVA de plată către buget</t>
  </si>
  <si>
    <t xml:space="preserve">MAX(0, 4426−4427)</t>
  </si>
  <si>
    <t xml:space="preserve">Dacă 4426 &gt; 4427</t>
  </si>
  <si>
    <t xml:space="preserve">Sold net = TVA de recuperat / de rambursat</t>
  </si>
  <si>
    <t xml:space="preserve">Tabel B — Conturi din planul pe rol (referință)</t>
  </si>
  <si>
    <t xml:space="preserve">Cont</t>
  </si>
  <si>
    <t xml:space="preserve">Denumire</t>
  </si>
  <si>
    <t xml:space="preserve">Rol</t>
  </si>
  <si>
    <t xml:space="preserve">Observație din Plan de conturi</t>
  </si>
  <si>
    <t xml:space="preserve">TVA deductibilă</t>
  </si>
  <si>
    <t xml:space="preserve">Tranzit / reflectare</t>
  </si>
  <si>
    <t xml:space="preserve">Jurnal cumpărări; se închide lunar; fără sold</t>
  </si>
  <si>
    <t xml:space="preserve">TVA colectată</t>
  </si>
  <si>
    <t xml:space="preserve">Jurnal vânzări; se închide lunar; fără sold</t>
  </si>
  <si>
    <t xml:space="preserve">TVA de plată</t>
  </si>
  <si>
    <t xml:space="preserve">Patrimonial — Datorie</t>
  </si>
  <si>
    <t xml:space="preserve">Sold datorie lunară către buget</t>
  </si>
  <si>
    <t xml:space="preserve">TVA de recuperat</t>
  </si>
  <si>
    <t xml:space="preserve">Patrimonial — Creanță</t>
  </si>
  <si>
    <t xml:space="preserve">Sold creanță / de rambursat</t>
  </si>
  <si>
    <t xml:space="preserve">Tabel C — Porți de calitate</t>
  </si>
  <si>
    <t xml:space="preserve">• ΣDr = ΣCr pe notă</t>
  </si>
  <si>
    <t xml:space="preserve">• După înregistrare: sold 4426 = 0 și sold 4427 = 0</t>
  </si>
  <si>
    <t xml:space="preserve">• Sold 4423 sau 4424 = |4427 − 4426|</t>
  </si>
  <si>
    <t xml:space="preserve">• Descrierile conțin sufixul generat (luna)</t>
  </si>
  <si>
    <t xml:space="preserve">• Modulul nu creează analitice noi — folosește conturile din Declarații</t>
  </si>
  <si>
    <t xml:space="preserve">MOD_INCHIDERE_TVA — Jurnale (generate automat)</t>
  </si>
  <si>
    <t xml:space="preserve">Nu se scrie nimic manual. Toate sumele și descrierile derivă din Declarații_INCHIDERE_TVA.</t>
  </si>
  <si>
    <t xml:space="preserve">Bloc 1 — Închiderea lunară 4426 / 4427</t>
  </si>
  <si>
    <t xml:space="preserve">Data jurnal:</t>
  </si>
  <si>
    <t xml:space="preserve">Înregistrări</t>
  </si>
  <si>
    <t xml:space="preserve">Nr</t>
  </si>
  <si>
    <t xml:space="preserve">Sumă Dr</t>
  </si>
  <si>
    <t xml:space="preserve">Descriere Dr</t>
  </si>
  <si>
    <t xml:space="preserve">Sumă Cr</t>
  </si>
  <si>
    <t xml:space="preserve">Descriere Cr</t>
  </si>
  <si>
    <t xml:space="preserve">Sumar</t>
  </si>
  <si>
    <t xml:space="preserve">Total Dr</t>
  </si>
  <si>
    <t xml:space="preserve">Total Cr</t>
  </si>
  <si>
    <t xml:space="preserve">Check Σ (structural)</t>
  </si>
  <si>
    <t xml:space="preserve">Check net (REAL)</t>
  </si>
  <si>
    <t xml:space="preserve">Check exclusivitate 4423/4424</t>
  </si>
  <si>
    <t xml:space="preserve">Stare terminală așteptată: sold 4426=0, sold 4427=0, sold 4423 sau 4424 = |4427−4426|</t>
  </si>
  <si>
    <t xml:space="preserve">MOD_INCHIDERE_TVA — Notă pentru import (1 rând = 1 înregistrare)</t>
  </si>
  <si>
    <t xml:space="preserve">Filtrează pe coloana Include = DA înainte de import în SAGA / alt program. Echilibrul se verifică pe bloc în Jurnale, nu pe totalul listei.</t>
  </si>
  <si>
    <t xml:space="preserve">Bloc</t>
  </si>
  <si>
    <t xml:space="preserve">Data</t>
  </si>
  <si>
    <t xml:space="preserve">Sumă</t>
  </si>
  <si>
    <t xml:space="preserve">Descriere</t>
  </si>
  <si>
    <t xml:space="preserve">Document</t>
  </si>
  <si>
    <t xml:space="preserve">Include</t>
  </si>
  <si>
    <t xml:space="preserve">Bloc 1 — Închidere TVA</t>
  </si>
  <si>
    <t xml:space="preserve">Închidere lunară TVA</t>
  </si>
  <si>
    <t xml:space="preserve">Rânduri de importat (Include=DA)</t>
  </si>
  <si>
    <t xml:space="preserve">Check global (trebuie 0)</t>
  </si>
  <si>
    <t xml:space="preserve">MOD_APROV_TRANZIT — Declarații (input)</t>
  </si>
  <si>
    <t xml:space="preserve">Completează doar celulele galbene. Modulul acoperă: factură înainte de recepție (32x) + stingere la recepție. Cazul simetric 408 (marfă înainte de factură) se notează, dar se activează separat dacă e nevoie.</t>
  </si>
  <si>
    <t xml:space="preserve">Data factură (jurnal B1)</t>
  </si>
  <si>
    <t xml:space="preserve">2026-07-10</t>
  </si>
  <si>
    <t xml:space="preserve">Data recepție NIR (jurnal B2)</t>
  </si>
  <si>
    <t xml:space="preserve">2026-07-18</t>
  </si>
  <si>
    <t xml:space="preserve">Furnizor (denumire scurtă)</t>
  </si>
  <si>
    <t xml:space="preserve">Furnizor DEMO</t>
  </si>
  <si>
    <t xml:space="preserve">Nr. factură / document</t>
  </si>
  <si>
    <t xml:space="preserve">F-1234/10.07.2026</t>
  </si>
  <si>
    <t xml:space="preserve">2. Sume factură</t>
  </si>
  <si>
    <t xml:space="preserve">Valoare netă (fără TVA)</t>
  </si>
  <si>
    <t xml:space="preserve">Cota TVA</t>
  </si>
  <si>
    <t xml:space="preserve">TVA (calculat)</t>
  </si>
  <si>
    <t xml:space="preserve">Total factură</t>
  </si>
  <si>
    <t xml:space="preserve">3. Politică de conturi</t>
  </si>
  <si>
    <t xml:space="preserve">Cont stoc final (după recepție)</t>
  </si>
  <si>
    <t xml:space="preserve">371</t>
  </si>
  <si>
    <t xml:space="preserve">Cont tranzit (32x)</t>
  </si>
  <si>
    <t xml:space="preserve">327</t>
  </si>
  <si>
    <t xml:space="preserve">Cont furnizor</t>
  </si>
  <si>
    <t xml:space="preserve">401.RO</t>
  </si>
  <si>
    <t xml:space="preserve">Platitor TVA? (DA/NU)</t>
  </si>
  <si>
    <t xml:space="preserve">4. Poartă — tip eveniment</t>
  </si>
  <si>
    <t xml:space="preserve">Factură înainte de marfă? (DA = tranzit 32x)</t>
  </si>
  <si>
    <t xml:space="preserve">Marfă înainte de factură? (DA = 408 — nu e acoperit de acest modul)</t>
  </si>
  <si>
    <t xml:space="preserve">Notă poartă</t>
  </si>
  <si>
    <t xml:space="preserve">6. Control modul</t>
  </si>
  <si>
    <t xml:space="preserve">Modul activ în Catalog?</t>
  </si>
  <si>
    <t xml:space="preserve">MOD_APROV_TRANZIT — Reguli (tabele fixe)</t>
  </si>
  <si>
    <t xml:space="preserve">Regula este dată, nu formulă. Se editează doar la schimbare de lege sau politică.</t>
  </si>
  <si>
    <t xml:space="preserve">Tabel A — Secvența de înregistrare (calea standard F-02)</t>
  </si>
  <si>
    <t xml:space="preserve">Moment</t>
  </si>
  <si>
    <t xml:space="preserve">Factură (marfă pe drum)</t>
  </si>
  <si>
    <t xml:space="preserve">327 (tranzit)</t>
  </si>
  <si>
    <t xml:space="preserve">Netă</t>
  </si>
  <si>
    <t xml:space="preserve">Rol: Tranzit / reflectare — destinația cunoscută, așteaptă recepția</t>
  </si>
  <si>
    <t xml:space="preserve">Factură — TVA</t>
  </si>
  <si>
    <t xml:space="preserve">TVA</t>
  </si>
  <si>
    <t xml:space="preserve">Tranzit TVA; se închide lunar în 4423/4424</t>
  </si>
  <si>
    <t xml:space="preserve">Recepție NIR</t>
  </si>
  <si>
    <t xml:space="preserve">371 (sau 301)</t>
  </si>
  <si>
    <t xml:space="preserve">Stingere tranzit → stoc real (pas revelator)</t>
  </si>
  <si>
    <t xml:space="preserve">Tabel B — Conturi din planul pe rol</t>
  </si>
  <si>
    <t xml:space="preserve">Observație</t>
  </si>
  <si>
    <t xml:space="preserve">Mărfuri în curs de aprovizionare</t>
  </si>
  <si>
    <t xml:space="preserve">Se stinge 371=327 la recepție. Fără pasul de stingere → stoc subevaluat + 327 deschis</t>
  </si>
  <si>
    <t xml:space="preserve">321-328</t>
  </si>
  <si>
    <t xml:space="preserve">Familia 32x</t>
  </si>
  <si>
    <t xml:space="preserve">321 materii, 322 consumabile, 323 obiecte inventar, 327 mărfuri, 328 ambalaje</t>
  </si>
  <si>
    <t xml:space="preserve">371 / 301</t>
  </si>
  <si>
    <t xml:space="preserve">Stoc real</t>
  </si>
  <si>
    <t xml:space="preserve">Patrimonial — Stoc</t>
  </si>
  <si>
    <t xml:space="preserve">Destinația finală după recepție</t>
  </si>
  <si>
    <t xml:space="preserve">Furnizori RO</t>
  </si>
  <si>
    <t xml:space="preserve">Analitic pe rezidență pentru D394</t>
  </si>
  <si>
    <t xml:space="preserve">Fără sold după închiderea lunară</t>
  </si>
  <si>
    <t xml:space="preserve">408</t>
  </si>
  <si>
    <t xml:space="preserve">Furnizori — facturi nesosite</t>
  </si>
  <si>
    <t xml:space="preserve">Intermediar / clarificare</t>
  </si>
  <si>
    <t xml:space="preserve">Cazul SIMETRIC (marfă înainte de factură) — modul separat MOD_INTERMEDIAR</t>
  </si>
  <si>
    <t xml:space="preserve">• ΣDr = ΣCr pe fiecare bloc (B1 factură, B2 recepție)</t>
  </si>
  <si>
    <t xml:space="preserve">• După B2: sold 327 = 0</t>
  </si>
  <si>
    <t xml:space="preserve">• Dacă poarta „Factură înainte de marfă” = NU → modulul nu ar trebui activat (calea e F-01 direct)</t>
  </si>
  <si>
    <t xml:space="preserve">• 408 nu se folosește în acest modul (e oglinda simetrică)</t>
  </si>
  <si>
    <t xml:space="preserve">MOD_APROV_TRANZIT — Jurnale (generate automat)</t>
  </si>
  <si>
    <t xml:space="preserve">Nu se scrie nimic manual. Sumele și descrierile vin din Declarații_APROV_TRANZIT.</t>
  </si>
  <si>
    <t xml:space="preserve">Bloc 1 — Factură (marfă pe drum) — rol Tranzit</t>
  </si>
  <si>
    <t xml:space="preserve">Sumar Bloc 1</t>
  </si>
  <si>
    <t xml:space="preserve">Check B1</t>
  </si>
  <si>
    <t xml:space="preserve">Bloc 2 — Recepție NIR — stingere tranzit (pas revelator)</t>
  </si>
  <si>
    <t xml:space="preserve">Sumar Bloc 2</t>
  </si>
  <si>
    <t xml:space="preserve">Check B2</t>
  </si>
  <si>
    <t xml:space="preserve">Stare terminală așteptată</t>
  </si>
  <si>
    <t xml:space="preserve">Sold 327 = 0 | Stoc 371 (sau 301) reflectă marfa | 401 = total factură | 4426 conține TVA (se închide la final de lună cu MOD_INCHIDERE_TVA)</t>
  </si>
  <si>
    <t xml:space="preserve">Check global (toate blocurile)</t>
  </si>
  <si>
    <t xml:space="preserve">MOD_APROV_TRANZIT — Notă pentru import</t>
  </si>
  <si>
    <t xml:space="preserve">Filtrează Include=DA. Bloc 1 = data facturii; Bloc 2 = data recepției (pot fi luni diferite).</t>
  </si>
  <si>
    <t xml:space="preserve">Bloc 1 — Factură tranzit</t>
  </si>
  <si>
    <t xml:space="preserve">Bloc 2 — Recepție</t>
  </si>
  <si>
    <t xml:space="preserve">NIR</t>
  </si>
  <si>
    <t xml:space="preserve">Rânduri de importat</t>
  </si>
  <si>
    <t xml:space="preserve">Check global</t>
  </si>
  <si>
    <t xml:space="preserve">MOD_INTERMEDIAR — Declarații (input)</t>
  </si>
  <si>
    <t xml:space="preserve">Modul generic pentru conturi de tip Intermediar / clarificare: 408, 418, 581, 473. Alege tipul, completează sumele și conturile — jurnalele se generează pe cele două momente (deschidere + stingere).</t>
  </si>
  <si>
    <t xml:space="preserve">2. Tip intermediar (poartă principală)</t>
  </si>
  <si>
    <t xml:space="preserve">Tip (408 / 418 / 581 / 473)</t>
  </si>
  <si>
    <t xml:space="preserve">473</t>
  </si>
  <si>
    <t xml:space="preserve">Descriere tip (auto)</t>
  </si>
  <si>
    <t xml:space="preserve">3. Moment deschidere (Bloc 1)</t>
  </si>
  <si>
    <t xml:space="preserve">Data deschidere</t>
  </si>
  <si>
    <t xml:space="preserve">2026-07-15</t>
  </si>
  <si>
    <t xml:space="preserve">Cont intermediar (Dr sau Cr după tip)</t>
  </si>
  <si>
    <t xml:space="preserve">Cont contrapartidă deschidere</t>
  </si>
  <si>
    <t xml:space="preserve">5121</t>
  </si>
  <si>
    <t xml:space="preserve">Sens deschidere (Dr_intermediar / Cr_intermediar)</t>
  </si>
  <si>
    <t xml:space="preserve">Cr_intermediar</t>
  </si>
  <si>
    <t xml:space="preserve">Document / referință deschidere</t>
  </si>
  <si>
    <t xml:space="preserve">Extras bancă 15.07 — sumă neidentificată</t>
  </si>
  <si>
    <t xml:space="preserve">4. Moment stingere (Bloc 2)</t>
  </si>
  <si>
    <t xml:space="preserve">Data stingere</t>
  </si>
  <si>
    <t xml:space="preserve">2026-07-22</t>
  </si>
  <si>
    <t xml:space="preserve">Cont final (după clarificare)</t>
  </si>
  <si>
    <t xml:space="preserve">411.RO</t>
  </si>
  <si>
    <t xml:space="preserve">Document / referință stingere</t>
  </si>
  <si>
    <t xml:space="preserve">Identificat: client X, factura Y</t>
  </si>
  <si>
    <t xml:space="preserve">Modul activ?</t>
  </si>
  <si>
    <t xml:space="preserve">Regulă 473</t>
  </si>
  <si>
    <t xml:space="preserve">MOD_INTERMEDIAR — Reguli (tabele fixe)</t>
  </si>
  <si>
    <t xml:space="preserve">Pattern comun: deschidere pe cont intermediar → stingere pe cont final când evenimentul discret (document, identificare, confirmare) are loc.</t>
  </si>
  <si>
    <t xml:space="preserve">Tabel A — Tipuri și sensuri standard</t>
  </si>
  <si>
    <t xml:space="preserve">Deschidere tipică</t>
  </si>
  <si>
    <t xml:space="preserve">Stingere tipică</t>
  </si>
  <si>
    <t xml:space="preserve">Pas revelator / red flag</t>
  </si>
  <si>
    <t xml:space="preserve">Intermediar</t>
  </si>
  <si>
    <t xml:space="preserve">Dr stoc / 4426 = Cr 408</t>
  </si>
  <si>
    <t xml:space="preserve">Dr 408 = Cr 401</t>
  </si>
  <si>
    <t xml:space="preserve">Sold 408 la 31.12 = facturi încă nesosite</t>
  </si>
  <si>
    <t xml:space="preserve">418</t>
  </si>
  <si>
    <t xml:space="preserve">Clienți — facturi de întocmit</t>
  </si>
  <si>
    <t xml:space="preserve">Dr 418 = Cr venit / 4427</t>
  </si>
  <si>
    <t xml:space="preserve">Dr 411 = Cr 418</t>
  </si>
  <si>
    <t xml:space="preserve">Sold 418 = livrat nefacturat</t>
  </si>
  <si>
    <t xml:space="preserve">581</t>
  </si>
  <si>
    <t xml:space="preserve">Viramente interne</t>
  </si>
  <si>
    <t xml:space="preserve">Dr 581 = Cr 512 (ieșire)</t>
  </si>
  <si>
    <t xml:space="preserve">Dr 531/512 = Cr 581 (intrare)</t>
  </si>
  <si>
    <t xml:space="preserve">Sold 581 = transfer neconfirmat</t>
  </si>
  <si>
    <t xml:space="preserve">Operațiuni în curs de clarificare</t>
  </si>
  <si>
    <t xml:space="preserve">Dr 512 = Cr 473 (intrare neid.)</t>
  </si>
  <si>
    <t xml:space="preserve">Dr 473 = Cr 411/401/768</t>
  </si>
  <si>
    <t xml:space="preserve">Sold 473 la 31.12 = SUSPECT — clarificare obligatorie</t>
  </si>
  <si>
    <t xml:space="preserve">Tabel B — Secvența generică a modulului</t>
  </si>
  <si>
    <t xml:space="preserve">Logică</t>
  </si>
  <si>
    <t xml:space="preserve">Deschidere</t>
  </si>
  <si>
    <t xml:space="preserve">Cont intermediar ↔ Cont contrapartidă (bancă/stoc/venit)</t>
  </si>
  <si>
    <t xml:space="preserve">Sensul (Dr/Cr intermediar) se alege în Declarații</t>
  </si>
  <si>
    <t xml:space="preserve">Stingere</t>
  </si>
  <si>
    <t xml:space="preserve">Cont intermediar ↔ Cont final (401/411/512/531/768…)</t>
  </si>
  <si>
    <t xml:space="preserve">Când documentul / identificarea / confirmarea există</t>
  </si>
  <si>
    <t xml:space="preserve">• ΣDr = ΣCr pe fiecare bloc</t>
  </si>
  <si>
    <t xml:space="preserve">• După stingere: sold cont intermediar = 0 pe această operațiune</t>
  </si>
  <si>
    <t xml:space="preserve">• Pentru 473: dacă data stingerii e goală sau &gt; 31.12 → semnalează red flag</t>
  </si>
  <si>
    <t xml:space="preserve">• Modulul nu amestecă tipurile — un set de Declarații = un tip + o operațiune</t>
  </si>
  <si>
    <t xml:space="preserve">MOD_INTERMEDIAR — Jurnale (generate automat)</t>
  </si>
  <si>
    <t xml:space="preserve">Sensul deschiderii (Dr sau Cr pe intermediar) se citește din Declarații. Stingerea inversează sensul.</t>
  </si>
  <si>
    <t xml:space="preserve">Bloc 1 — Deschidere intermediar</t>
  </si>
  <si>
    <t xml:space="preserve">Data:</t>
  </si>
  <si>
    <t xml:space="preserve">Tip:</t>
  </si>
  <si>
    <t xml:space="preserve">Bloc 2 — Stingere intermediar (pas revelator)</t>
  </si>
  <si>
    <t xml:space="preserve">Stare terminală</t>
  </si>
  <si>
    <t xml:space="preserve">Sold intermediar pe această operațiune = 0. Pentru 473: dacă rămâne sold la 31.12 → red flag audit.</t>
  </si>
  <si>
    <t xml:space="preserve">MOD_INTERMEDIAR — Notă pentru import</t>
  </si>
  <si>
    <t xml:space="preserve">Filtrează Include=DA. Cele două blocuri pot avea date diferite (deschidere vs. stingere).</t>
  </si>
  <si>
    <t xml:space="preserve">Bloc 1 — Deschidere</t>
  </si>
  <si>
    <t xml:space="preserve">Bloc 2 — Stingere</t>
  </si>
  <si>
    <t xml:space="preserve">MOD_INCHIDERE_EX — Declarații (input)</t>
  </si>
  <si>
    <t xml:space="preserve">Modul anual. Completezi rulajele din balanță (sau totaluri din SAGA). Jurnalele închid cls.6 → 121, cls.7 → 121, calculează impozit / IMCA, repartizează 129 și reportează 117.</t>
  </si>
  <si>
    <t xml:space="preserve">An exercițiu</t>
  </si>
  <si>
    <t xml:space="preserve">Data jurnal închidere (31.12)</t>
  </si>
  <si>
    <t xml:space="preserve">2026-12-31</t>
  </si>
  <si>
    <t xml:space="preserve">2. Rulaje de închis (din balanță / totaluri SAGA)</t>
  </si>
  <si>
    <t xml:space="preserve">Total rulaj debitor cls.6 (cheltuieli)</t>
  </si>
  <si>
    <t xml:space="preserve">Total rulaj creditor cls.7 (venituri)</t>
  </si>
  <si>
    <t xml:space="preserve">3. Impozit pe profit / IMCA</t>
  </si>
  <si>
    <t xml:space="preserve">Regim (PROFIT / MICRO / IMCA)</t>
  </si>
  <si>
    <t xml:space="preserve">PROFIT</t>
  </si>
  <si>
    <t xml:space="preserve">Baza impozabilă (sau cifră afaceri IMCA)</t>
  </si>
  <si>
    <t xml:space="preserve">Cotă (0.16 / 0.01 / 0.03 etc.)</t>
  </si>
  <si>
    <t xml:space="preserve">Impozit calculat</t>
  </si>
  <si>
    <t xml:space="preserve">Cont cheltuială impozit (691 / 697 / 4417)</t>
  </si>
  <si>
    <t xml:space="preserve">691</t>
  </si>
  <si>
    <t xml:space="preserve">Cont datorie impozit (441 / 4417)</t>
  </si>
  <si>
    <t xml:space="preserve">441</t>
  </si>
  <si>
    <t xml:space="preserve">4. Repartizare rezultat</t>
  </si>
  <si>
    <t xml:space="preserve">Rezultat înainte de impozit (7−6)</t>
  </si>
  <si>
    <t xml:space="preserve">Rezultat net (după impozit)</t>
  </si>
  <si>
    <t xml:space="preserve">Repartizare la rezerve / dividende etc. (opțional)</t>
  </si>
  <si>
    <t xml:space="preserve">Reportat pe 117 (sold final 121/129)</t>
  </si>
  <si>
    <t xml:space="preserve">5. Politică conturi rezultat</t>
  </si>
  <si>
    <t xml:space="preserve">Cont profit și pierdere</t>
  </si>
  <si>
    <t xml:space="preserve">121</t>
  </si>
  <si>
    <t xml:space="preserve">Cont repartizare profit</t>
  </si>
  <si>
    <t xml:space="preserve">129</t>
  </si>
  <si>
    <t xml:space="preserve">Cont rezultat reportat</t>
  </si>
  <si>
    <t xml:space="preserve">117</t>
  </si>
  <si>
    <t xml:space="preserve">6. Sufix</t>
  </si>
  <si>
    <t xml:space="preserve">7. Control</t>
  </si>
  <si>
    <t xml:space="preserve">Notă</t>
  </si>
  <si>
    <t xml:space="preserve">În practică se închid conturile de cheltuieli/venituri pe analitice (sau pe grupe). Aici se lucrează pe totaluri — un singur rând pe clasă.</t>
  </si>
  <si>
    <t xml:space="preserve">MOD_INCHIDERE_EX — Reguli (tabele fixe)</t>
  </si>
  <si>
    <t xml:space="preserve">Secvența de închidere e standard OMFP 1802. Detalierea pe conturi analitice se face în SAGA; modulul lucrează pe totaluri de clasă pentru generarea notei de principiu.</t>
  </si>
  <si>
    <t xml:space="preserve">B1 Închidere cheltuieli</t>
  </si>
  <si>
    <t xml:space="preserve">6xx (total)</t>
  </si>
  <si>
    <t xml:space="preserve">Rulaj D cls.6</t>
  </si>
  <si>
    <t xml:space="preserve">Neutralizare rezultat — cheltuieli</t>
  </si>
  <si>
    <t xml:space="preserve">B2 Închidere venituri</t>
  </si>
  <si>
    <t xml:space="preserve">7xx (total)</t>
  </si>
  <si>
    <t xml:space="preserve">Rulaj C cls.7</t>
  </si>
  <si>
    <t xml:space="preserve">Neutralizare rezultat — venituri</t>
  </si>
  <si>
    <t xml:space="preserve">B3 Impozit</t>
  </si>
  <si>
    <t xml:space="preserve">691/697</t>
  </si>
  <si>
    <t xml:space="preserve">441/4417</t>
  </si>
  <si>
    <t xml:space="preserve">Cheltuială cu impozitul → datorie</t>
  </si>
  <si>
    <t xml:space="preserve">B3b Închidere 691</t>
  </si>
  <si>
    <t xml:space="preserve">Impozit</t>
  </si>
  <si>
    <t xml:space="preserve">Impozitul intră în rezultatul net</t>
  </si>
  <si>
    <t xml:space="preserve">B4 Repartizare (opțional)</t>
  </si>
  <si>
    <t xml:space="preserve">106/457…</t>
  </si>
  <si>
    <t xml:space="preserve">Sumă repartizată</t>
  </si>
  <si>
    <t xml:space="preserve">Doar dacă AGA / decizie există</t>
  </si>
  <si>
    <t xml:space="preserve">B5 Report</t>
  </si>
  <si>
    <t xml:space="preserve">Sold final 121</t>
  </si>
  <si>
    <t xml:space="preserve">Dacă profit; invers dacă pierdere</t>
  </si>
  <si>
    <t xml:space="preserve">Tabel B — Conturi din plan pe rol</t>
  </si>
  <si>
    <t xml:space="preserve">Profit sau pierdere</t>
  </si>
  <si>
    <t xml:space="preserve">Colectare rezultat</t>
  </si>
  <si>
    <t xml:space="preserve">Se închide anual; fără sold după report pe 117</t>
  </si>
  <si>
    <t xml:space="preserve">Repartizarea profitului</t>
  </si>
  <si>
    <t xml:space="preserve">Colectare / tranzit</t>
  </si>
  <si>
    <t xml:space="preserve">Se folosește doar la repartizare formală</t>
  </si>
  <si>
    <t xml:space="preserve">Rezultatul reportat</t>
  </si>
  <si>
    <t xml:space="preserve">Patrimonial — Capital</t>
  </si>
  <si>
    <t xml:space="preserve">Sold permanent până la acoperire / repartizare</t>
  </si>
  <si>
    <t xml:space="preserve">Cheltuieli cu impozitul pe profit</t>
  </si>
  <si>
    <t xml:space="preserve">Neutralizare rezultat</t>
  </si>
  <si>
    <t xml:space="preserve">Se închide în 121</t>
  </si>
  <si>
    <t xml:space="preserve">697</t>
  </si>
  <si>
    <t xml:space="preserve">Cheltuieli cu impozitul pe venit micro</t>
  </si>
  <si>
    <t xml:space="preserve">Alternativă la 691</t>
  </si>
  <si>
    <t xml:space="preserve">Impozit pe profit</t>
  </si>
  <si>
    <t xml:space="preserve">Datorie către buget</t>
  </si>
  <si>
    <t xml:space="preserve">4417</t>
  </si>
  <si>
    <t xml:space="preserve">Impozit pe venit micro / alte impozite</t>
  </si>
  <si>
    <t xml:space="preserve">Conform OMF actualizat</t>
  </si>
  <si>
    <t xml:space="preserve">• După B1+B2: sold 6xx = 0, sold 7xx = 0</t>
  </si>
  <si>
    <t xml:space="preserve">• Sold 121 înainte de report = rezultat net</t>
  </si>
  <si>
    <t xml:space="preserve">• După B5: sold 121 = 0, sold 117 reflectă reportul</t>
  </si>
  <si>
    <t xml:space="preserve">• Modulul nu înlocuiește D101 / declarația de impozit — produce doar nota contabilă</t>
  </si>
  <si>
    <t xml:space="preserve">MOD_INCHIDERE_EX — Jurnale (generate automat)</t>
  </si>
  <si>
    <t xml:space="preserve">Toate sumele derivă din Declarații. În SAGA se detaliază pe conturi analitice; aici e nota de principiu pe totaluri de clasă.</t>
  </si>
  <si>
    <t xml:space="preserve">Bloc 1 — Închidere cheltuieli (cls.6 → 121)</t>
  </si>
  <si>
    <t xml:space="preserve">6xx</t>
  </si>
  <si>
    <t xml:space="preserve">Bloc 2 — Închidere venituri (cls.7 → 121)</t>
  </si>
  <si>
    <t xml:space="preserve">7xx</t>
  </si>
  <si>
    <t xml:space="preserve">Bloc 3 — Cheltuială cu impozitul + închiderea ei în 121</t>
  </si>
  <si>
    <t xml:space="preserve">Check B3</t>
  </si>
  <si>
    <t xml:space="preserve">Bloc 4 — Report rezultat net pe 117</t>
  </si>
  <si>
    <t xml:space="preserve">Check B4</t>
  </si>
  <si>
    <t xml:space="preserve">Sold 6xx=0 | Sold 7xx=0 | Sold 121=0 | Sold 691=0 | 441 = impozit datorat | 117 = rezultat net reportat</t>
  </si>
  <si>
    <t xml:space="preserve">MOD_INCHIDERE_EX — Notă pentru import</t>
  </si>
  <si>
    <t xml:space="preserve">Filtrează Include=DA. În SAGA se detaliază 6xx/7xx pe conturi individuale; aceste rânduri sunt nota de principiu.</t>
  </si>
  <si>
    <t xml:space="preserve">B1 Cheltuieli</t>
  </si>
  <si>
    <t xml:space="preserve">Închidere exercițiu</t>
  </si>
  <si>
    <t xml:space="preserve">B2 Venituri</t>
  </si>
  <si>
    <t xml:space="preserve">B3 Înch.691</t>
  </si>
  <si>
    <t xml:space="preserve">B4 Report 117</t>
  </si>
  <si>
    <t xml:space="preserve">MOD_NEUTRALIZARE — Declarații (input)</t>
  </si>
  <si>
    <t xml:space="preserve">Acoperă F-05 (bunuri/711), F-07 (servicii/712), F-28 (imobilizări/722). Alege tipul — conturile și lanțul se adaptează. Principiu: costurile lovesc cls.6, apoi contul de venit de producție capitalizează și neutralizează.</t>
  </si>
  <si>
    <t xml:space="preserve">Luna / proiect</t>
  </si>
  <si>
    <t xml:space="preserve">Data costuri (B1)</t>
  </si>
  <si>
    <t xml:space="preserve">2026-07-05</t>
  </si>
  <si>
    <t xml:space="preserve">Data finalizare stoc (B2-B3)</t>
  </si>
  <si>
    <t xml:space="preserve">2026-07-20</t>
  </si>
  <si>
    <t xml:space="preserve">Data vânzare / recepție MF (B4)</t>
  </si>
  <si>
    <t xml:space="preserve">2026-07-25</t>
  </si>
  <si>
    <t xml:space="preserve">2. Tip producție (poartă principală)</t>
  </si>
  <si>
    <t xml:space="preserve">Tip (BUNURI / SERVICII / MF)</t>
  </si>
  <si>
    <t xml:space="preserve">BUNURI</t>
  </si>
  <si>
    <t xml:space="preserve">Cont venit neutralizare (auto)</t>
  </si>
  <si>
    <t xml:space="preserve">Cont stoc intermediar (auto)</t>
  </si>
  <si>
    <t xml:space="preserve">Cont stoc final (auto)</t>
  </si>
  <si>
    <t xml:space="preserve">Cont venit vânzare (auto)</t>
  </si>
  <si>
    <t xml:space="preserve">3. Costuri (cls.6)</t>
  </si>
  <si>
    <t xml:space="preserve">Cost materiale (→ 601)</t>
  </si>
  <si>
    <t xml:space="preserve">Cost manoperă (→ 641)</t>
  </si>
  <si>
    <t xml:space="preserve">Alte costuri (→ 6xx)</t>
  </si>
  <si>
    <t xml:space="preserve">Cost total</t>
  </si>
  <si>
    <t xml:space="preserve">4. Vânzare (doar BUNURI / SERVICII)</t>
  </si>
  <si>
    <t xml:space="preserve">Preț vânzare (fără TVA)</t>
  </si>
  <si>
    <t xml:space="preserve">5. Conturi suplimentare</t>
  </si>
  <si>
    <t xml:space="preserve">Cont materii prime</t>
  </si>
  <si>
    <t xml:space="preserve">301</t>
  </si>
  <si>
    <t xml:space="preserve">Cont client</t>
  </si>
  <si>
    <t xml:space="preserve">Marjă (vânzare − cost)</t>
  </si>
  <si>
    <t xml:space="preserve">Notă principiu</t>
  </si>
  <si>
    <t xml:space="preserve">Costurile lovesc cls.6; contul de venit de producție (711/712/722) capitalizează și neutralizează. Descărcarea la vânzare (bunuri) e prin 711=345, nu prin 607.</t>
  </si>
  <si>
    <t xml:space="preserve">MOD_NEUTRALIZARE — Reguli (tabele fixe)</t>
  </si>
  <si>
    <t xml:space="preserve">Principiul comun F-05 / F-07 / F-28: cost → cls.6 → stoc intermediar = venit neutralizare → stoc final / livrare. 711/712/722 nu se stinge greșit în stocul final fără pasul de obținere.</t>
  </si>
  <si>
    <t xml:space="preserve">Tabel A — Lanț pe tip</t>
  </si>
  <si>
    <t xml:space="preserve">Cost →</t>
  </si>
  <si>
    <t xml:space="preserve">Stoc intermediar</t>
  </si>
  <si>
    <t xml:space="preserve">Venit neut.</t>
  </si>
  <si>
    <t xml:space="preserve">Stoc final / livrare</t>
  </si>
  <si>
    <t xml:space="preserve">Descărcare la vânzare</t>
  </si>
  <si>
    <t xml:space="preserve">601=301</t>
  </si>
  <si>
    <t xml:space="preserve">331=711</t>
  </si>
  <si>
    <t xml:space="preserve">711=331 apoi 345=711</t>
  </si>
  <si>
    <t xml:space="preserve">345</t>
  </si>
  <si>
    <t xml:space="preserve">711=345 (NU 607)</t>
  </si>
  <si>
    <t xml:space="preserve">SERVICII</t>
  </si>
  <si>
    <t xml:space="preserve">641/601=…</t>
  </si>
  <si>
    <t xml:space="preserve">332=712</t>
  </si>
  <si>
    <t xml:space="preserve">712=332</t>
  </si>
  <si>
    <t xml:space="preserve">(nu e stoc final)</t>
  </si>
  <si>
    <t xml:space="preserve">712 stins la livrare</t>
  </si>
  <si>
    <t xml:space="preserve">MF</t>
  </si>
  <si>
    <t xml:space="preserve">601=301, 641=421</t>
  </si>
  <si>
    <t xml:space="preserve">231=722</t>
  </si>
  <si>
    <t xml:space="preserve">213=231</t>
  </si>
  <si>
    <t xml:space="preserve">(nu e vânzare — e activ)</t>
  </si>
  <si>
    <t xml:space="preserve">Tabel B — Porți de calitate</t>
  </si>
  <si>
    <t xml:space="preserve">• ΣD=ΣC pe fiecare bloc</t>
  </si>
  <si>
    <t xml:space="preserve">• Cont venit neutralizare: rulaj D = rulaj C la final (sold 0)</t>
  </si>
  <si>
    <t xml:space="preserve">• Stoc intermediar sold 0 după finalizare</t>
  </si>
  <si>
    <t xml:space="preserve">• Pentru BUNURI: 345 un singur D și un singur C; descărcare prin 711, nu 607</t>
  </si>
  <si>
    <t xml:space="preserve">• Pentru MF: impact net pe 121 din capitalizare = 0 (cheltuieli = 722)</t>
  </si>
  <si>
    <t xml:space="preserve">Tabel C — Ce NU se face</t>
  </si>
  <si>
    <t xml:space="preserve">• 345 creditat de două ori fără un debit de obținere (eroarea F-05 veche)</t>
  </si>
  <si>
    <t xml:space="preserve">• 722 = 231 (ar stinge activul — eroare F-28 veche); corect e 231 = 722</t>
  </si>
  <si>
    <t xml:space="preserve">• 607 la descărcarea produselor finite (607 e doar mărfuri)</t>
  </si>
  <si>
    <t xml:space="preserve">• „711 sau 712” la servicii — pentru servicii e strict 712</t>
  </si>
  <si>
    <t xml:space="preserve">MOD_NEUTRALIZARE — Jurnale (generate automat)</t>
  </si>
  <si>
    <t xml:space="preserve">Lanțul se adaptează după Tip. Pentru MF, blocul de vânzare rămâne 0. Pentru SERVICII, stocul final e gol.</t>
  </si>
  <si>
    <t xml:space="preserve">Bloc 1 — Costuri pe cls.6</t>
  </si>
  <si>
    <t xml:space="preserve">601</t>
  </si>
  <si>
    <t xml:space="preserve">641</t>
  </si>
  <si>
    <t xml:space="preserve">421</t>
  </si>
  <si>
    <t xml:space="preserve">Bloc 2 — Stoc intermediar = venit neutralizare (pas revelator)</t>
  </si>
  <si>
    <t xml:space="preserve">Bloc 3 — Finalizare (obținere stoc final / stingere intermediar)</t>
  </si>
  <si>
    <t xml:space="preserve">Bloc 4 — Vânzare + descărcare (BUNURI/SERVICII; 0 pentru MF)</t>
  </si>
  <si>
    <t xml:space="preserve">Cont venit neut. sold 0 | Stoc intermediar 0 | Pentru BUNURI: 345 sold 0, descărcare prin 711 | Pentru MF: 213=cost, impact 121 din capitalizare = 0</t>
  </si>
  <si>
    <t xml:space="preserve">MOD_NEUTRALIZARE — Notă pentru import</t>
  </si>
  <si>
    <t xml:space="preserve">Filtrează Include=DA. Rândurile cu sumă 0 (ex. manoperă 0, sau blocuri MF fără vânzare) apar ca NU.</t>
  </si>
  <si>
    <t xml:space="preserve">B1 Costuri</t>
  </si>
  <si>
    <t xml:space="preserve">Producție / neutralizare</t>
  </si>
  <si>
    <t xml:space="preserve">B2 Neutralizare</t>
  </si>
  <si>
    <t xml:space="preserve">B3 Finalizare</t>
  </si>
  <si>
    <t xml:space="preserve">B4 Vânzare</t>
  </si>
  <si>
    <t xml:space="preserve">B4 TVA</t>
  </si>
  <si>
    <t xml:space="preserve">B4 Descărcare</t>
  </si>
  <si>
    <t xml:space="preserve">MOD_VANZ_AMANUNT — Declarații (input)</t>
  </si>
  <si>
    <t xml:space="preserve">Gestiune amănunt la PVA. Corelații: 371×c/(100+c)=4428 și 707−607=rulaj D 378. Completează galben.</t>
  </si>
  <si>
    <t xml:space="preserve">Gestiune (analitic)</t>
  </si>
  <si>
    <t xml:space="preserve">AM.21</t>
  </si>
  <si>
    <t xml:space="preserve">Luna</t>
  </si>
  <si>
    <t xml:space="preserve">Data aprovizionare</t>
  </si>
  <si>
    <t xml:space="preserve">Data vânzare (Z-report)</t>
  </si>
  <si>
    <t xml:space="preserve">2. Aprovizionare</t>
  </si>
  <si>
    <t xml:space="preserve">Cost (fără TVA)</t>
  </si>
  <si>
    <t xml:space="preserve">Adaos %</t>
  </si>
  <si>
    <t xml:space="preserve">Cotă TVA</t>
  </si>
  <si>
    <t xml:space="preserve">Adaos (lei)</t>
  </si>
  <si>
    <t xml:space="preserve">Bază PVA (cost+adaos)</t>
  </si>
  <si>
    <t xml:space="preserve">TVA în PVA</t>
  </si>
  <si>
    <t xml:space="preserve">PVA total (371)</t>
  </si>
  <si>
    <t xml:space="preserve">TVA deductibilă (pe cost)</t>
  </si>
  <si>
    <t xml:space="preserve">3. Conturi</t>
  </si>
  <si>
    <t xml:space="preserve">Cont stoc (371.gest.cotă)</t>
  </si>
  <si>
    <t xml:space="preserve">371.AM.21</t>
  </si>
  <si>
    <t xml:space="preserve">Cont adaos (378)</t>
  </si>
  <si>
    <t xml:space="preserve">378.AM.21</t>
  </si>
  <si>
    <t xml:space="preserve">Cont TVA neexigibilă (4428)</t>
  </si>
  <si>
    <t xml:space="preserve">4428.AM</t>
  </si>
  <si>
    <t xml:space="preserve">Cont cheltuială (607)</t>
  </si>
  <si>
    <t xml:space="preserve">607</t>
  </si>
  <si>
    <t xml:space="preserve">Cont venit (707)</t>
  </si>
  <si>
    <t xml:space="preserve">707</t>
  </si>
  <si>
    <t xml:space="preserve">Cont casă / bancă</t>
  </si>
  <si>
    <t xml:space="preserve">531.1</t>
  </si>
  <si>
    <t xml:space="preserve">4. Corelații (auto)</t>
  </si>
  <si>
    <t xml:space="preserve">Corelație 1: 371×c/(100+c) =?</t>
  </si>
  <si>
    <t xml:space="preserve">Trebuie = 4428</t>
  </si>
  <si>
    <t xml:space="preserve">Corelație 2: 707−607 =?</t>
  </si>
  <si>
    <t xml:space="preserve">Trebuie = adaos (rulaj D 378)</t>
  </si>
  <si>
    <t xml:space="preserve">5. Sufix</t>
  </si>
  <si>
    <t xml:space="preserve">MOD_VANZ_AMANUNT — Reguli (tabele fixe)</t>
  </si>
  <si>
    <t xml:space="preserve">Regula e dată, nu formulă. Se editează doar când se schimbă politica de gestiune sau cotele.</t>
  </si>
  <si>
    <t xml:space="preserve">Tabel A — Secvența operațională</t>
  </si>
  <si>
    <t xml:space="preserve">371.gest.cotă</t>
  </si>
  <si>
    <t xml:space="preserve">401 + 378 + 4428</t>
  </si>
  <si>
    <t xml:space="preserve">PVA = cost+adaos+TVA_PVA</t>
  </si>
  <si>
    <t xml:space="preserve">La aprovizionare amănunt</t>
  </si>
  <si>
    <t xml:space="preserve">Stoc la preț de vânzare cu amănuntul</t>
  </si>
  <si>
    <t xml:space="preserve">401</t>
  </si>
  <si>
    <t xml:space="preserve">cost × cotă</t>
  </si>
  <si>
    <t xml:space="preserve">Din factură furnizor</t>
  </si>
  <si>
    <t xml:space="preserve">TVA deductibilă ≠ TVA din PVA</t>
  </si>
  <si>
    <t xml:space="preserve">607 + 378 + 4428</t>
  </si>
  <si>
    <t xml:space="preserve">proporțional pe PVA vândut</t>
  </si>
  <si>
    <t xml:space="preserve">La vânzare / Z-report</t>
  </si>
  <si>
    <t xml:space="preserve">Descărcare proporțională (nu doar cost)</t>
  </si>
  <si>
    <t xml:space="preserve">531/512</t>
  </si>
  <si>
    <t xml:space="preserve">707 + 4427</t>
  </si>
  <si>
    <t xml:space="preserve">bază + TVA = PVA vândut</t>
  </si>
  <si>
    <t xml:space="preserve">La vânzare</t>
  </si>
  <si>
    <t xml:space="preserve">Venit pe bază (cost+adaos), TVA colectată</t>
  </si>
  <si>
    <t xml:space="preserve">4426 + 4423</t>
  </si>
  <si>
    <t xml:space="preserve">rulaje lunare</t>
  </si>
  <si>
    <t xml:space="preserve">La închidere TVA</t>
  </si>
  <si>
    <t xml:space="preserve">Vezi MOD_INCHIDERE_TVA</t>
  </si>
  <si>
    <t xml:space="preserve">411/531</t>
  </si>
  <si>
    <t xml:space="preserve">proporțional retur</t>
  </si>
  <si>
    <t xml:space="preserve">La retur client</t>
  </si>
  <si>
    <t xml:space="preserve">Storno venit+TVA; apoi reîncarcă 371+378+4428 (F-40)</t>
  </si>
  <si>
    <t xml:space="preserve">Tabel B — Corelații de control (obligatorii pe cifre)</t>
  </si>
  <si>
    <t xml:space="preserve">ID</t>
  </si>
  <si>
    <t xml:space="preserve">Formulă</t>
  </si>
  <si>
    <t xml:space="preserve">Când</t>
  </si>
  <si>
    <t xml:space="preserve">Ce o rupe legitim</t>
  </si>
  <si>
    <t xml:space="preserve">Ce o rupe suspect</t>
  </si>
  <si>
    <t xml:space="preserve">Flux</t>
  </si>
  <si>
    <t xml:space="preserve">C-01</t>
  </si>
  <si>
    <t xml:space="preserve">sold 371 × c/(100+c) = sold 4428</t>
  </si>
  <si>
    <t xml:space="preserve">Pe gestiune+cotă, oricând</t>
  </si>
  <si>
    <t xml:space="preserve">Vânzare parțială, retur, transfer gestiuni</t>
  </si>
  <si>
    <t xml:space="preserve">4428 omis; descărcare fără 378/4428</t>
  </si>
  <si>
    <t xml:space="preserve">F-14, F-40, F-43</t>
  </si>
  <si>
    <t xml:space="preserve">C-02</t>
  </si>
  <si>
    <t xml:space="preserve">707 − 607 = rulaj D 378</t>
  </si>
  <si>
    <t xml:space="preserve">Pe perioadă</t>
  </si>
  <si>
    <t xml:space="preserve">Retur, 709, discount furnizor pe stoc vândut</t>
  </si>
  <si>
    <t xml:space="preserve">607 greșit; 378 nestins</t>
  </si>
  <si>
    <t xml:space="preserve">Tabel C — Porți</t>
  </si>
  <si>
    <t xml:space="preserve">• ΣDr=ΣCr pe fiecare bloc (verificare cu ABS la global — erorile nu se anulează)</t>
  </si>
  <si>
    <t xml:space="preserve">• După vânzare integrală: sold 371=378=4428=0 pe gestiune</t>
  </si>
  <si>
    <t xml:space="preserve">• Vânzare parțială: C-01 pe soldul RĂMAS, nu pe rulajul de la intrare</t>
  </si>
  <si>
    <t xml:space="preserve">• Retur: reîncarcă proporțional 371+378+4428 — omisiunea 378/4428 = ruptură suspectă C-01</t>
  </si>
  <si>
    <t xml:space="preserve">MOD_VANZ_AMANUNT — Jurnale</t>
  </si>
  <si>
    <t xml:space="preserve">Bloc 1 — Aprovizionare la PVA</t>
  </si>
  <si>
    <t xml:space="preserve">Check B1 (371 = cost+adaos+TVA PVA)</t>
  </si>
  <si>
    <t xml:space="preserve">Bloc 2 — TVA deductibilă din factură</t>
  </si>
  <si>
    <t xml:space="preserve">Bloc 3 — Descărcare gestiune la PVA</t>
  </si>
  <si>
    <t xml:space="preserve">Bloc 4 — Venit + TVA colectată</t>
  </si>
  <si>
    <t xml:space="preserve">Bloc 5 — Închidere TVA</t>
  </si>
  <si>
    <t xml:space="preserve">Check B5</t>
  </si>
  <si>
    <t xml:space="preserve">Corelații (din Declarații)</t>
  </si>
  <si>
    <t xml:space="preserve">MOD_VANZ_AMANUNT — Notă pentru import</t>
  </si>
  <si>
    <t xml:space="preserve">B1</t>
  </si>
  <si>
    <t xml:space="preserve">Cost</t>
  </si>
  <si>
    <t xml:space="preserve">Amănunt</t>
  </si>
  <si>
    <t xml:space="preserve">Adaos</t>
  </si>
  <si>
    <t xml:space="preserve">TVA PVA</t>
  </si>
  <si>
    <t xml:space="preserve">B2</t>
  </si>
  <si>
    <t xml:space="preserve">TVA ded</t>
  </si>
  <si>
    <t xml:space="preserve">B3</t>
  </si>
  <si>
    <t xml:space="preserve">Desc cost</t>
  </si>
  <si>
    <t xml:space="preserve">Desc adaos</t>
  </si>
  <si>
    <t xml:space="preserve">Desc 4428</t>
  </si>
  <si>
    <t xml:space="preserve">B4</t>
  </si>
  <si>
    <t xml:space="preserve">Venit</t>
  </si>
  <si>
    <t xml:space="preserve">TVA col</t>
  </si>
  <si>
    <t xml:space="preserve">B5</t>
  </si>
  <si>
    <t xml:space="preserve">Înch 4426</t>
  </si>
  <si>
    <t xml:space="preserve">TVA plată</t>
  </si>
  <si>
    <t xml:space="preserve">MOD_TVA_INCASARE — Declarații (input)</t>
  </si>
  <si>
    <t xml:space="preserve">Rol dual 4428.INC: pe achiziție până la plată → 4426; pe vânzare până la încasare → 4427. Nu se amestecă cu 4428.AM.</t>
  </si>
  <si>
    <t xml:space="preserve">2. Achiziție (TVA la încasare)</t>
  </si>
  <si>
    <t xml:space="preserve">Data factură achiziție</t>
  </si>
  <si>
    <t xml:space="preserve">2026-07-08</t>
  </si>
  <si>
    <t xml:space="preserve">Data plată furnizor</t>
  </si>
  <si>
    <t xml:space="preserve">Sumă netă achiziție</t>
  </si>
  <si>
    <t xml:space="preserve">TVA achiziție</t>
  </si>
  <si>
    <t xml:space="preserve">Total factură achiziție</t>
  </si>
  <si>
    <t xml:space="preserve">3. Vânzare (TVA la încasare)</t>
  </si>
  <si>
    <t xml:space="preserve">Data factură vânzare</t>
  </si>
  <si>
    <t xml:space="preserve">2026-07-12</t>
  </si>
  <si>
    <t xml:space="preserve">Data încasare client</t>
  </si>
  <si>
    <t xml:space="preserve">2026-07-28</t>
  </si>
  <si>
    <t xml:space="preserve">Sumă netă vânzare</t>
  </si>
  <si>
    <t xml:space="preserve">TVA vânzare</t>
  </si>
  <si>
    <t xml:space="preserve">Total factură vânzare</t>
  </si>
  <si>
    <t xml:space="preserve">4. Conturi</t>
  </si>
  <si>
    <t xml:space="preserve">Cont stoc / cheltuială</t>
  </si>
  <si>
    <t xml:space="preserve">Cont venit</t>
  </si>
  <si>
    <t xml:space="preserve">Cont 4428.INC</t>
  </si>
  <si>
    <t xml:space="preserve">4428.INC</t>
  </si>
  <si>
    <t xml:space="preserve">Cont 4426</t>
  </si>
  <si>
    <t xml:space="preserve">Cont 4427</t>
  </si>
  <si>
    <t xml:space="preserve">Cont trezorerie</t>
  </si>
  <si>
    <t xml:space="preserve">512.1</t>
  </si>
  <si>
    <t xml:space="preserve">MOD_TVA_INCASARE — Reguli (tabele fixe)</t>
  </si>
  <si>
    <t xml:space="preserve">Rol dual 4428.INC: pe achiziție până la plată → 4426; pe vânzare până la încasare → 4427. Separat de 4428.AM.</t>
  </si>
  <si>
    <t xml:space="preserve">3xx/6xx + 4428.INC</t>
  </si>
  <si>
    <t xml:space="preserve">net + TVA</t>
  </si>
  <si>
    <t xml:space="preserve">La factură achiziție (regim TVA la încasare)</t>
  </si>
  <si>
    <t xml:space="preserve">TVA NU intră pe 4426 la factură</t>
  </si>
  <si>
    <t xml:space="preserve">512</t>
  </si>
  <si>
    <t xml:space="preserve">total factură</t>
  </si>
  <si>
    <t xml:space="preserve">La plată furnizor</t>
  </si>
  <si>
    <t xml:space="preserve">Stingere datorie</t>
  </si>
  <si>
    <t xml:space="preserve">La plată (același moment sau ulterior)</t>
  </si>
  <si>
    <t xml:space="preserve">TVA devine exigibilă / deductibilă</t>
  </si>
  <si>
    <t xml:space="preserve">411</t>
  </si>
  <si>
    <t xml:space="preserve">7xx + 4428.INC</t>
  </si>
  <si>
    <t xml:space="preserve">La factură vânzare (regim TVA la încasare)</t>
  </si>
  <si>
    <t xml:space="preserve">TVA NU intră pe 4427 la factură</t>
  </si>
  <si>
    <t xml:space="preserve">La încasare client</t>
  </si>
  <si>
    <t xml:space="preserve">Stingere creanță</t>
  </si>
  <si>
    <t xml:space="preserve">La încasare</t>
  </si>
  <si>
    <t xml:space="preserve">TVA devine exigibilă / colectată</t>
  </si>
  <si>
    <t xml:space="preserve">• ΣDr=ΣCr pe fiecare moment (global cu ABS)</t>
  </si>
  <si>
    <t xml:space="preserve">• Sold 4428.INC = 0 după toate plățile și încasările perioadei</t>
  </si>
  <si>
    <t xml:space="preserve">• 4428.INC ≠ 4428.AM (analitice separate — amănunt vs TVA la încasare)</t>
  </si>
  <si>
    <t xml:space="preserve">• La închiderea lunară TVA: doar 4426/4427 exigibile intră în MOD_INCHIDERE_TVA</t>
  </si>
  <si>
    <t xml:space="preserve">MOD_TVA_INCASARE — Jurnale</t>
  </si>
  <si>
    <t xml:space="preserve">Bloc 1 — Factură achiziție (TVA neexigibilă)</t>
  </si>
  <si>
    <t xml:space="preserve">Bloc 2 — Plată furnizor (TVA devine exigibilă)</t>
  </si>
  <si>
    <t xml:space="preserve">Bloc 3 — Factură vânzare (TVA neexigibilă)</t>
  </si>
  <si>
    <t xml:space="preserve">Bloc 4 — Încasare client (TVA devine exigibilă)</t>
  </si>
  <si>
    <t xml:space="preserve">Stare terminală: 4428.INC sold 0 | 4426 conține TVA ded. exigibilă | 4427 conține TVA col. exigibilă</t>
  </si>
  <si>
    <t xml:space="preserve">MOD_TVA_INCASARE — Notă pentru import</t>
  </si>
  <si>
    <t xml:space="preserve">B1 Ach.</t>
  </si>
  <si>
    <t xml:space="preserve">TVA la încasare</t>
  </si>
  <si>
    <t xml:space="preserve">B2 Plată</t>
  </si>
  <si>
    <t xml:space="preserve">B3 Vânz.</t>
  </si>
  <si>
    <t xml:space="preserve">B4 Înc.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</si>
</sst>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00"/>
    <numFmt numFmtId="167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sz val="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/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4" t="s">
        <v>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</cols>
  <sheetData>
    <row r="1" customFormat="false" ht="16.15" hidden="false" customHeight="false" outlineLevel="0" collapsed="false">
      <c r="A1" s="5" t="s">
        <v>17</v>
      </c>
      <c r="B1" s="5"/>
      <c r="C1" s="5"/>
    </row>
    <row r="2" customFormat="false" ht="15" hidden="false" customHeight="false" outlineLevel="0" collapsed="false">
      <c r="A2" s="6" t="s">
        <v>18</v>
      </c>
      <c r="B2" s="6"/>
      <c r="C2" s="6"/>
    </row>
    <row r="4" customFormat="false" ht="15" hidden="false" customHeight="false" outlineLevel="0" collapsed="false">
      <c r="A4" s="7" t="s">
        <v>19</v>
      </c>
    </row>
    <row r="5" customFormat="false" ht="15" hidden="false" customHeight="false" outlineLevel="0" collapsed="false">
      <c r="A5" s="1" t="s">
        <v>20</v>
      </c>
      <c r="B5" s="8" t="s">
        <v>21</v>
      </c>
    </row>
    <row r="6" customFormat="false" ht="15" hidden="false" customHeight="false" outlineLevel="0" collapsed="false">
      <c r="A6" s="1" t="s">
        <v>22</v>
      </c>
      <c r="B6" s="8" t="s">
        <v>23</v>
      </c>
    </row>
    <row r="7" customFormat="false" ht="15" hidden="false" customHeight="false" outlineLevel="0" collapsed="false">
      <c r="A7" s="1" t="s">
        <v>24</v>
      </c>
      <c r="B7" s="8" t="s">
        <v>25</v>
      </c>
    </row>
    <row r="9" customFormat="false" ht="15" hidden="false" customHeight="false" outlineLevel="0" collapsed="false">
      <c r="A9" s="7" t="s">
        <v>26</v>
      </c>
    </row>
    <row r="10" customFormat="false" ht="15" hidden="false" customHeight="false" outlineLevel="0" collapsed="false">
      <c r="A10" s="1" t="s">
        <v>27</v>
      </c>
      <c r="B10" s="9" t="n">
        <v>0.21</v>
      </c>
    </row>
    <row r="11" customFormat="false" ht="15" hidden="false" customHeight="false" outlineLevel="0" collapsed="false">
      <c r="A11" s="1" t="s">
        <v>28</v>
      </c>
      <c r="B11" s="9" t="n">
        <v>0.11</v>
      </c>
    </row>
    <row r="13" customFormat="false" ht="15" hidden="false" customHeight="false" outlineLevel="0" collapsed="false">
      <c r="A13" s="6" t="s">
        <v>29</v>
      </c>
      <c r="B13" s="6"/>
      <c r="C13" s="6"/>
    </row>
  </sheetData>
  <mergeCells count="3">
    <mergeCell ref="A1:C1"/>
    <mergeCell ref="A2:C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45"/>
    <col collapsed="false" customWidth="true" hidden="false" outlineLevel="0" max="6" min="6" style="1" width="28"/>
    <col collapsed="false" customWidth="true" hidden="false" outlineLevel="0" max="7" min="7" style="1" width="45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0" t="s">
        <v>31</v>
      </c>
      <c r="B2" s="10"/>
      <c r="C2" s="10"/>
      <c r="D2" s="10"/>
      <c r="E2" s="10"/>
      <c r="F2" s="10"/>
      <c r="G2" s="10"/>
      <c r="H2" s="10"/>
    </row>
    <row r="3" customFormat="false" ht="15" hidden="false" customHeight="true" outlineLevel="0" collapsed="false">
      <c r="A3" s="10" t="s">
        <v>32</v>
      </c>
      <c r="B3" s="10"/>
      <c r="C3" s="10"/>
      <c r="D3" s="10"/>
      <c r="E3" s="10"/>
      <c r="F3" s="10"/>
      <c r="G3" s="10"/>
      <c r="H3" s="10"/>
    </row>
    <row r="5" customFormat="false" ht="30" hidden="false" customHeight="true" outlineLevel="0" collapsed="false">
      <c r="A5" s="11" t="s">
        <v>33</v>
      </c>
      <c r="B5" s="11" t="s">
        <v>34</v>
      </c>
      <c r="C5" s="11" t="s">
        <v>35</v>
      </c>
      <c r="D5" s="11" t="s">
        <v>36</v>
      </c>
      <c r="E5" s="11" t="s">
        <v>37</v>
      </c>
      <c r="F5" s="11" t="s">
        <v>38</v>
      </c>
      <c r="G5" s="11" t="s">
        <v>39</v>
      </c>
      <c r="H5" s="11" t="s">
        <v>40</v>
      </c>
    </row>
    <row r="6" customFormat="false" ht="34.5" hidden="false" customHeight="true" outlineLevel="0" collapsed="false">
      <c r="A6" s="12" t="s">
        <v>41</v>
      </c>
      <c r="B6" s="13" t="s">
        <v>42</v>
      </c>
      <c r="C6" s="13" t="s">
        <v>43</v>
      </c>
      <c r="D6" s="13" t="s">
        <v>44</v>
      </c>
      <c r="E6" s="13" t="s">
        <v>45</v>
      </c>
      <c r="F6" s="13" t="s">
        <v>46</v>
      </c>
      <c r="G6" s="13" t="s">
        <v>47</v>
      </c>
      <c r="H6" s="13" t="s">
        <v>48</v>
      </c>
    </row>
    <row r="7" customFormat="false" ht="34.5" hidden="false" customHeight="true" outlineLevel="0" collapsed="false">
      <c r="A7" s="12" t="s">
        <v>41</v>
      </c>
      <c r="B7" s="13" t="s">
        <v>49</v>
      </c>
      <c r="C7" s="13" t="s">
        <v>50</v>
      </c>
      <c r="D7" s="13" t="s">
        <v>51</v>
      </c>
      <c r="E7" s="13" t="s">
        <v>52</v>
      </c>
      <c r="F7" s="13" t="s">
        <v>53</v>
      </c>
      <c r="G7" s="13" t="s">
        <v>54</v>
      </c>
      <c r="H7" s="13" t="s">
        <v>48</v>
      </c>
    </row>
    <row r="8" customFormat="false" ht="34.5" hidden="false" customHeight="true" outlineLevel="0" collapsed="false">
      <c r="A8" s="14" t="s">
        <v>55</v>
      </c>
      <c r="B8" s="15" t="s">
        <v>56</v>
      </c>
      <c r="C8" s="15" t="s">
        <v>57</v>
      </c>
      <c r="D8" s="15" t="s">
        <v>58</v>
      </c>
      <c r="E8" s="15" t="s">
        <v>59</v>
      </c>
      <c r="F8" s="15" t="s">
        <v>46</v>
      </c>
      <c r="G8" s="15" t="s">
        <v>60</v>
      </c>
      <c r="H8" s="15" t="s">
        <v>61</v>
      </c>
    </row>
    <row r="9" customFormat="false" ht="34.5" hidden="false" customHeight="true" outlineLevel="0" collapsed="false">
      <c r="A9" s="14" t="s">
        <v>55</v>
      </c>
      <c r="B9" s="15" t="s">
        <v>62</v>
      </c>
      <c r="C9" s="15" t="s">
        <v>63</v>
      </c>
      <c r="D9" s="15" t="s">
        <v>64</v>
      </c>
      <c r="E9" s="15" t="s">
        <v>65</v>
      </c>
      <c r="F9" s="15" t="s">
        <v>66</v>
      </c>
      <c r="G9" s="15" t="s">
        <v>67</v>
      </c>
      <c r="H9" s="15" t="s">
        <v>61</v>
      </c>
    </row>
    <row r="10" customFormat="false" ht="34.5" hidden="false" customHeight="true" outlineLevel="0" collapsed="false">
      <c r="A10" s="14" t="s">
        <v>55</v>
      </c>
      <c r="B10" s="15" t="s">
        <v>68</v>
      </c>
      <c r="C10" s="15" t="s">
        <v>69</v>
      </c>
      <c r="D10" s="15" t="s">
        <v>70</v>
      </c>
      <c r="E10" s="15" t="s">
        <v>71</v>
      </c>
      <c r="F10" s="15" t="s">
        <v>72</v>
      </c>
      <c r="G10" s="15" t="s">
        <v>73</v>
      </c>
      <c r="H10" s="15" t="s">
        <v>61</v>
      </c>
    </row>
    <row r="11" customFormat="false" ht="34.5" hidden="false" customHeight="true" outlineLevel="0" collapsed="false">
      <c r="A11" s="14" t="s">
        <v>41</v>
      </c>
      <c r="B11" s="13" t="s">
        <v>74</v>
      </c>
      <c r="C11" s="13" t="s">
        <v>75</v>
      </c>
      <c r="D11" s="13" t="s">
        <v>76</v>
      </c>
      <c r="E11" s="13" t="s">
        <v>77</v>
      </c>
      <c r="F11" s="13" t="s">
        <v>78</v>
      </c>
      <c r="G11" s="13" t="s">
        <v>79</v>
      </c>
      <c r="H11" s="13" t="s">
        <v>48</v>
      </c>
    </row>
    <row r="12" customFormat="false" ht="34.5" hidden="false" customHeight="true" outlineLevel="0" collapsed="false">
      <c r="A12" s="14" t="s">
        <v>41</v>
      </c>
      <c r="B12" s="13" t="s">
        <v>80</v>
      </c>
      <c r="C12" s="13" t="s">
        <v>81</v>
      </c>
      <c r="D12" s="13" t="s">
        <v>82</v>
      </c>
      <c r="E12" s="13" t="s">
        <v>83</v>
      </c>
      <c r="F12" s="13" t="s">
        <v>84</v>
      </c>
      <c r="G12" s="13" t="s">
        <v>85</v>
      </c>
      <c r="H12" s="13" t="s">
        <v>48</v>
      </c>
    </row>
    <row r="13" customFormat="false" ht="34.5" hidden="false" customHeight="true" outlineLevel="0" collapsed="false">
      <c r="A13" s="12" t="s">
        <v>41</v>
      </c>
      <c r="B13" s="13" t="s">
        <v>86</v>
      </c>
      <c r="C13" s="13" t="s">
        <v>87</v>
      </c>
      <c r="D13" s="13" t="s">
        <v>88</v>
      </c>
      <c r="E13" s="13" t="s">
        <v>89</v>
      </c>
      <c r="F13" s="13" t="s">
        <v>46</v>
      </c>
      <c r="G13" s="13" t="s">
        <v>90</v>
      </c>
      <c r="H13" s="13" t="s">
        <v>48</v>
      </c>
    </row>
    <row r="14" customFormat="false" ht="34.5" hidden="false" customHeight="true" outlineLevel="0" collapsed="false">
      <c r="A14" s="12" t="s">
        <v>41</v>
      </c>
      <c r="B14" s="13" t="s">
        <v>91</v>
      </c>
      <c r="C14" s="13" t="s">
        <v>92</v>
      </c>
      <c r="D14" s="13" t="s">
        <v>93</v>
      </c>
      <c r="E14" s="13" t="s">
        <v>94</v>
      </c>
      <c r="F14" s="13" t="s">
        <v>46</v>
      </c>
      <c r="G14" s="13" t="s">
        <v>95</v>
      </c>
      <c r="H14" s="13" t="s">
        <v>48</v>
      </c>
    </row>
    <row r="15" customFormat="false" ht="34.5" hidden="false" customHeight="true" outlineLevel="0" collapsed="false">
      <c r="A15" s="12" t="s">
        <v>41</v>
      </c>
      <c r="B15" s="13" t="s">
        <v>96</v>
      </c>
      <c r="C15" s="13" t="s">
        <v>97</v>
      </c>
      <c r="D15" s="13" t="s">
        <v>98</v>
      </c>
      <c r="E15" s="13" t="s">
        <v>99</v>
      </c>
      <c r="F15" s="13" t="s">
        <v>46</v>
      </c>
      <c r="G15" s="13" t="s">
        <v>100</v>
      </c>
      <c r="H15" s="13" t="s">
        <v>48</v>
      </c>
    </row>
    <row r="17" customFormat="false" ht="15" hidden="false" customHeight="true" outlineLevel="0" collapsed="false">
      <c r="A17" s="16" t="s">
        <v>101</v>
      </c>
      <c r="B17" s="16"/>
      <c r="C17" s="16"/>
      <c r="D17" s="16"/>
      <c r="E17" s="16"/>
      <c r="F17" s="16"/>
      <c r="G17" s="16"/>
      <c r="H17" s="16"/>
    </row>
    <row r="18" customFormat="false" ht="15" hidden="false" customHeight="true" outlineLevel="0" collapsed="false">
      <c r="A18" s="10" t="s">
        <v>102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true" outlineLevel="0" collapsed="false">
      <c r="A19" s="10" t="s">
        <v>103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10" t="s">
        <v>104</v>
      </c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0" t="s">
        <v>105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0" t="s">
        <v>106</v>
      </c>
      <c r="B22" s="10"/>
      <c r="C22" s="10"/>
      <c r="D22" s="10"/>
      <c r="E22" s="10"/>
      <c r="F22" s="10"/>
      <c r="G22" s="10"/>
      <c r="H22" s="10"/>
    </row>
  </sheetData>
  <mergeCells count="9">
    <mergeCell ref="A1:H1"/>
    <mergeCell ref="A2:H2"/>
    <mergeCell ref="A3:H3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8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2" t="s">
        <v>107</v>
      </c>
      <c r="B1" s="2"/>
      <c r="C1" s="2"/>
      <c r="D1" s="2"/>
      <c r="E1" s="2"/>
    </row>
    <row r="2" customFormat="false" ht="15" hidden="false" customHeight="true" outlineLevel="0" collapsed="false">
      <c r="A2" s="10" t="s">
        <v>108</v>
      </c>
      <c r="B2" s="10"/>
      <c r="C2" s="10"/>
      <c r="D2" s="10"/>
      <c r="E2" s="10"/>
    </row>
    <row r="4" customFormat="false" ht="15" hidden="false" customHeight="true" outlineLevel="0" collapsed="false">
      <c r="A4" s="3" t="s">
        <v>109</v>
      </c>
    </row>
    <row r="5" customFormat="false" ht="15" hidden="false" customHeight="true" outlineLevel="0" collapsed="false">
      <c r="A5" s="1" t="s">
        <v>110</v>
      </c>
      <c r="B5" s="17" t="str">
        <f aca="false">Parametri!B5</f>
        <v>SC EXEMPLU SRL</v>
      </c>
    </row>
    <row r="6" customFormat="false" ht="15" hidden="false" customHeight="true" outlineLevel="0" collapsed="false">
      <c r="A6" s="1" t="s">
        <v>22</v>
      </c>
      <c r="B6" s="17" t="str">
        <f aca="false">Parametri!B6</f>
        <v>RO00000000</v>
      </c>
    </row>
    <row r="7" customFormat="false" ht="15" hidden="false" customHeight="true" outlineLevel="0" collapsed="false">
      <c r="A7" s="1" t="s">
        <v>111</v>
      </c>
      <c r="B7" s="14" t="s">
        <v>25</v>
      </c>
    </row>
    <row r="8" customFormat="false" ht="15" hidden="false" customHeight="true" outlineLevel="0" collapsed="false">
      <c r="A8" s="1" t="s">
        <v>112</v>
      </c>
      <c r="B8" s="14" t="s">
        <v>113</v>
      </c>
    </row>
    <row r="10" customFormat="false" ht="15" hidden="false" customHeight="true" outlineLevel="0" collapsed="false">
      <c r="A10" s="3" t="s">
        <v>114</v>
      </c>
    </row>
    <row r="11" customFormat="false" ht="15" hidden="false" customHeight="true" outlineLevel="0" collapsed="false">
      <c r="A11" s="1" t="s">
        <v>115</v>
      </c>
      <c r="B11" s="18" t="n">
        <v>10500</v>
      </c>
    </row>
    <row r="12" customFormat="false" ht="15" hidden="false" customHeight="true" outlineLevel="0" collapsed="false">
      <c r="A12" s="1" t="s">
        <v>116</v>
      </c>
      <c r="B12" s="18" t="n">
        <v>15750</v>
      </c>
    </row>
    <row r="14" customFormat="false" ht="15" hidden="false" customHeight="true" outlineLevel="0" collapsed="false">
      <c r="A14" s="3" t="s">
        <v>117</v>
      </c>
    </row>
    <row r="15" customFormat="false" ht="15" hidden="false" customHeight="true" outlineLevel="0" collapsed="false">
      <c r="A15" s="1" t="s">
        <v>118</v>
      </c>
      <c r="B15" s="14" t="s">
        <v>119</v>
      </c>
    </row>
    <row r="16" customFormat="false" ht="15" hidden="false" customHeight="true" outlineLevel="0" collapsed="false">
      <c r="A16" s="1" t="s">
        <v>120</v>
      </c>
      <c r="B16" s="14" t="s">
        <v>121</v>
      </c>
    </row>
    <row r="17" customFormat="false" ht="15" hidden="false" customHeight="true" outlineLevel="0" collapsed="false">
      <c r="A17" s="1" t="s">
        <v>122</v>
      </c>
      <c r="B17" s="14" t="s">
        <v>123</v>
      </c>
    </row>
    <row r="18" customFormat="false" ht="15" hidden="false" customHeight="true" outlineLevel="0" collapsed="false">
      <c r="A18" s="1" t="s">
        <v>124</v>
      </c>
      <c r="B18" s="14" t="s">
        <v>125</v>
      </c>
    </row>
    <row r="20" customFormat="false" ht="15" hidden="false" customHeight="true" outlineLevel="0" collapsed="false">
      <c r="A20" s="3" t="s">
        <v>126</v>
      </c>
    </row>
    <row r="21" customFormat="false" ht="15" hidden="false" customHeight="true" outlineLevel="0" collapsed="false">
      <c r="A21" s="1" t="s">
        <v>127</v>
      </c>
      <c r="B21" s="19" t="n">
        <f aca="false">B12-B11</f>
        <v>5250</v>
      </c>
    </row>
    <row r="22" customFormat="false" ht="15" hidden="false" customHeight="true" outlineLevel="0" collapsed="false">
      <c r="A22" s="1" t="s">
        <v>128</v>
      </c>
      <c r="B22" s="20" t="str">
        <f aca="false">IF(B21&gt;0,"TVA de plată (4423)","TVA de recuperat (4424)")</f>
        <v>TVA de plată (4423)</v>
      </c>
    </row>
    <row r="23" customFormat="false" ht="15" hidden="false" customHeight="true" outlineLevel="0" collapsed="false">
      <c r="A23" s="1" t="s">
        <v>129</v>
      </c>
      <c r="B23" s="19" t="n">
        <f aca="false">IF(B21&gt;0,B21,0)</f>
        <v>5250</v>
      </c>
    </row>
    <row r="24" customFormat="false" ht="15" hidden="false" customHeight="true" outlineLevel="0" collapsed="false">
      <c r="A24" s="1" t="s">
        <v>130</v>
      </c>
      <c r="B24" s="19" t="n">
        <f aca="false">IF(B21&lt;0,-B21,0)</f>
        <v>0</v>
      </c>
    </row>
    <row r="26" customFormat="false" ht="15" hidden="false" customHeight="true" outlineLevel="0" collapsed="false">
      <c r="A26" s="3" t="s">
        <v>131</v>
      </c>
    </row>
    <row r="27" customFormat="false" ht="15" hidden="false" customHeight="true" outlineLevel="0" collapsed="false">
      <c r="A27" s="1" t="s">
        <v>132</v>
      </c>
      <c r="B27" s="20" t="str">
        <f aca="false">"— închidere TVA " &amp; B7</f>
        <v>— închidere TVA 2026-07</v>
      </c>
    </row>
    <row r="29" customFormat="false" ht="15" hidden="false" customHeight="true" outlineLevel="0" collapsed="false">
      <c r="A29" s="3" t="s">
        <v>133</v>
      </c>
    </row>
    <row r="30" customFormat="false" ht="15" hidden="false" customHeight="true" outlineLevel="0" collapsed="false">
      <c r="A30" s="1" t="s">
        <v>134</v>
      </c>
      <c r="B30" s="1" t="s">
        <v>135</v>
      </c>
    </row>
    <row r="31" customFormat="false" ht="15" hidden="false" customHeight="true" outlineLevel="0" collapsed="false">
      <c r="A31" s="1" t="s">
        <v>136</v>
      </c>
      <c r="B31" s="20" t="str">
        <f aca="false">IF(CatalogModule!A6="DA","ACTIV — jurnalele se generează","INACTIV — jurnalele rămân goale")</f>
        <v>ACTIV — jurnalele se generează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50"/>
  </cols>
  <sheetData>
    <row r="1" customFormat="false" ht="17.25" hidden="false" customHeight="true" outlineLevel="0" collapsed="false">
      <c r="A1" s="2" t="s">
        <v>137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0" t="s">
        <v>138</v>
      </c>
      <c r="B2" s="10"/>
      <c r="C2" s="10"/>
      <c r="D2" s="10"/>
      <c r="E2" s="10"/>
      <c r="F2" s="10"/>
    </row>
    <row r="4" customFormat="false" ht="15" hidden="false" customHeight="true" outlineLevel="0" collapsed="false">
      <c r="A4" s="3" t="s">
        <v>139</v>
      </c>
    </row>
    <row r="5" customFormat="false" ht="15" hidden="false" customHeight="true" outlineLevel="0" collapsed="false">
      <c r="A5" s="11" t="s">
        <v>140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145</v>
      </c>
    </row>
    <row r="6" customFormat="false" ht="15" hidden="false" customHeight="true" outlineLevel="0" collapsed="false">
      <c r="A6" s="21" t="n">
        <v>1</v>
      </c>
      <c r="B6" s="21" t="s">
        <v>121</v>
      </c>
      <c r="C6" s="21" t="s">
        <v>119</v>
      </c>
      <c r="D6" s="21" t="s">
        <v>146</v>
      </c>
      <c r="E6" s="21" t="s">
        <v>147</v>
      </c>
      <c r="F6" s="21" t="s">
        <v>148</v>
      </c>
    </row>
    <row r="7" customFormat="false" ht="15" hidden="false" customHeight="true" outlineLevel="0" collapsed="false">
      <c r="A7" s="21" t="n">
        <v>2</v>
      </c>
      <c r="B7" s="21" t="s">
        <v>121</v>
      </c>
      <c r="C7" s="21" t="s">
        <v>123</v>
      </c>
      <c r="D7" s="21" t="s">
        <v>149</v>
      </c>
      <c r="E7" s="21" t="s">
        <v>150</v>
      </c>
      <c r="F7" s="21" t="s">
        <v>151</v>
      </c>
    </row>
    <row r="8" customFormat="false" ht="15" hidden="false" customHeight="true" outlineLevel="0" collapsed="false">
      <c r="A8" s="21" t="n">
        <v>3</v>
      </c>
      <c r="B8" s="21" t="s">
        <v>125</v>
      </c>
      <c r="C8" s="21" t="s">
        <v>119</v>
      </c>
      <c r="D8" s="21" t="s">
        <v>152</v>
      </c>
      <c r="E8" s="21" t="s">
        <v>153</v>
      </c>
      <c r="F8" s="21" t="s">
        <v>154</v>
      </c>
    </row>
    <row r="10" customFormat="false" ht="15" hidden="false" customHeight="true" outlineLevel="0" collapsed="false">
      <c r="A10" s="3" t="s">
        <v>155</v>
      </c>
    </row>
    <row r="11" customFormat="false" ht="26.25" hidden="false" customHeight="true" outlineLevel="0" collapsed="false">
      <c r="A11" s="11" t="s">
        <v>156</v>
      </c>
      <c r="B11" s="11" t="s">
        <v>157</v>
      </c>
      <c r="C11" s="11" t="s">
        <v>158</v>
      </c>
      <c r="D11" s="11" t="s">
        <v>159</v>
      </c>
    </row>
    <row r="12" customFormat="false" ht="21.75" hidden="false" customHeight="true" outlineLevel="0" collapsed="false">
      <c r="A12" s="21" t="s">
        <v>119</v>
      </c>
      <c r="B12" s="21" t="s">
        <v>160</v>
      </c>
      <c r="C12" s="21" t="s">
        <v>161</v>
      </c>
      <c r="D12" s="21" t="s">
        <v>162</v>
      </c>
    </row>
    <row r="13" customFormat="false" ht="21.75" hidden="false" customHeight="true" outlineLevel="0" collapsed="false">
      <c r="A13" s="21" t="s">
        <v>121</v>
      </c>
      <c r="B13" s="21" t="s">
        <v>163</v>
      </c>
      <c r="C13" s="21" t="s">
        <v>161</v>
      </c>
      <c r="D13" s="21" t="s">
        <v>164</v>
      </c>
    </row>
    <row r="14" customFormat="false" ht="21.75" hidden="false" customHeight="true" outlineLevel="0" collapsed="false">
      <c r="A14" s="21" t="s">
        <v>123</v>
      </c>
      <c r="B14" s="21" t="s">
        <v>165</v>
      </c>
      <c r="C14" s="21" t="s">
        <v>166</v>
      </c>
      <c r="D14" s="21" t="s">
        <v>167</v>
      </c>
    </row>
    <row r="15" customFormat="false" ht="21.75" hidden="false" customHeight="true" outlineLevel="0" collapsed="false">
      <c r="A15" s="21" t="s">
        <v>125</v>
      </c>
      <c r="B15" s="21" t="s">
        <v>168</v>
      </c>
      <c r="C15" s="21" t="s">
        <v>169</v>
      </c>
      <c r="D15" s="21" t="s">
        <v>170</v>
      </c>
    </row>
    <row r="17" customFormat="false" ht="15" hidden="false" customHeight="true" outlineLevel="0" collapsed="false">
      <c r="A17" s="3" t="s">
        <v>171</v>
      </c>
    </row>
    <row r="18" customFormat="false" ht="15" hidden="false" customHeight="true" outlineLevel="0" collapsed="false">
      <c r="A18" s="4" t="s">
        <v>172</v>
      </c>
    </row>
    <row r="19" customFormat="false" ht="15" hidden="false" customHeight="true" outlineLevel="0" collapsed="false">
      <c r="A19" s="4" t="s">
        <v>173</v>
      </c>
    </row>
    <row r="20" customFormat="false" ht="15" hidden="false" customHeight="true" outlineLevel="0" collapsed="false">
      <c r="A20" s="4" t="s">
        <v>174</v>
      </c>
    </row>
    <row r="21" customFormat="false" ht="15" hidden="false" customHeight="true" outlineLevel="0" collapsed="false">
      <c r="A21" s="4" t="s">
        <v>175</v>
      </c>
    </row>
    <row r="22" customFormat="false" ht="15" hidden="false" customHeight="true" outlineLevel="0" collapsed="false">
      <c r="A22" s="4" t="s">
        <v>176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45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45"/>
  </cols>
  <sheetData>
    <row r="1" customFormat="false" ht="17.25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178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6" t="s">
        <v>179</v>
      </c>
      <c r="B4" s="16"/>
      <c r="C4" s="16"/>
      <c r="D4" s="16"/>
      <c r="E4" s="16"/>
      <c r="F4" s="16"/>
      <c r="G4" s="16"/>
    </row>
    <row r="5" customFormat="false" ht="15" hidden="false" customHeight="true" outlineLevel="0" collapsed="false">
      <c r="A5" s="1" t="s">
        <v>180</v>
      </c>
      <c r="B5" s="20" t="str">
        <f aca="false">Declarații_INCHIDERE_TVA!B8</f>
        <v>2026-07-31</v>
      </c>
    </row>
    <row r="7" customFormat="false" ht="15" hidden="false" customHeight="true" outlineLevel="0" collapsed="false">
      <c r="A7" s="22" t="s">
        <v>181</v>
      </c>
    </row>
    <row r="8" customFormat="false" ht="15" hidden="false" customHeight="true" outlineLevel="0" collapsed="false">
      <c r="A8" s="11" t="s">
        <v>182</v>
      </c>
      <c r="B8" s="11" t="s">
        <v>141</v>
      </c>
      <c r="C8" s="11" t="s">
        <v>183</v>
      </c>
      <c r="D8" s="11" t="s">
        <v>184</v>
      </c>
      <c r="E8" s="11" t="s">
        <v>142</v>
      </c>
      <c r="F8" s="11" t="s">
        <v>185</v>
      </c>
      <c r="G8" s="11" t="s">
        <v>186</v>
      </c>
    </row>
    <row r="9" customFormat="false" ht="30" hidden="false" customHeight="true" outlineLevel="0" collapsed="false">
      <c r="A9" s="23" t="n">
        <v>1</v>
      </c>
      <c r="B9" s="23" t="str">
        <f aca="false">Declarații_INCHIDERE_TVA!B16</f>
        <v>4427</v>
      </c>
      <c r="C9" s="24" t="n">
        <f aca="false">MIN(Declarații_INCHIDERE_TVA!B11,Declarații_INCHIDERE_TVA!B12)</f>
        <v>10500</v>
      </c>
      <c r="D9" s="23" t="str">
        <f aca="false">"Stingere TVA colectată " &amp; Declarații_INCHIDERE_TVA!B27</f>
        <v>Stingere TVA colectată — închidere TVA 2026-07</v>
      </c>
      <c r="E9" s="23" t="str">
        <f aca="false">Declarații_INCHIDERE_TVA!B15</f>
        <v>4426</v>
      </c>
      <c r="F9" s="24" t="n">
        <f aca="false">MIN(Declarații_INCHIDERE_TVA!B11,Declarații_INCHIDERE_TVA!B12)</f>
        <v>10500</v>
      </c>
      <c r="G9" s="23" t="str">
        <f aca="false">"Stingere TVA deductibilă " &amp; Declarații_INCHIDERE_TVA!B27</f>
        <v>Stingere TVA deductibilă — închidere TVA 2026-07</v>
      </c>
    </row>
    <row r="10" customFormat="false" ht="30" hidden="false" customHeight="true" outlineLevel="0" collapsed="false">
      <c r="A10" s="23" t="n">
        <v>2</v>
      </c>
      <c r="B10" s="23" t="str">
        <f aca="false">Declarații_INCHIDERE_TVA!B16</f>
        <v>4427</v>
      </c>
      <c r="C10" s="24" t="n">
        <f aca="false">Declarații_INCHIDERE_TVA!B23</f>
        <v>5250</v>
      </c>
      <c r="D10" s="23" t="str">
        <f aca="false">"TVA de plată (sold net) " &amp; Declarații_INCHIDERE_TVA!B27</f>
        <v>TVA de plată (sold net) — închidere TVA 2026-07</v>
      </c>
      <c r="E10" s="23" t="str">
        <f aca="false">Declarații_INCHIDERE_TVA!B17</f>
        <v>4423</v>
      </c>
      <c r="F10" s="24" t="n">
        <f aca="false">Declarații_INCHIDERE_TVA!B23</f>
        <v>5250</v>
      </c>
      <c r="G10" s="23" t="str">
        <f aca="false">"Datorie TVA buget " &amp; Declarații_INCHIDERE_TVA!B27</f>
        <v>Datorie TVA buget — închidere TVA 2026-07</v>
      </c>
    </row>
    <row r="11" customFormat="false" ht="30" hidden="false" customHeight="true" outlineLevel="0" collapsed="false">
      <c r="A11" s="23" t="n">
        <v>3</v>
      </c>
      <c r="B11" s="23" t="str">
        <f aca="false">Declarații_INCHIDERE_TVA!B18</f>
        <v>4424</v>
      </c>
      <c r="C11" s="24" t="n">
        <f aca="false">Declarații_INCHIDERE_TVA!B24</f>
        <v>0</v>
      </c>
      <c r="D11" s="23" t="str">
        <f aca="false">"TVA de recuperat (sold net) " &amp; Declarații_INCHIDERE_TVA!B27</f>
        <v>TVA de recuperat (sold net) — închidere TVA 2026-07</v>
      </c>
      <c r="E11" s="23" t="str">
        <f aca="false">Declarații_INCHIDERE_TVA!B15</f>
        <v>4426</v>
      </c>
      <c r="F11" s="24" t="n">
        <f aca="false">Declarații_INCHIDERE_TVA!B24</f>
        <v>0</v>
      </c>
      <c r="G11" s="23" t="str">
        <f aca="false">"Stingere rest TVA deductibilă " &amp; Declarații_INCHIDERE_TVA!B27</f>
        <v>Stingere rest TVA deductibilă — închidere TVA 2026-07</v>
      </c>
    </row>
    <row r="13" customFormat="false" ht="15" hidden="false" customHeight="true" outlineLevel="0" collapsed="false">
      <c r="A13" s="22" t="s">
        <v>187</v>
      </c>
    </row>
    <row r="14" customFormat="false" ht="15" hidden="false" customHeight="true" outlineLevel="0" collapsed="false">
      <c r="A14" s="1" t="s">
        <v>188</v>
      </c>
      <c r="B14" s="25" t="n">
        <f aca="false">C9+C10+C11</f>
        <v>15750</v>
      </c>
    </row>
    <row r="15" customFormat="false" ht="15" hidden="false" customHeight="true" outlineLevel="0" collapsed="false">
      <c r="A15" s="1" t="s">
        <v>189</v>
      </c>
      <c r="B15" s="25" t="n">
        <f aca="false">F9+F10+F11</f>
        <v>15750</v>
      </c>
    </row>
    <row r="16" customFormat="false" ht="15" hidden="false" customHeight="true" outlineLevel="0" collapsed="false">
      <c r="A16" s="1" t="s">
        <v>190</v>
      </c>
      <c r="B16" s="25" t="n">
        <f aca="false">B14-B15</f>
        <v>0</v>
      </c>
      <c r="C16" s="26" t="str">
        <f aca="false">IF(ABS(B16)&lt;0.01,"OK — notă se închide","EROARE")</f>
        <v>OK — notă se închide</v>
      </c>
    </row>
    <row r="17" customFormat="false" ht="15" hidden="false" customHeight="false" outlineLevel="0" collapsed="false">
      <c r="A17" s="1" t="s">
        <v>191</v>
      </c>
      <c r="B17" s="1" t="n">
        <f aca="false">ABS(Declarații_INCHIDERE_TVA!B12-Declarații_INCHIDERE_TVA!B11)-(C10+C11)</f>
        <v>0</v>
      </c>
      <c r="C17" s="27" t="str">
        <f aca="false">IF(ABS(B17)&lt;0.01,"OK — net repartizat pe 4423/4424","EROARE — net ≠ |4427−4426|")</f>
        <v>OK — net repartizat pe 4423/4424</v>
      </c>
    </row>
    <row r="18" customFormat="false" ht="15" hidden="false" customHeight="true" outlineLevel="0" collapsed="false">
      <c r="A18" s="3" t="s">
        <v>192</v>
      </c>
      <c r="B18" s="1" t="n">
        <f aca="false">IF(AND(C10&gt;0.01,C11&gt;0.01),1,0)</f>
        <v>0</v>
      </c>
      <c r="C18" s="27" t="str">
        <f aca="false">IF(B18=0,"OK — un singur cont de sold","EROARE — 4423 și 4424 ambele &gt;0")</f>
        <v>OK — un singur cont de sold</v>
      </c>
    </row>
    <row r="19" customFormat="false" ht="15" hidden="false" customHeight="true" outlineLevel="0" collapsed="false">
      <c r="A19" s="10" t="s">
        <v>193</v>
      </c>
      <c r="B19" s="10"/>
      <c r="C19" s="10"/>
      <c r="D19" s="10"/>
      <c r="E19" s="10"/>
      <c r="F19" s="10"/>
      <c r="G19" s="10"/>
    </row>
  </sheetData>
  <mergeCells count="4">
    <mergeCell ref="A1:G1"/>
    <mergeCell ref="A2:G2"/>
    <mergeCell ref="A4:G4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6" min="3" style="1" width="12"/>
    <col collapsed="false" customWidth="true" hidden="false" outlineLevel="0" max="7" min="7" style="1" width="50"/>
    <col collapsed="false" customWidth="true" hidden="false" outlineLevel="0" max="8" min="8" style="1" width="20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10" t="s">
        <v>195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11" t="s">
        <v>182</v>
      </c>
      <c r="B4" s="11" t="s">
        <v>196</v>
      </c>
      <c r="C4" s="11" t="s">
        <v>197</v>
      </c>
      <c r="D4" s="11" t="s">
        <v>141</v>
      </c>
      <c r="E4" s="11" t="s">
        <v>142</v>
      </c>
      <c r="F4" s="11" t="s">
        <v>198</v>
      </c>
      <c r="G4" s="11" t="s">
        <v>199</v>
      </c>
      <c r="H4" s="11" t="s">
        <v>200</v>
      </c>
      <c r="I4" s="11" t="s">
        <v>201</v>
      </c>
    </row>
    <row r="5" customFormat="false" ht="15" hidden="false" customHeight="true" outlineLevel="0" collapsed="false">
      <c r="A5" s="23" t="n">
        <v>1</v>
      </c>
      <c r="B5" s="23" t="s">
        <v>202</v>
      </c>
      <c r="C5" s="23" t="str">
        <f aca="false">Declarații_INCHIDERE_TVA!B8</f>
        <v>2026-07-31</v>
      </c>
      <c r="D5" s="23" t="str">
        <f aca="false">Jurnale_INCHIDERE_TVA!B9</f>
        <v>4427</v>
      </c>
      <c r="E5" s="23" t="str">
        <f aca="false">Jurnale_INCHIDERE_TVA!E9</f>
        <v>4426</v>
      </c>
      <c r="F5" s="24" t="n">
        <f aca="false">Jurnale_INCHIDERE_TVA!C9</f>
        <v>10500</v>
      </c>
      <c r="G5" s="23" t="str">
        <f aca="false">Jurnale_INCHIDERE_TVA!D9</f>
        <v>Stingere TVA colectată — închidere TVA 2026-07</v>
      </c>
      <c r="H5" s="23" t="s">
        <v>203</v>
      </c>
      <c r="I5" s="23" t="str">
        <f aca="false">IF(F5&gt;0,"DA","NU")</f>
        <v>DA</v>
      </c>
    </row>
    <row r="6" customFormat="false" ht="15" hidden="false" customHeight="true" outlineLevel="0" collapsed="false">
      <c r="A6" s="23" t="n">
        <v>2</v>
      </c>
      <c r="B6" s="23" t="s">
        <v>202</v>
      </c>
      <c r="C6" s="23" t="str">
        <f aca="false">Declarații_INCHIDERE_TVA!B8</f>
        <v>2026-07-31</v>
      </c>
      <c r="D6" s="23" t="str">
        <f aca="false">Jurnale_INCHIDERE_TVA!B10</f>
        <v>4427</v>
      </c>
      <c r="E6" s="23" t="str">
        <f aca="false">Jurnale_INCHIDERE_TVA!E10</f>
        <v>4423</v>
      </c>
      <c r="F6" s="24" t="n">
        <f aca="false">Jurnale_INCHIDERE_TVA!C10</f>
        <v>5250</v>
      </c>
      <c r="G6" s="23" t="str">
        <f aca="false">Jurnale_INCHIDERE_TVA!D10</f>
        <v>TVA de plată (sold net) — închidere TVA 2026-07</v>
      </c>
      <c r="H6" s="23" t="s">
        <v>203</v>
      </c>
      <c r="I6" s="23" t="str">
        <f aca="false">IF(F6&gt;0,"DA","NU")</f>
        <v>DA</v>
      </c>
    </row>
    <row r="7" customFormat="false" ht="15" hidden="false" customHeight="true" outlineLevel="0" collapsed="false">
      <c r="A7" s="23" t="n">
        <v>3</v>
      </c>
      <c r="B7" s="23" t="s">
        <v>202</v>
      </c>
      <c r="C7" s="23" t="str">
        <f aca="false">Declarații_INCHIDERE_TVA!B8</f>
        <v>2026-07-31</v>
      </c>
      <c r="D7" s="23" t="str">
        <f aca="false">Jurnale_INCHIDERE_TVA!B11</f>
        <v>4424</v>
      </c>
      <c r="E7" s="23" t="str">
        <f aca="false">Jurnale_INCHIDERE_TVA!E11</f>
        <v>4426</v>
      </c>
      <c r="F7" s="24" t="n">
        <f aca="false">Jurnale_INCHIDERE_TVA!C11</f>
        <v>0</v>
      </c>
      <c r="G7" s="23" t="str">
        <f aca="false">Jurnale_INCHIDERE_TVA!D11</f>
        <v>TVA de recuperat (sold net) — închidere TVA 2026-07</v>
      </c>
      <c r="H7" s="23" t="s">
        <v>203</v>
      </c>
      <c r="I7" s="23" t="str">
        <f aca="false">IF(F7&gt;0,"DA","NU")</f>
        <v>NU</v>
      </c>
    </row>
    <row r="9" customFormat="false" ht="15" hidden="false" customHeight="true" outlineLevel="0" collapsed="false">
      <c r="A9" s="1" t="s">
        <v>204</v>
      </c>
      <c r="B9" s="1" t="n">
        <f aca="false">COUNTIF(I5:I7,"DA")</f>
        <v>2</v>
      </c>
    </row>
    <row r="10" customFormat="false" ht="15" hidden="false" customHeight="true" outlineLevel="0" collapsed="false">
      <c r="A10" s="1" t="s">
        <v>205</v>
      </c>
      <c r="B10" s="25" t="n">
        <f aca="false">Jurnale_INCHIDERE_TVA!B16</f>
        <v>0</v>
      </c>
      <c r="C10" s="1" t="str">
        <f aca="false">IF(ABS(B10)&lt;0.01,"OK","EROARE")</f>
        <v>OK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32"/>
  </cols>
  <sheetData>
    <row r="1" customFormat="false" ht="17.25" hidden="false" customHeight="true" outlineLevel="0" collapsed="false">
      <c r="A1" s="2" t="s">
        <v>206</v>
      </c>
      <c r="B1" s="2"/>
      <c r="C1" s="2"/>
      <c r="D1" s="2"/>
      <c r="E1" s="2"/>
    </row>
    <row r="2" customFormat="false" ht="15" hidden="false" customHeight="true" outlineLevel="0" collapsed="false">
      <c r="A2" s="10" t="s">
        <v>207</v>
      </c>
      <c r="B2" s="10"/>
      <c r="C2" s="10"/>
      <c r="D2" s="10"/>
      <c r="E2" s="10"/>
    </row>
    <row r="4" customFormat="false" ht="15" hidden="false" customHeight="true" outlineLevel="0" collapsed="false">
      <c r="A4" s="3" t="s">
        <v>109</v>
      </c>
    </row>
    <row r="5" customFormat="false" ht="15" hidden="false" customHeight="true" outlineLevel="0" collapsed="false">
      <c r="A5" s="1" t="s">
        <v>110</v>
      </c>
      <c r="B5" s="17" t="str">
        <f aca="false">Parametri!B5</f>
        <v>SC EXEMPLU SRL</v>
      </c>
    </row>
    <row r="6" customFormat="false" ht="15" hidden="false" customHeight="true" outlineLevel="0" collapsed="false">
      <c r="A6" s="1" t="s">
        <v>22</v>
      </c>
      <c r="B6" s="17" t="str">
        <f aca="false">Parametri!B6</f>
        <v>RO00000000</v>
      </c>
    </row>
    <row r="7" customFormat="false" ht="15" hidden="false" customHeight="true" outlineLevel="0" collapsed="false">
      <c r="A7" s="1" t="s">
        <v>111</v>
      </c>
      <c r="B7" s="14" t="s">
        <v>25</v>
      </c>
    </row>
    <row r="8" customFormat="false" ht="15" hidden="false" customHeight="true" outlineLevel="0" collapsed="false">
      <c r="A8" s="1" t="s">
        <v>208</v>
      </c>
      <c r="B8" s="14" t="s">
        <v>209</v>
      </c>
    </row>
    <row r="9" customFormat="false" ht="15" hidden="false" customHeight="true" outlineLevel="0" collapsed="false">
      <c r="A9" s="1" t="s">
        <v>210</v>
      </c>
      <c r="B9" s="14" t="s">
        <v>211</v>
      </c>
    </row>
    <row r="10" customFormat="false" ht="15" hidden="false" customHeight="true" outlineLevel="0" collapsed="false">
      <c r="A10" s="1" t="s">
        <v>212</v>
      </c>
      <c r="B10" s="14" t="s">
        <v>213</v>
      </c>
    </row>
    <row r="11" customFormat="false" ht="15" hidden="false" customHeight="true" outlineLevel="0" collapsed="false">
      <c r="A11" s="1" t="s">
        <v>214</v>
      </c>
      <c r="B11" s="14" t="s">
        <v>215</v>
      </c>
    </row>
    <row r="13" customFormat="false" ht="15" hidden="false" customHeight="true" outlineLevel="0" collapsed="false">
      <c r="A13" s="3" t="s">
        <v>216</v>
      </c>
    </row>
    <row r="14" customFormat="false" ht="15" hidden="false" customHeight="true" outlineLevel="0" collapsed="false">
      <c r="A14" s="1" t="s">
        <v>217</v>
      </c>
      <c r="B14" s="18" t="n">
        <v>8000</v>
      </c>
    </row>
    <row r="15" customFormat="false" ht="15" hidden="false" customHeight="true" outlineLevel="0" collapsed="false">
      <c r="A15" s="1" t="s">
        <v>218</v>
      </c>
      <c r="B15" s="28" t="n">
        <v>0.21</v>
      </c>
    </row>
    <row r="16" customFormat="false" ht="15" hidden="false" customHeight="true" outlineLevel="0" collapsed="false">
      <c r="A16" s="1" t="s">
        <v>219</v>
      </c>
      <c r="B16" s="19" t="n">
        <f aca="false">B14*B15</f>
        <v>1680</v>
      </c>
    </row>
    <row r="17" customFormat="false" ht="15" hidden="false" customHeight="true" outlineLevel="0" collapsed="false">
      <c r="A17" s="1" t="s">
        <v>220</v>
      </c>
      <c r="B17" s="19" t="n">
        <f aca="false">B14+B16</f>
        <v>9680</v>
      </c>
    </row>
    <row r="19" customFormat="false" ht="15" hidden="false" customHeight="true" outlineLevel="0" collapsed="false">
      <c r="A19" s="3" t="s">
        <v>221</v>
      </c>
    </row>
    <row r="20" customFormat="false" ht="15" hidden="false" customHeight="true" outlineLevel="0" collapsed="false">
      <c r="A20" s="1" t="s">
        <v>222</v>
      </c>
      <c r="B20" s="14" t="s">
        <v>223</v>
      </c>
    </row>
    <row r="21" customFormat="false" ht="15" hidden="false" customHeight="true" outlineLevel="0" collapsed="false">
      <c r="A21" s="1" t="s">
        <v>224</v>
      </c>
      <c r="B21" s="14" t="s">
        <v>225</v>
      </c>
    </row>
    <row r="22" customFormat="false" ht="15" hidden="false" customHeight="true" outlineLevel="0" collapsed="false">
      <c r="A22" s="1" t="s">
        <v>226</v>
      </c>
      <c r="B22" s="14" t="s">
        <v>227</v>
      </c>
    </row>
    <row r="23" customFormat="false" ht="15" hidden="false" customHeight="true" outlineLevel="0" collapsed="false">
      <c r="A23" s="1" t="s">
        <v>118</v>
      </c>
      <c r="B23" s="14" t="s">
        <v>119</v>
      </c>
    </row>
    <row r="24" customFormat="false" ht="15" hidden="false" customHeight="true" outlineLevel="0" collapsed="false">
      <c r="A24" s="1" t="s">
        <v>228</v>
      </c>
      <c r="B24" s="14" t="s">
        <v>41</v>
      </c>
    </row>
    <row r="26" customFormat="false" ht="15" hidden="false" customHeight="true" outlineLevel="0" collapsed="false">
      <c r="A26" s="3" t="s">
        <v>229</v>
      </c>
    </row>
    <row r="27" customFormat="false" ht="15" hidden="false" customHeight="true" outlineLevel="0" collapsed="false">
      <c r="A27" s="1" t="s">
        <v>230</v>
      </c>
      <c r="B27" s="14" t="s">
        <v>41</v>
      </c>
    </row>
    <row r="28" customFormat="false" ht="15" hidden="false" customHeight="true" outlineLevel="0" collapsed="false">
      <c r="A28" s="1" t="s">
        <v>231</v>
      </c>
      <c r="B28" s="14" t="s">
        <v>55</v>
      </c>
    </row>
    <row r="29" customFormat="false" ht="15" hidden="false" customHeight="true" outlineLevel="0" collapsed="false">
      <c r="A29" s="1" t="s">
        <v>232</v>
      </c>
      <c r="B29" s="20" t="str">
        <f aca="false">IF(AND(B27="DA",B28="NU"),"Cale standard F-02: 32x → stoc","Verifică: dacă ambele DA sau ambele NU, situația nu e tranzit clasic")</f>
        <v>Cale standard F-02: 32x → stoc</v>
      </c>
    </row>
    <row r="31" customFormat="false" ht="15" hidden="false" customHeight="true" outlineLevel="0" collapsed="false">
      <c r="A31" s="3" t="s">
        <v>131</v>
      </c>
    </row>
    <row r="32" customFormat="false" ht="15" hidden="false" customHeight="true" outlineLevel="0" collapsed="false">
      <c r="A32" s="1" t="s">
        <v>132</v>
      </c>
      <c r="B32" s="20" t="str">
        <f aca="false">"— " &amp; B7 &amp; " — " &amp; B10 &amp; " — " &amp; B11</f>
        <v>— 2026-07 — Furnizor DEMO — F-1234/10.07.2026</v>
      </c>
    </row>
    <row r="34" customFormat="false" ht="15" hidden="false" customHeight="true" outlineLevel="0" collapsed="false">
      <c r="A34" s="3" t="s">
        <v>233</v>
      </c>
    </row>
    <row r="35" customFormat="false" ht="15" hidden="false" customHeight="true" outlineLevel="0" collapsed="false">
      <c r="A35" s="1" t="s">
        <v>234</v>
      </c>
      <c r="B35" s="20" t="str">
        <f aca="false">IF(CatalogModule!A7="DA","ACTIV","INACTIV")</f>
        <v>ACTIV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55"/>
  </cols>
  <sheetData>
    <row r="1" customFormat="false" ht="17.25" hidden="false" customHeight="true" outlineLevel="0" collapsed="false">
      <c r="A1" s="2" t="s">
        <v>235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0" t="s">
        <v>236</v>
      </c>
      <c r="B2" s="10"/>
      <c r="C2" s="10"/>
      <c r="D2" s="10"/>
      <c r="E2" s="10"/>
      <c r="F2" s="10"/>
    </row>
    <row r="4" customFormat="false" ht="15" hidden="false" customHeight="true" outlineLevel="0" collapsed="false">
      <c r="A4" s="3" t="s">
        <v>237</v>
      </c>
    </row>
    <row r="5" customFormat="false" ht="15" hidden="false" customHeight="true" outlineLevel="0" collapsed="false">
      <c r="A5" s="11" t="s">
        <v>140</v>
      </c>
      <c r="B5" s="11" t="s">
        <v>238</v>
      </c>
      <c r="C5" s="11" t="s">
        <v>141</v>
      </c>
      <c r="D5" s="11" t="s">
        <v>142</v>
      </c>
      <c r="E5" s="11" t="s">
        <v>198</v>
      </c>
      <c r="F5" s="11" t="s">
        <v>145</v>
      </c>
    </row>
    <row r="6" customFormat="false" ht="15" hidden="false" customHeight="true" outlineLevel="0" collapsed="false">
      <c r="A6" s="21" t="n">
        <v>1</v>
      </c>
      <c r="B6" s="21" t="s">
        <v>239</v>
      </c>
      <c r="C6" s="21" t="s">
        <v>240</v>
      </c>
      <c r="D6" s="21" t="s">
        <v>227</v>
      </c>
      <c r="E6" s="21" t="s">
        <v>241</v>
      </c>
      <c r="F6" s="21" t="s">
        <v>242</v>
      </c>
    </row>
    <row r="7" customFormat="false" ht="15" hidden="false" customHeight="true" outlineLevel="0" collapsed="false">
      <c r="A7" s="21" t="n">
        <v>2</v>
      </c>
      <c r="B7" s="21" t="s">
        <v>243</v>
      </c>
      <c r="C7" s="21" t="s">
        <v>119</v>
      </c>
      <c r="D7" s="21" t="s">
        <v>227</v>
      </c>
      <c r="E7" s="21" t="s">
        <v>244</v>
      </c>
      <c r="F7" s="21" t="s">
        <v>245</v>
      </c>
    </row>
    <row r="8" customFormat="false" ht="15" hidden="false" customHeight="true" outlineLevel="0" collapsed="false">
      <c r="A8" s="21" t="n">
        <v>3</v>
      </c>
      <c r="B8" s="21" t="s">
        <v>246</v>
      </c>
      <c r="C8" s="21" t="s">
        <v>247</v>
      </c>
      <c r="D8" s="21" t="s">
        <v>225</v>
      </c>
      <c r="E8" s="21" t="s">
        <v>241</v>
      </c>
      <c r="F8" s="21" t="s">
        <v>248</v>
      </c>
    </row>
    <row r="10" customFormat="false" ht="15" hidden="false" customHeight="true" outlineLevel="0" collapsed="false">
      <c r="A10" s="3" t="s">
        <v>249</v>
      </c>
    </row>
    <row r="11" customFormat="false" ht="15" hidden="false" customHeight="true" outlineLevel="0" collapsed="false">
      <c r="A11" s="11" t="s">
        <v>156</v>
      </c>
      <c r="B11" s="11" t="s">
        <v>157</v>
      </c>
      <c r="C11" s="11" t="s">
        <v>158</v>
      </c>
      <c r="D11" s="11" t="s">
        <v>250</v>
      </c>
    </row>
    <row r="12" customFormat="false" ht="84.75" hidden="false" customHeight="true" outlineLevel="0" collapsed="false">
      <c r="A12" s="21" t="s">
        <v>225</v>
      </c>
      <c r="B12" s="21" t="s">
        <v>251</v>
      </c>
      <c r="C12" s="21" t="s">
        <v>161</v>
      </c>
      <c r="D12" s="21" t="s">
        <v>252</v>
      </c>
    </row>
    <row r="13" customFormat="false" ht="74.25" hidden="false" customHeight="true" outlineLevel="0" collapsed="false">
      <c r="A13" s="21" t="s">
        <v>253</v>
      </c>
      <c r="B13" s="21" t="s">
        <v>254</v>
      </c>
      <c r="C13" s="21" t="s">
        <v>161</v>
      </c>
      <c r="D13" s="21" t="s">
        <v>255</v>
      </c>
    </row>
    <row r="14" customFormat="false" ht="32.25" hidden="false" customHeight="true" outlineLevel="0" collapsed="false">
      <c r="A14" s="21" t="s">
        <v>256</v>
      </c>
      <c r="B14" s="21" t="s">
        <v>257</v>
      </c>
      <c r="C14" s="21" t="s">
        <v>258</v>
      </c>
      <c r="D14" s="21" t="s">
        <v>259</v>
      </c>
    </row>
    <row r="15" customFormat="false" ht="32.25" hidden="false" customHeight="true" outlineLevel="0" collapsed="false">
      <c r="A15" s="21" t="s">
        <v>227</v>
      </c>
      <c r="B15" s="21" t="s">
        <v>260</v>
      </c>
      <c r="C15" s="21" t="s">
        <v>166</v>
      </c>
      <c r="D15" s="21" t="s">
        <v>261</v>
      </c>
    </row>
    <row r="16" customFormat="false" ht="32.25" hidden="false" customHeight="true" outlineLevel="0" collapsed="false">
      <c r="A16" s="21" t="s">
        <v>119</v>
      </c>
      <c r="B16" s="21" t="s">
        <v>160</v>
      </c>
      <c r="C16" s="21" t="s">
        <v>161</v>
      </c>
      <c r="D16" s="21" t="s">
        <v>262</v>
      </c>
    </row>
    <row r="17" customFormat="false" ht="74.25" hidden="false" customHeight="true" outlineLevel="0" collapsed="false">
      <c r="A17" s="21" t="s">
        <v>263</v>
      </c>
      <c r="B17" s="21" t="s">
        <v>264</v>
      </c>
      <c r="C17" s="21" t="s">
        <v>265</v>
      </c>
      <c r="D17" s="21" t="s">
        <v>266</v>
      </c>
    </row>
    <row r="19" customFormat="false" ht="15" hidden="false" customHeight="true" outlineLevel="0" collapsed="false">
      <c r="A19" s="3" t="s">
        <v>171</v>
      </c>
    </row>
    <row r="20" customFormat="false" ht="15" hidden="false" customHeight="true" outlineLevel="0" collapsed="false">
      <c r="A20" s="4" t="s">
        <v>267</v>
      </c>
    </row>
    <row r="21" customFormat="false" ht="15" hidden="false" customHeight="true" outlineLevel="0" collapsed="false">
      <c r="A21" s="4" t="s">
        <v>268</v>
      </c>
    </row>
    <row r="22" customFormat="false" ht="15" hidden="false" customHeight="true" outlineLevel="0" collapsed="false">
      <c r="A22" s="4" t="s">
        <v>269</v>
      </c>
    </row>
    <row r="23" customFormat="false" ht="15" hidden="false" customHeight="true" outlineLevel="0" collapsed="false">
      <c r="A23" s="4" t="s">
        <v>270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45"/>
  </cols>
  <sheetData>
    <row r="1" customFormat="false" ht="17.25" hidden="false" customHeight="true" outlineLevel="0" collapsed="false">
      <c r="A1" s="2" t="s">
        <v>271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272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6" t="s">
        <v>273</v>
      </c>
      <c r="B4" s="16"/>
      <c r="C4" s="16"/>
      <c r="D4" s="16"/>
      <c r="E4" s="16"/>
      <c r="F4" s="16"/>
      <c r="G4" s="16"/>
    </row>
    <row r="5" customFormat="false" ht="15" hidden="false" customHeight="true" outlineLevel="0" collapsed="false">
      <c r="A5" s="1" t="s">
        <v>180</v>
      </c>
      <c r="B5" s="20" t="str">
        <f aca="false">Declarații_APROV_TRANZIT!B8</f>
        <v>2026-07-10</v>
      </c>
    </row>
    <row r="7" customFormat="false" ht="15" hidden="false" customHeight="true" outlineLevel="0" collapsed="false">
      <c r="A7" s="11" t="s">
        <v>182</v>
      </c>
      <c r="B7" s="11" t="s">
        <v>141</v>
      </c>
      <c r="C7" s="11" t="s">
        <v>183</v>
      </c>
      <c r="D7" s="11" t="s">
        <v>184</v>
      </c>
      <c r="E7" s="11" t="s">
        <v>142</v>
      </c>
      <c r="F7" s="11" t="s">
        <v>185</v>
      </c>
      <c r="G7" s="11" t="s">
        <v>186</v>
      </c>
    </row>
    <row r="8" customFormat="false" ht="27.75" hidden="false" customHeight="true" outlineLevel="0" collapsed="false">
      <c r="A8" s="23" t="n">
        <v>1</v>
      </c>
      <c r="B8" s="23" t="str">
        <f aca="false">Declarații_APROV_TRANZIT!B21</f>
        <v>327</v>
      </c>
      <c r="C8" s="24" t="n">
        <f aca="false">Declarații_APROV_TRANZIT!B14</f>
        <v>8000</v>
      </c>
      <c r="D8" s="23" t="str">
        <f aca="false">"Marfă în curs de aprovizionare " &amp; Declarații_APROV_TRANZIT!B32</f>
        <v>Marfă în curs de aprovizionare — 2026-07 — Furnizor DEMO — F-1234/10.07.2026</v>
      </c>
      <c r="E8" s="23" t="str">
        <f aca="false">Declarații_APROV_TRANZIT!B22</f>
        <v>401.RO</v>
      </c>
      <c r="F8" s="24" t="n">
        <f aca="false">Declarații_APROV_TRANZIT!B14</f>
        <v>8000</v>
      </c>
      <c r="G8" s="23" t="str">
        <f aca="false">"Datorie furnizor (net) " &amp; Declarații_APROV_TRANZIT!B32</f>
        <v>Datorie furnizor (net) — 2026-07 — Furnizor DEMO — F-1234/10.07.2026</v>
      </c>
    </row>
    <row r="9" customFormat="false" ht="27.75" hidden="false" customHeight="true" outlineLevel="0" collapsed="false">
      <c r="A9" s="23" t="n">
        <v>2</v>
      </c>
      <c r="B9" s="23" t="str">
        <f aca="false">Declarații_APROV_TRANZIT!B23</f>
        <v>4426</v>
      </c>
      <c r="C9" s="24" t="n">
        <f aca="false">IF(Declarații_APROV_TRANZIT!B24="DA",Declarații_APROV_TRANZIT!B16,0)</f>
        <v>1680</v>
      </c>
      <c r="D9" s="23" t="str">
        <f aca="false">"TVA deductibilă pe factură în tranzit " &amp; Declarații_APROV_TRANZIT!B32</f>
        <v>TVA deductibilă pe factură în tranzit — 2026-07 — Furnizor DEMO — F-1234/10.07.2026</v>
      </c>
      <c r="E9" s="23" t="str">
        <f aca="false">Declarații_APROV_TRANZIT!B22</f>
        <v>401.RO</v>
      </c>
      <c r="F9" s="24" t="n">
        <f aca="false">IF(Declarații_APROV_TRANZIT!B24="DA",Declarații_APROV_TRANZIT!B16,0)</f>
        <v>1680</v>
      </c>
      <c r="G9" s="23" t="str">
        <f aca="false">"Datorie furnizor (TVA) " &amp; Declarații_APROV_TRANZIT!B32</f>
        <v>Datorie furnizor (TVA) — 2026-07 — Furnizor DEMO — F-1234/10.07.2026</v>
      </c>
    </row>
    <row r="11" customFormat="false" ht="15" hidden="false" customHeight="true" outlineLevel="0" collapsed="false">
      <c r="A11" s="22" t="s">
        <v>274</v>
      </c>
    </row>
    <row r="12" customFormat="false" ht="15" hidden="false" customHeight="true" outlineLevel="0" collapsed="false">
      <c r="A12" s="1" t="s">
        <v>188</v>
      </c>
      <c r="B12" s="25" t="n">
        <f aca="false">C8+C9</f>
        <v>9680</v>
      </c>
    </row>
    <row r="13" customFormat="false" ht="15" hidden="false" customHeight="true" outlineLevel="0" collapsed="false">
      <c r="A13" s="1" t="s">
        <v>189</v>
      </c>
      <c r="B13" s="25" t="n">
        <f aca="false">F8+F9</f>
        <v>9680</v>
      </c>
    </row>
    <row r="14" customFormat="false" ht="15" hidden="false" customHeight="true" outlineLevel="0" collapsed="false">
      <c r="A14" s="1" t="s">
        <v>275</v>
      </c>
      <c r="B14" s="25" t="n">
        <f aca="false">B12-B13</f>
        <v>0</v>
      </c>
      <c r="C14" s="29" t="str">
        <f aca="false">IF(ABS(B14)&lt;0.01,"OK","EROARE")</f>
        <v>OK</v>
      </c>
    </row>
    <row r="16" customFormat="false" ht="15" hidden="false" customHeight="true" outlineLevel="0" collapsed="false">
      <c r="A16" s="16" t="s">
        <v>276</v>
      </c>
      <c r="B16" s="16"/>
      <c r="C16" s="16"/>
      <c r="D16" s="16"/>
      <c r="E16" s="16"/>
      <c r="F16" s="16"/>
      <c r="G16" s="16"/>
    </row>
    <row r="17" customFormat="false" ht="15" hidden="false" customHeight="true" outlineLevel="0" collapsed="false">
      <c r="A17" s="1" t="s">
        <v>180</v>
      </c>
      <c r="B17" s="20" t="str">
        <f aca="false">Declarații_APROV_TRANZIT!B9</f>
        <v>2026-07-18</v>
      </c>
    </row>
    <row r="19" customFormat="false" ht="15" hidden="false" customHeight="true" outlineLevel="0" collapsed="false">
      <c r="A19" s="11" t="s">
        <v>182</v>
      </c>
      <c r="B19" s="11" t="s">
        <v>141</v>
      </c>
      <c r="C19" s="11" t="s">
        <v>183</v>
      </c>
      <c r="D19" s="11" t="s">
        <v>184</v>
      </c>
      <c r="E19" s="11" t="s">
        <v>142</v>
      </c>
      <c r="F19" s="11" t="s">
        <v>185</v>
      </c>
      <c r="G19" s="11" t="s">
        <v>186</v>
      </c>
    </row>
    <row r="20" customFormat="false" ht="27.75" hidden="false" customHeight="true" outlineLevel="0" collapsed="false">
      <c r="A20" s="23" t="n">
        <v>1</v>
      </c>
      <c r="B20" s="23" t="str">
        <f aca="false">Declarații_APROV_TRANZIT!B20</f>
        <v>371</v>
      </c>
      <c r="C20" s="24" t="n">
        <f aca="false">Declarații_APROV_TRANZIT!B14</f>
        <v>8000</v>
      </c>
      <c r="D20" s="23" t="str">
        <f aca="false">"Recepție stoc real (stingere tranzit) " &amp; Declarații_APROV_TRANZIT!B32</f>
        <v>Recepție stoc real (stingere tranzit) — 2026-07 — Furnizor DEMO — F-1234/10.07.2026</v>
      </c>
      <c r="E20" s="23" t="str">
        <f aca="false">Declarații_APROV_TRANZIT!B21</f>
        <v>327</v>
      </c>
      <c r="F20" s="24" t="n">
        <f aca="false">Declarații_APROV_TRANZIT!B14</f>
        <v>8000</v>
      </c>
      <c r="G20" s="23" t="str">
        <f aca="false">"Stingere 32x " &amp; Declarații_APROV_TRANZIT!B32</f>
        <v>Stingere 32x — 2026-07 — Furnizor DEMO — F-1234/10.07.2026</v>
      </c>
    </row>
    <row r="22" customFormat="false" ht="15" hidden="false" customHeight="true" outlineLevel="0" collapsed="false">
      <c r="A22" s="22" t="s">
        <v>277</v>
      </c>
    </row>
    <row r="23" customFormat="false" ht="15" hidden="false" customHeight="true" outlineLevel="0" collapsed="false">
      <c r="A23" s="1" t="s">
        <v>188</v>
      </c>
      <c r="B23" s="25" t="n">
        <f aca="false">C20</f>
        <v>8000</v>
      </c>
    </row>
    <row r="24" customFormat="false" ht="15" hidden="false" customHeight="true" outlineLevel="0" collapsed="false">
      <c r="A24" s="1" t="s">
        <v>189</v>
      </c>
      <c r="B24" s="25" t="n">
        <f aca="false">F20</f>
        <v>8000</v>
      </c>
    </row>
    <row r="25" customFormat="false" ht="15" hidden="false" customHeight="true" outlineLevel="0" collapsed="false">
      <c r="A25" s="1" t="s">
        <v>278</v>
      </c>
      <c r="B25" s="25" t="n">
        <f aca="false">B23-B24</f>
        <v>0</v>
      </c>
      <c r="C25" s="29" t="str">
        <f aca="false">IF(ABS(B25)&lt;0.01,"OK","EROARE")</f>
        <v>OK</v>
      </c>
    </row>
    <row r="27" customFormat="false" ht="15" hidden="false" customHeight="true" outlineLevel="0" collapsed="false">
      <c r="A27" s="3" t="s">
        <v>279</v>
      </c>
    </row>
    <row r="28" customFormat="false" ht="15" hidden="false" customHeight="true" outlineLevel="0" collapsed="false">
      <c r="A28" s="10" t="s">
        <v>280</v>
      </c>
      <c r="B28" s="10"/>
      <c r="C28" s="10"/>
      <c r="D28" s="10"/>
      <c r="E28" s="10"/>
      <c r="F28" s="10"/>
      <c r="G28" s="10"/>
    </row>
    <row r="30" customFormat="false" ht="15" hidden="false" customHeight="true" outlineLevel="0" collapsed="false">
      <c r="A30" s="22" t="s">
        <v>281</v>
      </c>
      <c r="B30" s="1" t="n">
        <f aca="false">ABS(B14)+ABS(B25)</f>
        <v>0</v>
      </c>
      <c r="C30" s="29" t="str">
        <f aca="false">IF(B30&lt;0.01,"OK — toate blocurile se închid","EROARE — cel puțin un bloc dezechilibrat")</f>
        <v>OK — toate blocurile se închid</v>
      </c>
    </row>
  </sheetData>
  <mergeCells count="5">
    <mergeCell ref="A1:G1"/>
    <mergeCell ref="A2:G2"/>
    <mergeCell ref="A4:G4"/>
    <mergeCell ref="A16:G16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6" min="3" style="1" width="12"/>
    <col collapsed="false" customWidth="true" hidden="false" outlineLevel="0" max="7" min="7" style="1" width="55"/>
    <col collapsed="false" customWidth="true" hidden="false" outlineLevel="0" max="8" min="8" style="1" width="22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282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10" t="s">
        <v>283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11" t="s">
        <v>182</v>
      </c>
      <c r="B4" s="11" t="s">
        <v>196</v>
      </c>
      <c r="C4" s="11" t="s">
        <v>197</v>
      </c>
      <c r="D4" s="11" t="s">
        <v>141</v>
      </c>
      <c r="E4" s="11" t="s">
        <v>142</v>
      </c>
      <c r="F4" s="11" t="s">
        <v>198</v>
      </c>
      <c r="G4" s="11" t="s">
        <v>199</v>
      </c>
      <c r="H4" s="11" t="s">
        <v>200</v>
      </c>
      <c r="I4" s="11" t="s">
        <v>201</v>
      </c>
    </row>
    <row r="5" customFormat="false" ht="21.75" hidden="false" customHeight="true" outlineLevel="0" collapsed="false">
      <c r="A5" s="23" t="n">
        <v>1</v>
      </c>
      <c r="B5" s="23" t="s">
        <v>284</v>
      </c>
      <c r="C5" s="23" t="str">
        <f aca="false">Declarații_APROV_TRANZIT!B8</f>
        <v>2026-07-10</v>
      </c>
      <c r="D5" s="23" t="str">
        <f aca="false">Jurnale_APROV_TRANZIT!B8</f>
        <v>327</v>
      </c>
      <c r="E5" s="23" t="str">
        <f aca="false">Jurnale_APROV_TRANZIT!E8</f>
        <v>401.RO</v>
      </c>
      <c r="F5" s="24" t="n">
        <f aca="false">Jurnale_APROV_TRANZIT!C8</f>
        <v>8000</v>
      </c>
      <c r="G5" s="23" t="str">
        <f aca="false">Jurnale_APROV_TRANZIT!D8</f>
        <v>Marfă în curs de aprovizionare — 2026-07 — Furnizor DEMO — F-1234/10.07.2026</v>
      </c>
      <c r="H5" s="23" t="str">
        <f aca="false">Declarații_APROV_TRANZIT!B11</f>
        <v>F-1234/10.07.2026</v>
      </c>
      <c r="I5" s="23" t="str">
        <f aca="false">IF(F5&gt;0,"DA","NU")</f>
        <v>DA</v>
      </c>
    </row>
    <row r="6" customFormat="false" ht="21.75" hidden="false" customHeight="true" outlineLevel="0" collapsed="false">
      <c r="A6" s="23" t="n">
        <v>2</v>
      </c>
      <c r="B6" s="23" t="s">
        <v>284</v>
      </c>
      <c r="C6" s="23" t="str">
        <f aca="false">Declarații_APROV_TRANZIT!B8</f>
        <v>2026-07-10</v>
      </c>
      <c r="D6" s="23" t="str">
        <f aca="false">Jurnale_APROV_TRANZIT!B9</f>
        <v>4426</v>
      </c>
      <c r="E6" s="23" t="str">
        <f aca="false">Jurnale_APROV_TRANZIT!E9</f>
        <v>401.RO</v>
      </c>
      <c r="F6" s="24" t="n">
        <f aca="false">Jurnale_APROV_TRANZIT!C9</f>
        <v>1680</v>
      </c>
      <c r="G6" s="23" t="str">
        <f aca="false">Jurnale_APROV_TRANZIT!D9</f>
        <v>TVA deductibilă pe factură în tranzit — 2026-07 — Furnizor DEMO — F-1234/10.07.2026</v>
      </c>
      <c r="H6" s="23" t="str">
        <f aca="false">Declarații_APROV_TRANZIT!B11</f>
        <v>F-1234/10.07.2026</v>
      </c>
      <c r="I6" s="23" t="str">
        <f aca="false">IF(F6&gt;0,"DA","NU")</f>
        <v>DA</v>
      </c>
    </row>
    <row r="7" customFormat="false" ht="21.75" hidden="false" customHeight="true" outlineLevel="0" collapsed="false">
      <c r="A7" s="23" t="n">
        <v>3</v>
      </c>
      <c r="B7" s="23" t="s">
        <v>285</v>
      </c>
      <c r="C7" s="23" t="str">
        <f aca="false">Declarații_APROV_TRANZIT!B9</f>
        <v>2026-07-18</v>
      </c>
      <c r="D7" s="23" t="str">
        <f aca="false">Jurnale_APROV_TRANZIT!B20</f>
        <v>371</v>
      </c>
      <c r="E7" s="23" t="str">
        <f aca="false">Jurnale_APROV_TRANZIT!E20</f>
        <v>327</v>
      </c>
      <c r="F7" s="24" t="n">
        <f aca="false">Jurnale_APROV_TRANZIT!C20</f>
        <v>8000</v>
      </c>
      <c r="G7" s="23" t="str">
        <f aca="false">Jurnale_APROV_TRANZIT!D20</f>
        <v>Recepție stoc real (stingere tranzit) — 2026-07 — Furnizor DEMO — F-1234/10.07.2026</v>
      </c>
      <c r="H7" s="23" t="s">
        <v>286</v>
      </c>
      <c r="I7" s="23" t="str">
        <f aca="false">IF(F7&gt;0,"DA","NU")</f>
        <v>DA</v>
      </c>
    </row>
    <row r="9" customFormat="false" ht="15" hidden="false" customHeight="true" outlineLevel="0" collapsed="false">
      <c r="A9" s="1" t="s">
        <v>287</v>
      </c>
      <c r="B9" s="1" t="n">
        <f aca="false">COUNTIF(I5:I7,"DA")</f>
        <v>3</v>
      </c>
    </row>
    <row r="10" customFormat="false" ht="15" hidden="false" customHeight="true" outlineLevel="0" collapsed="false">
      <c r="A10" s="1" t="s">
        <v>288</v>
      </c>
      <c r="B10" s="1" t="n">
        <f aca="false">Jurnale_APROV_TRANZIT!B30</f>
        <v>0</v>
      </c>
      <c r="C10" s="1" t="str">
        <f aca="false">IF(ABS(B10)&lt;0.01,"OK","EROARE")</f>
        <v>OK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45"/>
  </cols>
  <sheetData>
    <row r="1" customFormat="false" ht="17.25" hidden="false" customHeight="true" outlineLevel="0" collapsed="false">
      <c r="A1" s="2" t="s">
        <v>289</v>
      </c>
      <c r="B1" s="2"/>
      <c r="C1" s="2"/>
      <c r="D1" s="2"/>
      <c r="E1" s="2"/>
    </row>
    <row r="2" customFormat="false" ht="15" hidden="false" customHeight="true" outlineLevel="0" collapsed="false">
      <c r="A2" s="10" t="s">
        <v>290</v>
      </c>
      <c r="B2" s="10"/>
      <c r="C2" s="10"/>
      <c r="D2" s="10"/>
      <c r="E2" s="10"/>
    </row>
    <row r="4" customFormat="false" ht="15" hidden="false" customHeight="true" outlineLevel="0" collapsed="false">
      <c r="A4" s="3" t="s">
        <v>109</v>
      </c>
    </row>
    <row r="5" customFormat="false" ht="15" hidden="false" customHeight="true" outlineLevel="0" collapsed="false">
      <c r="A5" s="1" t="s">
        <v>110</v>
      </c>
      <c r="B5" s="17" t="str">
        <f aca="false">Parametri!B5</f>
        <v>SC EXEMPLU SRL</v>
      </c>
    </row>
    <row r="6" customFormat="false" ht="15" hidden="false" customHeight="true" outlineLevel="0" collapsed="false">
      <c r="A6" s="1" t="s">
        <v>22</v>
      </c>
      <c r="B6" s="17" t="str">
        <f aca="false">Parametri!B6</f>
        <v>RO00000000</v>
      </c>
    </row>
    <row r="7" customFormat="false" ht="15" hidden="false" customHeight="true" outlineLevel="0" collapsed="false">
      <c r="A7" s="1" t="s">
        <v>111</v>
      </c>
      <c r="B7" s="14" t="s">
        <v>25</v>
      </c>
    </row>
    <row r="9" customFormat="false" ht="15" hidden="false" customHeight="true" outlineLevel="0" collapsed="false">
      <c r="A9" s="3" t="s">
        <v>291</v>
      </c>
    </row>
    <row r="10" customFormat="false" ht="15" hidden="false" customHeight="true" outlineLevel="0" collapsed="false">
      <c r="A10" s="1" t="s">
        <v>292</v>
      </c>
      <c r="B10" s="14" t="s">
        <v>293</v>
      </c>
    </row>
    <row r="11" customFormat="false" ht="15" hidden="false" customHeight="true" outlineLevel="0" collapsed="false">
      <c r="A11" s="1" t="s">
        <v>294</v>
      </c>
      <c r="B11" s="20" t="str">
        <f aca="false">IF(B10="408","Furnizori — facturi nesosite",IF(B10="418","Clienți — facturi de întocmit",IF(B10="581","Viramente interne",IF(B10="473","Operațiuni în curs de clarificare","Tip necunoscut — verifică"))))</f>
        <v>Operațiuni în curs de clarificare</v>
      </c>
    </row>
    <row r="13" customFormat="false" ht="15" hidden="false" customHeight="true" outlineLevel="0" collapsed="false">
      <c r="A13" s="3" t="s">
        <v>295</v>
      </c>
    </row>
    <row r="14" customFormat="false" ht="15" hidden="false" customHeight="true" outlineLevel="0" collapsed="false">
      <c r="A14" s="1" t="s">
        <v>296</v>
      </c>
      <c r="B14" s="14" t="s">
        <v>297</v>
      </c>
    </row>
    <row r="15" customFormat="false" ht="15" hidden="false" customHeight="true" outlineLevel="0" collapsed="false">
      <c r="A15" s="1" t="s">
        <v>198</v>
      </c>
      <c r="B15" s="18" t="n">
        <v>2350</v>
      </c>
    </row>
    <row r="16" customFormat="false" ht="15" hidden="false" customHeight="true" outlineLevel="0" collapsed="false">
      <c r="A16" s="1" t="s">
        <v>298</v>
      </c>
      <c r="B16" s="14" t="s">
        <v>293</v>
      </c>
    </row>
    <row r="17" customFormat="false" ht="15" hidden="false" customHeight="true" outlineLevel="0" collapsed="false">
      <c r="A17" s="1" t="s">
        <v>299</v>
      </c>
      <c r="B17" s="14" t="s">
        <v>300</v>
      </c>
    </row>
    <row r="18" customFormat="false" ht="15" hidden="false" customHeight="true" outlineLevel="0" collapsed="false">
      <c r="A18" s="1" t="s">
        <v>301</v>
      </c>
      <c r="B18" s="14" t="s">
        <v>302</v>
      </c>
    </row>
    <row r="19" customFormat="false" ht="15" hidden="false" customHeight="true" outlineLevel="0" collapsed="false">
      <c r="A19" s="1" t="s">
        <v>303</v>
      </c>
      <c r="B19" s="14" t="s">
        <v>304</v>
      </c>
    </row>
    <row r="21" customFormat="false" ht="15" hidden="false" customHeight="true" outlineLevel="0" collapsed="false">
      <c r="A21" s="3" t="s">
        <v>305</v>
      </c>
    </row>
    <row r="22" customFormat="false" ht="15" hidden="false" customHeight="true" outlineLevel="0" collapsed="false">
      <c r="A22" s="1" t="s">
        <v>306</v>
      </c>
      <c r="B22" s="14" t="s">
        <v>307</v>
      </c>
    </row>
    <row r="23" customFormat="false" ht="15" hidden="false" customHeight="true" outlineLevel="0" collapsed="false">
      <c r="A23" s="1" t="s">
        <v>308</v>
      </c>
      <c r="B23" s="14" t="s">
        <v>309</v>
      </c>
    </row>
    <row r="24" customFormat="false" ht="15" hidden="false" customHeight="true" outlineLevel="0" collapsed="false">
      <c r="A24" s="1" t="s">
        <v>310</v>
      </c>
      <c r="B24" s="14" t="s">
        <v>311</v>
      </c>
    </row>
    <row r="26" customFormat="false" ht="15" hidden="false" customHeight="true" outlineLevel="0" collapsed="false">
      <c r="A26" s="3" t="s">
        <v>131</v>
      </c>
    </row>
    <row r="27" customFormat="false" ht="15" hidden="false" customHeight="true" outlineLevel="0" collapsed="false">
      <c r="A27" s="1" t="s">
        <v>132</v>
      </c>
      <c r="B27" s="20" t="str">
        <f aca="false">"— " &amp; B7 &amp; " — " &amp; B10 &amp; " — " &amp; B19</f>
        <v>— 2026-07 — 473 — Extras bancă 15.07 — sumă neidentificată</v>
      </c>
    </row>
    <row r="29" customFormat="false" ht="15" hidden="false" customHeight="true" outlineLevel="0" collapsed="false">
      <c r="A29" s="3" t="s">
        <v>133</v>
      </c>
    </row>
    <row r="30" customFormat="false" ht="15" hidden="false" customHeight="true" outlineLevel="0" collapsed="false">
      <c r="A30" s="1" t="s">
        <v>312</v>
      </c>
      <c r="B30" s="20" t="str">
        <f aca="false">IF(CatalogModule!A14="DA","ACTIV","INACTIV")</f>
        <v>ACTIV</v>
      </c>
    </row>
    <row r="31" customFormat="false" ht="15" hidden="false" customHeight="true" outlineLevel="0" collapsed="false">
      <c r="A31" s="1" t="s">
        <v>313</v>
      </c>
      <c r="B31" s="20" t="str">
        <f aca="false">IF(B10=473,"Sold 473 la 31.12 = suspect — clarificare obligatorie","—")</f>
        <v>—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32"/>
    <col collapsed="false" customWidth="true" hidden="false" outlineLevel="0" max="5" min="5" style="1" width="28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314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0" t="s">
        <v>315</v>
      </c>
      <c r="B2" s="10"/>
      <c r="C2" s="10"/>
      <c r="D2" s="10"/>
      <c r="E2" s="10"/>
      <c r="F2" s="10"/>
    </row>
    <row r="4" customFormat="false" ht="15" hidden="false" customHeight="true" outlineLevel="0" collapsed="false">
      <c r="A4" s="3" t="s">
        <v>316</v>
      </c>
    </row>
    <row r="5" customFormat="false" ht="15" hidden="false" customHeight="true" outlineLevel="0" collapsed="false">
      <c r="A5" s="11" t="s">
        <v>36</v>
      </c>
      <c r="B5" s="11" t="s">
        <v>157</v>
      </c>
      <c r="C5" s="11" t="s">
        <v>158</v>
      </c>
      <c r="D5" s="11" t="s">
        <v>317</v>
      </c>
      <c r="E5" s="11" t="s">
        <v>318</v>
      </c>
      <c r="F5" s="11" t="s">
        <v>319</v>
      </c>
    </row>
    <row r="6" customFormat="false" ht="15" hidden="false" customHeight="true" outlineLevel="0" collapsed="false">
      <c r="A6" s="30" t="s">
        <v>263</v>
      </c>
      <c r="B6" s="30" t="s">
        <v>264</v>
      </c>
      <c r="C6" s="30" t="s">
        <v>320</v>
      </c>
      <c r="D6" s="30" t="s">
        <v>321</v>
      </c>
      <c r="E6" s="30" t="s">
        <v>322</v>
      </c>
      <c r="F6" s="30" t="s">
        <v>323</v>
      </c>
    </row>
    <row r="7" customFormat="false" ht="15" hidden="false" customHeight="true" outlineLevel="0" collapsed="false">
      <c r="A7" s="30" t="s">
        <v>324</v>
      </c>
      <c r="B7" s="30" t="s">
        <v>325</v>
      </c>
      <c r="C7" s="30" t="s">
        <v>320</v>
      </c>
      <c r="D7" s="30" t="s">
        <v>326</v>
      </c>
      <c r="E7" s="30" t="s">
        <v>327</v>
      </c>
      <c r="F7" s="30" t="s">
        <v>328</v>
      </c>
    </row>
    <row r="8" customFormat="false" ht="15" hidden="false" customHeight="true" outlineLevel="0" collapsed="false">
      <c r="A8" s="30" t="s">
        <v>329</v>
      </c>
      <c r="B8" s="30" t="s">
        <v>330</v>
      </c>
      <c r="C8" s="30" t="s">
        <v>320</v>
      </c>
      <c r="D8" s="30" t="s">
        <v>331</v>
      </c>
      <c r="E8" s="30" t="s">
        <v>332</v>
      </c>
      <c r="F8" s="30" t="s">
        <v>333</v>
      </c>
    </row>
    <row r="9" customFormat="false" ht="15" hidden="false" customHeight="true" outlineLevel="0" collapsed="false">
      <c r="A9" s="30" t="s">
        <v>293</v>
      </c>
      <c r="B9" s="30" t="s">
        <v>334</v>
      </c>
      <c r="C9" s="30" t="s">
        <v>320</v>
      </c>
      <c r="D9" s="30" t="s">
        <v>335</v>
      </c>
      <c r="E9" s="30" t="s">
        <v>336</v>
      </c>
      <c r="F9" s="30" t="s">
        <v>337</v>
      </c>
    </row>
    <row r="11" customFormat="false" ht="15" hidden="false" customHeight="true" outlineLevel="0" collapsed="false">
      <c r="A11" s="3" t="s">
        <v>338</v>
      </c>
    </row>
    <row r="12" customFormat="false" ht="15" hidden="false" customHeight="true" outlineLevel="0" collapsed="false">
      <c r="A12" s="11" t="s">
        <v>140</v>
      </c>
      <c r="B12" s="11" t="s">
        <v>238</v>
      </c>
      <c r="C12" s="11" t="s">
        <v>339</v>
      </c>
      <c r="D12" s="11" t="s">
        <v>144</v>
      </c>
    </row>
    <row r="13" customFormat="false" ht="42.75" hidden="false" customHeight="true" outlineLevel="0" collapsed="false">
      <c r="A13" s="21" t="n">
        <v>1</v>
      </c>
      <c r="B13" s="21" t="s">
        <v>340</v>
      </c>
      <c r="C13" s="21" t="s">
        <v>341</v>
      </c>
      <c r="D13" s="21" t="s">
        <v>342</v>
      </c>
    </row>
    <row r="14" customFormat="false" ht="42.75" hidden="false" customHeight="true" outlineLevel="0" collapsed="false">
      <c r="A14" s="21" t="n">
        <v>2</v>
      </c>
      <c r="B14" s="21" t="s">
        <v>343</v>
      </c>
      <c r="C14" s="21" t="s">
        <v>344</v>
      </c>
      <c r="D14" s="21" t="s">
        <v>345</v>
      </c>
    </row>
    <row r="16" customFormat="false" ht="15" hidden="false" customHeight="true" outlineLevel="0" collapsed="false">
      <c r="A16" s="3" t="s">
        <v>171</v>
      </c>
    </row>
    <row r="17" customFormat="false" ht="15" hidden="false" customHeight="true" outlineLevel="0" collapsed="false">
      <c r="A17" s="4" t="s">
        <v>346</v>
      </c>
    </row>
    <row r="18" customFormat="false" ht="15" hidden="false" customHeight="true" outlineLevel="0" collapsed="false">
      <c r="A18" s="4" t="s">
        <v>347</v>
      </c>
    </row>
    <row r="19" customFormat="false" ht="15" hidden="false" customHeight="true" outlineLevel="0" collapsed="false">
      <c r="A19" s="4" t="s">
        <v>348</v>
      </c>
    </row>
    <row r="20" customFormat="false" ht="15" hidden="false" customHeight="true" outlineLevel="0" collapsed="false">
      <c r="A20" s="4" t="s">
        <v>349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50"/>
  </cols>
  <sheetData>
    <row r="1" customFormat="false" ht="17.25" hidden="false" customHeight="true" outlineLevel="0" collapsed="false">
      <c r="A1" s="2" t="s">
        <v>350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351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6" t="s">
        <v>352</v>
      </c>
      <c r="B4" s="16"/>
      <c r="C4" s="16"/>
      <c r="D4" s="16"/>
      <c r="E4" s="16"/>
      <c r="F4" s="16"/>
      <c r="G4" s="16"/>
    </row>
    <row r="5" customFormat="false" ht="15" hidden="false" customHeight="true" outlineLevel="0" collapsed="false">
      <c r="A5" s="1" t="s">
        <v>353</v>
      </c>
      <c r="B5" s="20" t="str">
        <f aca="false">Declarații_INTERMEDIAR!B14</f>
        <v>2026-07-15</v>
      </c>
    </row>
    <row r="6" customFormat="false" ht="15" hidden="false" customHeight="true" outlineLevel="0" collapsed="false">
      <c r="A6" s="1" t="s">
        <v>354</v>
      </c>
      <c r="B6" s="20" t="str">
        <f aca="false">Declarații_INTERMEDIAR!B10 &amp; " — " &amp; Declarații_INTERMEDIAR!B11</f>
        <v>473 — Operațiuni în curs de clarificare</v>
      </c>
    </row>
    <row r="8" customFormat="false" ht="15" hidden="false" customHeight="true" outlineLevel="0" collapsed="false">
      <c r="A8" s="11" t="s">
        <v>182</v>
      </c>
      <c r="B8" s="11" t="s">
        <v>141</v>
      </c>
      <c r="C8" s="11" t="s">
        <v>183</v>
      </c>
      <c r="D8" s="11" t="s">
        <v>184</v>
      </c>
      <c r="E8" s="11" t="s">
        <v>142</v>
      </c>
      <c r="F8" s="11" t="s">
        <v>185</v>
      </c>
      <c r="G8" s="11" t="s">
        <v>186</v>
      </c>
    </row>
    <row r="9" customFormat="false" ht="31.5" hidden="false" customHeight="true" outlineLevel="0" collapsed="false">
      <c r="A9" s="23" t="n">
        <v>1</v>
      </c>
      <c r="B9" s="23" t="str">
        <f aca="false">IF(Declarații_INTERMEDIAR!B18="Cr_intermediar",Declarații_INTERMEDIAR!B17,Declarații_INTERMEDIAR!B16)</f>
        <v>5121</v>
      </c>
      <c r="C9" s="24" t="n">
        <f aca="false">Declarații_INTERMEDIAR!B15</f>
        <v>2350</v>
      </c>
      <c r="D9" s="23" t="str">
        <f aca="false">IF(Declarații_INTERMEDIAR!B18="Cr_intermediar","Contrapartidă deschidere ","Deschidere intermediar ") &amp; Declarații_INTERMEDIAR!B27</f>
        <v>Contrapartidă deschidere — 2026-07 — 473 — Extras bancă 15.07 — sumă neidentificată</v>
      </c>
      <c r="E9" s="23" t="str">
        <f aca="false">IF(Declarații_INTERMEDIAR!B18="Cr_intermediar",Declarații_INTERMEDIAR!B16,Declarații_INTERMEDIAR!B17)</f>
        <v>473</v>
      </c>
      <c r="F9" s="24" t="n">
        <f aca="false">Declarații_INTERMEDIAR!B15</f>
        <v>2350</v>
      </c>
      <c r="G9" s="23" t="str">
        <f aca="false">IF(Declarații_INTERMEDIAR!B18="Cr_intermediar","Deschidere intermediar ","Contrapartidă deschidere ") &amp; Declarații_INTERMEDIAR!B27</f>
        <v>Deschidere intermediar — 2026-07 — 473 — Extras bancă 15.07 — sumă neidentificată</v>
      </c>
    </row>
    <row r="11" customFormat="false" ht="15" hidden="false" customHeight="true" outlineLevel="0" collapsed="false">
      <c r="A11" s="1" t="s">
        <v>275</v>
      </c>
      <c r="B11" s="25" t="n">
        <f aca="false">C9-F9</f>
        <v>0</v>
      </c>
      <c r="C11" s="29" t="str">
        <f aca="false">IF(ABS(B11)&lt;0.01,"OK","EROARE")</f>
        <v>OK</v>
      </c>
    </row>
    <row r="13" customFormat="false" ht="15" hidden="false" customHeight="true" outlineLevel="0" collapsed="false">
      <c r="A13" s="16" t="s">
        <v>355</v>
      </c>
      <c r="B13" s="16"/>
      <c r="C13" s="16"/>
      <c r="D13" s="16"/>
      <c r="E13" s="16"/>
      <c r="F13" s="16"/>
      <c r="G13" s="16"/>
    </row>
    <row r="14" customFormat="false" ht="15" hidden="false" customHeight="true" outlineLevel="0" collapsed="false">
      <c r="A14" s="1" t="s">
        <v>353</v>
      </c>
      <c r="B14" s="20" t="str">
        <f aca="false">Declarații_INTERMEDIAR!B22</f>
        <v>2026-07-22</v>
      </c>
    </row>
    <row r="16" customFormat="false" ht="15" hidden="false" customHeight="true" outlineLevel="0" collapsed="false">
      <c r="A16" s="11" t="s">
        <v>182</v>
      </c>
      <c r="B16" s="11" t="s">
        <v>141</v>
      </c>
      <c r="C16" s="11" t="s">
        <v>183</v>
      </c>
      <c r="D16" s="11" t="s">
        <v>184</v>
      </c>
      <c r="E16" s="11" t="s">
        <v>142</v>
      </c>
      <c r="F16" s="11" t="s">
        <v>185</v>
      </c>
      <c r="G16" s="11" t="s">
        <v>186</v>
      </c>
    </row>
    <row r="17" customFormat="false" ht="31.5" hidden="false" customHeight="true" outlineLevel="0" collapsed="false">
      <c r="A17" s="23" t="n">
        <v>1</v>
      </c>
      <c r="B17" s="23" t="str">
        <f aca="false">IF(Declarații_INTERMEDIAR!B18="Cr_intermediar",Declarații_INTERMEDIAR!B16,Declarații_INTERMEDIAR!B23)</f>
        <v>473</v>
      </c>
      <c r="C17" s="24" t="n">
        <f aca="false">Declarații_INTERMEDIAR!B15</f>
        <v>2350</v>
      </c>
      <c r="D17" s="23" t="str">
        <f aca="false">IF(Declarații_INTERMEDIAR!B18="Cr_intermediar","Stingere intermediar ","Cont final (stingere) ") &amp; Declarații_INTERMEDIAR!B27</f>
        <v>Stingere intermediar — 2026-07 — 473 — Extras bancă 15.07 — sumă neidentificată</v>
      </c>
      <c r="E17" s="23" t="str">
        <f aca="false">IF(Declarații_INTERMEDIAR!B18="Cr_intermediar",Declarații_INTERMEDIAR!B23,Declarații_INTERMEDIAR!B16)</f>
        <v>411.RO</v>
      </c>
      <c r="F17" s="24" t="n">
        <f aca="false">Declarații_INTERMEDIAR!B15</f>
        <v>2350</v>
      </c>
      <c r="G17" s="23" t="str">
        <f aca="false">IF(Declarații_INTERMEDIAR!B18="Cr_intermediar","Cont final (stingere) ","Stingere intermediar ") &amp; Declarații_INTERMEDIAR!B27</f>
        <v>Cont final (stingere) — 2026-07 — 473 — Extras bancă 15.07 — sumă neidentificată</v>
      </c>
    </row>
    <row r="19" customFormat="false" ht="15" hidden="false" customHeight="true" outlineLevel="0" collapsed="false">
      <c r="A19" s="1" t="s">
        <v>278</v>
      </c>
      <c r="B19" s="25" t="n">
        <f aca="false">C17-F17</f>
        <v>0</v>
      </c>
      <c r="C19" s="29" t="str">
        <f aca="false">IF(ABS(B19)&lt;0.01,"OK","EROARE")</f>
        <v>OK</v>
      </c>
    </row>
    <row r="21" customFormat="false" ht="15" hidden="false" customHeight="true" outlineLevel="0" collapsed="false">
      <c r="A21" s="3" t="s">
        <v>356</v>
      </c>
    </row>
    <row r="22" customFormat="false" ht="15" hidden="false" customHeight="true" outlineLevel="0" collapsed="false">
      <c r="A22" s="10" t="s">
        <v>357</v>
      </c>
      <c r="B22" s="10"/>
      <c r="C22" s="10"/>
      <c r="D22" s="10"/>
      <c r="E22" s="10"/>
      <c r="F22" s="10"/>
      <c r="G22" s="10"/>
    </row>
    <row r="24" customFormat="false" ht="15" hidden="false" customHeight="true" outlineLevel="0" collapsed="false">
      <c r="A24" s="31" t="s">
        <v>288</v>
      </c>
      <c r="B24" s="1" t="n">
        <f aca="false">ABS(B11)+ABS(B19)</f>
        <v>0</v>
      </c>
      <c r="C24" s="29" t="str">
        <f aca="false">IF(B24&lt;0.01,"OK — toate blocurile se închid","EROARE — cel puțin un bloc dezechilibrat")</f>
        <v>OK — toate blocurile se închid</v>
      </c>
    </row>
  </sheetData>
  <mergeCells count="5">
    <mergeCell ref="A1:G1"/>
    <mergeCell ref="A2:G2"/>
    <mergeCell ref="A4:G4"/>
    <mergeCell ref="A13:G13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6" min="3" style="1" width="12"/>
    <col collapsed="false" customWidth="true" hidden="false" outlineLevel="0" max="7" min="7" style="1" width="55"/>
    <col collapsed="false" customWidth="true" hidden="false" outlineLevel="0" max="8" min="8" style="1" width="40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358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10" t="s">
        <v>359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11" t="s">
        <v>182</v>
      </c>
      <c r="B4" s="11" t="s">
        <v>196</v>
      </c>
      <c r="C4" s="11" t="s">
        <v>197</v>
      </c>
      <c r="D4" s="11" t="s">
        <v>141</v>
      </c>
      <c r="E4" s="11" t="s">
        <v>142</v>
      </c>
      <c r="F4" s="11" t="s">
        <v>198</v>
      </c>
      <c r="G4" s="11" t="s">
        <v>199</v>
      </c>
      <c r="H4" s="11" t="s">
        <v>200</v>
      </c>
      <c r="I4" s="11" t="s">
        <v>201</v>
      </c>
    </row>
    <row r="5" customFormat="false" ht="21.75" hidden="false" customHeight="true" outlineLevel="0" collapsed="false">
      <c r="A5" s="23" t="n">
        <v>1</v>
      </c>
      <c r="B5" s="23" t="s">
        <v>360</v>
      </c>
      <c r="C5" s="23" t="str">
        <f aca="false">Declarații_INTERMEDIAR!B14</f>
        <v>2026-07-15</v>
      </c>
      <c r="D5" s="23" t="str">
        <f aca="false">Jurnale_INTERMEDIAR!B9</f>
        <v>5121</v>
      </c>
      <c r="E5" s="23" t="str">
        <f aca="false">Jurnale_INTERMEDIAR!E9</f>
        <v>473</v>
      </c>
      <c r="F5" s="24" t="n">
        <f aca="false">Jurnale_INTERMEDIAR!C9</f>
        <v>2350</v>
      </c>
      <c r="G5" s="23" t="str">
        <f aca="false">Jurnale_INTERMEDIAR!D9</f>
        <v>Contrapartidă deschidere — 2026-07 — 473 — Extras bancă 15.07 — sumă neidentificată</v>
      </c>
      <c r="H5" s="23" t="str">
        <f aca="false">Declarații_INTERMEDIAR!B19</f>
        <v>Extras bancă 15.07 — sumă neidentificată</v>
      </c>
      <c r="I5" s="23" t="str">
        <f aca="false">IF(F5&gt;0,"DA","NU")</f>
        <v>DA</v>
      </c>
    </row>
    <row r="6" customFormat="false" ht="21.75" hidden="false" customHeight="true" outlineLevel="0" collapsed="false">
      <c r="A6" s="23" t="n">
        <v>2</v>
      </c>
      <c r="B6" s="23" t="s">
        <v>361</v>
      </c>
      <c r="C6" s="23" t="str">
        <f aca="false">Declarații_INTERMEDIAR!B22</f>
        <v>2026-07-22</v>
      </c>
      <c r="D6" s="23" t="str">
        <f aca="false">Jurnale_INTERMEDIAR!B17</f>
        <v>473</v>
      </c>
      <c r="E6" s="23" t="str">
        <f aca="false">Jurnale_INTERMEDIAR!E17</f>
        <v>411.RO</v>
      </c>
      <c r="F6" s="24" t="n">
        <f aca="false">Jurnale_INTERMEDIAR!C17</f>
        <v>2350</v>
      </c>
      <c r="G6" s="23" t="str">
        <f aca="false">Jurnale_INTERMEDIAR!D17</f>
        <v>Stingere intermediar — 2026-07 — 473 — Extras bancă 15.07 — sumă neidentificată</v>
      </c>
      <c r="H6" s="23" t="str">
        <f aca="false">Declarații_INTERMEDIAR!B24</f>
        <v>Identificat: client X, factura Y</v>
      </c>
      <c r="I6" s="23" t="str">
        <f aca="false">IF(F6&gt;0,"DA","NU")</f>
        <v>DA</v>
      </c>
    </row>
    <row r="8" customFormat="false" ht="15" hidden="false" customHeight="true" outlineLevel="0" collapsed="false">
      <c r="A8" s="1" t="s">
        <v>287</v>
      </c>
      <c r="B8" s="1" t="n">
        <f aca="false">COUNTIF(I5:I6,"DA")</f>
        <v>2</v>
      </c>
    </row>
    <row r="9" customFormat="false" ht="15" hidden="false" customHeight="true" outlineLevel="0" collapsed="false">
      <c r="A9" s="1" t="s">
        <v>288</v>
      </c>
      <c r="B9" s="1" t="n">
        <f aca="false">Jurnale_INTERMEDIAR!B24</f>
        <v>0</v>
      </c>
      <c r="C9" s="1" t="str">
        <f aca="false">IF(ABS(B9)&lt;0.01,"OK","EROARE")</f>
        <v>OK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8"/>
  </cols>
  <sheetData>
    <row r="1" customFormat="false" ht="17.25" hidden="false" customHeight="true" outlineLevel="0" collapsed="false">
      <c r="A1" s="2" t="s">
        <v>362</v>
      </c>
      <c r="B1" s="2"/>
      <c r="C1" s="2"/>
      <c r="D1" s="2"/>
      <c r="E1" s="2"/>
    </row>
    <row r="2" customFormat="false" ht="15" hidden="false" customHeight="true" outlineLevel="0" collapsed="false">
      <c r="A2" s="10" t="s">
        <v>363</v>
      </c>
      <c r="B2" s="10"/>
      <c r="C2" s="10"/>
      <c r="D2" s="10"/>
      <c r="E2" s="10"/>
    </row>
    <row r="4" customFormat="false" ht="15" hidden="false" customHeight="true" outlineLevel="0" collapsed="false">
      <c r="A4" s="3" t="s">
        <v>109</v>
      </c>
    </row>
    <row r="5" customFormat="false" ht="15" hidden="false" customHeight="true" outlineLevel="0" collapsed="false">
      <c r="A5" s="1" t="s">
        <v>110</v>
      </c>
      <c r="B5" s="17" t="str">
        <f aca="false">Parametri!B5</f>
        <v>SC EXEMPLU SRL</v>
      </c>
    </row>
    <row r="6" customFormat="false" ht="15" hidden="false" customHeight="true" outlineLevel="0" collapsed="false">
      <c r="A6" s="1" t="s">
        <v>22</v>
      </c>
      <c r="B6" s="17" t="str">
        <f aca="false">Parametri!B6</f>
        <v>RO00000000</v>
      </c>
    </row>
    <row r="7" customFormat="false" ht="15" hidden="false" customHeight="true" outlineLevel="0" collapsed="false">
      <c r="A7" s="1" t="s">
        <v>364</v>
      </c>
      <c r="B7" s="14" t="n">
        <v>2026</v>
      </c>
    </row>
    <row r="8" customFormat="false" ht="15" hidden="false" customHeight="true" outlineLevel="0" collapsed="false">
      <c r="A8" s="1" t="s">
        <v>365</v>
      </c>
      <c r="B8" s="14" t="s">
        <v>366</v>
      </c>
    </row>
    <row r="10" customFormat="false" ht="15" hidden="false" customHeight="true" outlineLevel="0" collapsed="false">
      <c r="A10" s="3" t="s">
        <v>367</v>
      </c>
    </row>
    <row r="11" customFormat="false" ht="15" hidden="false" customHeight="true" outlineLevel="0" collapsed="false">
      <c r="A11" s="1" t="s">
        <v>368</v>
      </c>
      <c r="B11" s="18" t="n">
        <v>185000</v>
      </c>
    </row>
    <row r="12" customFormat="false" ht="15" hidden="false" customHeight="true" outlineLevel="0" collapsed="false">
      <c r="A12" s="1" t="s">
        <v>369</v>
      </c>
      <c r="B12" s="18" t="n">
        <v>245000</v>
      </c>
    </row>
    <row r="14" customFormat="false" ht="15" hidden="false" customHeight="true" outlineLevel="0" collapsed="false">
      <c r="A14" s="3" t="s">
        <v>370</v>
      </c>
    </row>
    <row r="15" customFormat="false" ht="15" hidden="false" customHeight="true" outlineLevel="0" collapsed="false">
      <c r="A15" s="1" t="s">
        <v>371</v>
      </c>
      <c r="B15" s="14" t="s">
        <v>372</v>
      </c>
    </row>
    <row r="16" customFormat="false" ht="15" hidden="false" customHeight="true" outlineLevel="0" collapsed="false">
      <c r="A16" s="1" t="s">
        <v>373</v>
      </c>
      <c r="B16" s="18" t="n">
        <v>60000</v>
      </c>
    </row>
    <row r="17" customFormat="false" ht="15" hidden="false" customHeight="true" outlineLevel="0" collapsed="false">
      <c r="A17" s="1" t="s">
        <v>374</v>
      </c>
      <c r="B17" s="32" t="n">
        <v>0.16</v>
      </c>
    </row>
    <row r="18" customFormat="false" ht="15" hidden="false" customHeight="true" outlineLevel="0" collapsed="false">
      <c r="A18" s="1" t="s">
        <v>375</v>
      </c>
      <c r="B18" s="19" t="n">
        <f aca="false">B16*B17</f>
        <v>9600</v>
      </c>
    </row>
    <row r="19" customFormat="false" ht="15" hidden="false" customHeight="true" outlineLevel="0" collapsed="false">
      <c r="A19" s="1" t="s">
        <v>376</v>
      </c>
      <c r="B19" s="14" t="s">
        <v>377</v>
      </c>
    </row>
    <row r="20" customFormat="false" ht="15" hidden="false" customHeight="true" outlineLevel="0" collapsed="false">
      <c r="A20" s="1" t="s">
        <v>378</v>
      </c>
      <c r="B20" s="14" t="s">
        <v>379</v>
      </c>
    </row>
    <row r="22" customFormat="false" ht="15" hidden="false" customHeight="true" outlineLevel="0" collapsed="false">
      <c r="A22" s="3" t="s">
        <v>380</v>
      </c>
    </row>
    <row r="23" customFormat="false" ht="15" hidden="false" customHeight="true" outlineLevel="0" collapsed="false">
      <c r="A23" s="1" t="s">
        <v>381</v>
      </c>
      <c r="B23" s="19" t="n">
        <f aca="false">B12-B11</f>
        <v>60000</v>
      </c>
    </row>
    <row r="24" customFormat="false" ht="15" hidden="false" customHeight="true" outlineLevel="0" collapsed="false">
      <c r="A24" s="1" t="s">
        <v>382</v>
      </c>
      <c r="B24" s="19" t="n">
        <f aca="false">B23-B18</f>
        <v>50400</v>
      </c>
    </row>
    <row r="25" customFormat="false" ht="15" hidden="false" customHeight="true" outlineLevel="0" collapsed="false">
      <c r="A25" s="1" t="s">
        <v>383</v>
      </c>
      <c r="B25" s="18" t="n">
        <v>0</v>
      </c>
    </row>
    <row r="26" customFormat="false" ht="15" hidden="false" customHeight="true" outlineLevel="0" collapsed="false">
      <c r="A26" s="1" t="s">
        <v>384</v>
      </c>
      <c r="B26" s="19" t="n">
        <f aca="false">B24-B25</f>
        <v>50400</v>
      </c>
    </row>
    <row r="28" customFormat="false" ht="15" hidden="false" customHeight="true" outlineLevel="0" collapsed="false">
      <c r="A28" s="3" t="s">
        <v>385</v>
      </c>
    </row>
    <row r="29" customFormat="false" ht="15" hidden="false" customHeight="true" outlineLevel="0" collapsed="false">
      <c r="A29" s="1" t="s">
        <v>386</v>
      </c>
      <c r="B29" s="14" t="s">
        <v>387</v>
      </c>
    </row>
    <row r="30" customFormat="false" ht="15" hidden="false" customHeight="true" outlineLevel="0" collapsed="false">
      <c r="A30" s="1" t="s">
        <v>388</v>
      </c>
      <c r="B30" s="14" t="s">
        <v>389</v>
      </c>
    </row>
    <row r="31" customFormat="false" ht="15" hidden="false" customHeight="true" outlineLevel="0" collapsed="false">
      <c r="A31" s="1" t="s">
        <v>390</v>
      </c>
      <c r="B31" s="14" t="s">
        <v>391</v>
      </c>
    </row>
    <row r="33" customFormat="false" ht="15" hidden="false" customHeight="true" outlineLevel="0" collapsed="false">
      <c r="A33" s="3" t="s">
        <v>392</v>
      </c>
    </row>
    <row r="34" customFormat="false" ht="15" hidden="false" customHeight="true" outlineLevel="0" collapsed="false">
      <c r="A34" s="1" t="s">
        <v>132</v>
      </c>
      <c r="B34" s="20" t="str">
        <f aca="false">"— închidere exercițiu " &amp; B7</f>
        <v>— închidere exercițiu 2026</v>
      </c>
    </row>
    <row r="36" customFormat="false" ht="15" hidden="false" customHeight="true" outlineLevel="0" collapsed="false">
      <c r="A36" s="3" t="s">
        <v>393</v>
      </c>
    </row>
    <row r="37" customFormat="false" ht="15" hidden="false" customHeight="true" outlineLevel="0" collapsed="false">
      <c r="A37" s="1" t="s">
        <v>312</v>
      </c>
      <c r="B37" s="20" t="str">
        <f aca="false">IF(CatalogModule!A13="DA","ACTIV","INACTIV")</f>
        <v>ACTIV</v>
      </c>
    </row>
    <row r="38" customFormat="false" ht="15" hidden="false" customHeight="true" outlineLevel="0" collapsed="false">
      <c r="A38" s="1" t="s">
        <v>394</v>
      </c>
      <c r="B38" s="4" t="s">
        <v>395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396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0" t="s">
        <v>397</v>
      </c>
      <c r="B2" s="10"/>
      <c r="C2" s="10"/>
      <c r="D2" s="10"/>
      <c r="E2" s="10"/>
      <c r="F2" s="10"/>
    </row>
    <row r="4" customFormat="false" ht="15" hidden="false" customHeight="true" outlineLevel="0" collapsed="false">
      <c r="A4" s="3" t="s">
        <v>139</v>
      </c>
    </row>
    <row r="5" customFormat="false" ht="15" hidden="false" customHeight="true" outlineLevel="0" collapsed="false">
      <c r="A5" s="11" t="s">
        <v>140</v>
      </c>
      <c r="B5" s="11" t="s">
        <v>196</v>
      </c>
      <c r="C5" s="11" t="s">
        <v>141</v>
      </c>
      <c r="D5" s="11" t="s">
        <v>142</v>
      </c>
      <c r="E5" s="11" t="s">
        <v>198</v>
      </c>
      <c r="F5" s="11" t="s">
        <v>250</v>
      </c>
    </row>
    <row r="6" customFormat="false" ht="15" hidden="false" customHeight="true" outlineLevel="0" collapsed="false">
      <c r="A6" s="21" t="n">
        <v>1</v>
      </c>
      <c r="B6" s="21" t="s">
        <v>398</v>
      </c>
      <c r="C6" s="21" t="s">
        <v>387</v>
      </c>
      <c r="D6" s="21" t="s">
        <v>399</v>
      </c>
      <c r="E6" s="21" t="s">
        <v>400</v>
      </c>
      <c r="F6" s="21" t="s">
        <v>401</v>
      </c>
    </row>
    <row r="7" customFormat="false" ht="15" hidden="false" customHeight="true" outlineLevel="0" collapsed="false">
      <c r="A7" s="21" t="n">
        <v>2</v>
      </c>
      <c r="B7" s="21" t="s">
        <v>402</v>
      </c>
      <c r="C7" s="21" t="s">
        <v>403</v>
      </c>
      <c r="D7" s="21" t="s">
        <v>387</v>
      </c>
      <c r="E7" s="21" t="s">
        <v>404</v>
      </c>
      <c r="F7" s="21" t="s">
        <v>405</v>
      </c>
    </row>
    <row r="8" customFormat="false" ht="15" hidden="false" customHeight="true" outlineLevel="0" collapsed="false">
      <c r="A8" s="21" t="n">
        <v>3</v>
      </c>
      <c r="B8" s="21" t="s">
        <v>406</v>
      </c>
      <c r="C8" s="21" t="s">
        <v>407</v>
      </c>
      <c r="D8" s="21" t="s">
        <v>408</v>
      </c>
      <c r="E8" s="21" t="s">
        <v>375</v>
      </c>
      <c r="F8" s="21" t="s">
        <v>409</v>
      </c>
    </row>
    <row r="9" customFormat="false" ht="15" hidden="false" customHeight="true" outlineLevel="0" collapsed="false">
      <c r="A9" s="21" t="n">
        <v>4</v>
      </c>
      <c r="B9" s="21" t="s">
        <v>410</v>
      </c>
      <c r="C9" s="21" t="s">
        <v>387</v>
      </c>
      <c r="D9" s="21" t="s">
        <v>377</v>
      </c>
      <c r="E9" s="21" t="s">
        <v>411</v>
      </c>
      <c r="F9" s="21" t="s">
        <v>412</v>
      </c>
    </row>
    <row r="10" customFormat="false" ht="15" hidden="false" customHeight="true" outlineLevel="0" collapsed="false">
      <c r="A10" s="21" t="n">
        <v>5</v>
      </c>
      <c r="B10" s="21" t="s">
        <v>413</v>
      </c>
      <c r="C10" s="21" t="s">
        <v>389</v>
      </c>
      <c r="D10" s="21" t="s">
        <v>414</v>
      </c>
      <c r="E10" s="21" t="s">
        <v>415</v>
      </c>
      <c r="F10" s="21" t="s">
        <v>416</v>
      </c>
    </row>
    <row r="11" customFormat="false" ht="15" hidden="false" customHeight="true" outlineLevel="0" collapsed="false">
      <c r="A11" s="21" t="n">
        <v>6</v>
      </c>
      <c r="B11" s="21" t="s">
        <v>417</v>
      </c>
      <c r="C11" s="21" t="s">
        <v>387</v>
      </c>
      <c r="D11" s="21" t="s">
        <v>391</v>
      </c>
      <c r="E11" s="21" t="s">
        <v>418</v>
      </c>
      <c r="F11" s="21" t="s">
        <v>419</v>
      </c>
    </row>
    <row r="13" customFormat="false" ht="15" hidden="false" customHeight="true" outlineLevel="0" collapsed="false">
      <c r="A13" s="3" t="s">
        <v>420</v>
      </c>
    </row>
    <row r="14" customFormat="false" ht="15" hidden="false" customHeight="true" outlineLevel="0" collapsed="false">
      <c r="A14" s="11" t="s">
        <v>156</v>
      </c>
      <c r="B14" s="11" t="s">
        <v>157</v>
      </c>
      <c r="C14" s="11" t="s">
        <v>158</v>
      </c>
      <c r="D14" s="11" t="s">
        <v>250</v>
      </c>
    </row>
    <row r="15" customFormat="false" ht="32.25" hidden="false" customHeight="true" outlineLevel="0" collapsed="false">
      <c r="A15" s="21" t="s">
        <v>387</v>
      </c>
      <c r="B15" s="21" t="s">
        <v>421</v>
      </c>
      <c r="C15" s="21" t="s">
        <v>422</v>
      </c>
      <c r="D15" s="21" t="s">
        <v>423</v>
      </c>
    </row>
    <row r="16" customFormat="false" ht="32.25" hidden="false" customHeight="true" outlineLevel="0" collapsed="false">
      <c r="A16" s="21" t="s">
        <v>389</v>
      </c>
      <c r="B16" s="21" t="s">
        <v>424</v>
      </c>
      <c r="C16" s="21" t="s">
        <v>425</v>
      </c>
      <c r="D16" s="21" t="s">
        <v>426</v>
      </c>
    </row>
    <row r="17" customFormat="false" ht="42.75" hidden="false" customHeight="true" outlineLevel="0" collapsed="false">
      <c r="A17" s="21" t="s">
        <v>391</v>
      </c>
      <c r="B17" s="21" t="s">
        <v>427</v>
      </c>
      <c r="C17" s="21" t="s">
        <v>428</v>
      </c>
      <c r="D17" s="21" t="s">
        <v>429</v>
      </c>
    </row>
    <row r="18" customFormat="false" ht="15" hidden="false" customHeight="true" outlineLevel="0" collapsed="false">
      <c r="A18" s="21" t="s">
        <v>377</v>
      </c>
      <c r="B18" s="21" t="s">
        <v>430</v>
      </c>
      <c r="C18" s="21" t="s">
        <v>431</v>
      </c>
      <c r="D18" s="21" t="s">
        <v>432</v>
      </c>
    </row>
    <row r="19" customFormat="false" ht="15" hidden="false" customHeight="true" outlineLevel="0" collapsed="false">
      <c r="A19" s="21" t="s">
        <v>433</v>
      </c>
      <c r="B19" s="21" t="s">
        <v>434</v>
      </c>
      <c r="C19" s="21" t="s">
        <v>431</v>
      </c>
      <c r="D19" s="21" t="s">
        <v>435</v>
      </c>
    </row>
    <row r="20" customFormat="false" ht="21.75" hidden="false" customHeight="true" outlineLevel="0" collapsed="false">
      <c r="A20" s="21" t="s">
        <v>379</v>
      </c>
      <c r="B20" s="21" t="s">
        <v>436</v>
      </c>
      <c r="C20" s="21" t="s">
        <v>166</v>
      </c>
      <c r="D20" s="21" t="s">
        <v>437</v>
      </c>
    </row>
    <row r="21" customFormat="false" ht="21.75" hidden="false" customHeight="true" outlineLevel="0" collapsed="false">
      <c r="A21" s="21" t="s">
        <v>438</v>
      </c>
      <c r="B21" s="21" t="s">
        <v>439</v>
      </c>
      <c r="C21" s="21" t="s">
        <v>166</v>
      </c>
      <c r="D21" s="21" t="s">
        <v>440</v>
      </c>
    </row>
    <row r="23" customFormat="false" ht="15" hidden="false" customHeight="true" outlineLevel="0" collapsed="false">
      <c r="A23" s="3" t="s">
        <v>171</v>
      </c>
    </row>
    <row r="24" customFormat="false" ht="15" hidden="false" customHeight="true" outlineLevel="0" collapsed="false">
      <c r="A24" s="4" t="s">
        <v>346</v>
      </c>
    </row>
    <row r="25" customFormat="false" ht="15" hidden="false" customHeight="true" outlineLevel="0" collapsed="false">
      <c r="A25" s="4" t="s">
        <v>441</v>
      </c>
    </row>
    <row r="26" customFormat="false" ht="15" hidden="false" customHeight="true" outlineLevel="0" collapsed="false">
      <c r="A26" s="4" t="s">
        <v>442</v>
      </c>
    </row>
    <row r="27" customFormat="false" ht="15" hidden="false" customHeight="true" outlineLevel="0" collapsed="false">
      <c r="A27" s="4" t="s">
        <v>443</v>
      </c>
    </row>
    <row r="28" customFormat="false" ht="15" hidden="false" customHeight="true" outlineLevel="0" collapsed="false">
      <c r="A28" s="4" t="s">
        <v>444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4" min="4" style="1" width="50"/>
    <col collapsed="false" customWidth="true" hidden="false" outlineLevel="0" max="6" min="5" style="1" width="14"/>
    <col collapsed="false" customWidth="true" hidden="false" outlineLevel="0" max="7" min="7" style="1" width="45"/>
  </cols>
  <sheetData>
    <row r="1" customFormat="false" ht="17.25" hidden="false" customHeight="true" outlineLevel="0" collapsed="false">
      <c r="A1" s="2" t="s">
        <v>445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446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" t="s">
        <v>180</v>
      </c>
      <c r="B4" s="20" t="str">
        <f aca="false">Declarații_INCHIDERE_EX!B8</f>
        <v>2026-12-31</v>
      </c>
    </row>
    <row r="6" customFormat="false" ht="15" hidden="false" customHeight="true" outlineLevel="0" collapsed="false">
      <c r="A6" s="16" t="s">
        <v>447</v>
      </c>
      <c r="B6" s="16"/>
      <c r="C6" s="16"/>
      <c r="D6" s="16"/>
      <c r="E6" s="16"/>
      <c r="F6" s="16"/>
      <c r="G6" s="16"/>
    </row>
    <row r="7" customFormat="false" ht="15" hidden="false" customHeight="true" outlineLevel="0" collapsed="false">
      <c r="A7" s="11" t="s">
        <v>182</v>
      </c>
      <c r="B7" s="11" t="s">
        <v>141</v>
      </c>
      <c r="C7" s="11" t="s">
        <v>183</v>
      </c>
      <c r="D7" s="11" t="s">
        <v>184</v>
      </c>
      <c r="E7" s="11" t="s">
        <v>142</v>
      </c>
      <c r="F7" s="11" t="s">
        <v>185</v>
      </c>
      <c r="G7" s="11" t="s">
        <v>186</v>
      </c>
    </row>
    <row r="8" customFormat="false" ht="27.75" hidden="false" customHeight="true" outlineLevel="0" collapsed="false">
      <c r="A8" s="23" t="n">
        <v>1</v>
      </c>
      <c r="B8" s="23" t="str">
        <f aca="false">Declarații_INCHIDERE_EX!B29</f>
        <v>121</v>
      </c>
      <c r="C8" s="24" t="n">
        <f aca="false">Declarații_INCHIDERE_EX!B11</f>
        <v>185000</v>
      </c>
      <c r="D8" s="23" t="str">
        <f aca="false">"Închidere cheltuieli cls.6 " &amp; Declarații_INCHIDERE_EX!B34</f>
        <v>Închidere cheltuieli cls.6 — închidere exercițiu 2026</v>
      </c>
      <c r="E8" s="23" t="s">
        <v>448</v>
      </c>
      <c r="F8" s="24" t="n">
        <f aca="false">Declarații_INCHIDERE_EX!B11</f>
        <v>185000</v>
      </c>
      <c r="G8" s="23" t="str">
        <f aca="false">"Stingere rulaj cheltuieli " &amp; Declarații_INCHIDERE_EX!B34</f>
        <v>Stingere rulaj cheltuieli — închidere exercițiu 2026</v>
      </c>
    </row>
    <row r="9" customFormat="false" ht="15" hidden="false" customHeight="true" outlineLevel="0" collapsed="false">
      <c r="A9" s="1" t="s">
        <v>275</v>
      </c>
      <c r="B9" s="1" t="n">
        <f aca="false">C8-F8</f>
        <v>0</v>
      </c>
      <c r="C9" s="29" t="str">
        <f aca="false">IF(ABS(B9)&lt;0.01,"OK","EROARE")</f>
        <v>OK</v>
      </c>
    </row>
    <row r="11" customFormat="false" ht="15" hidden="false" customHeight="true" outlineLevel="0" collapsed="false">
      <c r="A11" s="16" t="s">
        <v>449</v>
      </c>
      <c r="B11" s="16"/>
      <c r="C11" s="16"/>
      <c r="D11" s="16"/>
      <c r="E11" s="16"/>
      <c r="F11" s="16"/>
      <c r="G11" s="16"/>
    </row>
    <row r="12" customFormat="false" ht="15" hidden="false" customHeight="true" outlineLevel="0" collapsed="false">
      <c r="A12" s="11" t="s">
        <v>182</v>
      </c>
      <c r="B12" s="11" t="s">
        <v>141</v>
      </c>
      <c r="C12" s="11" t="s">
        <v>183</v>
      </c>
      <c r="D12" s="11" t="s">
        <v>184</v>
      </c>
      <c r="E12" s="11" t="s">
        <v>142</v>
      </c>
      <c r="F12" s="11" t="s">
        <v>185</v>
      </c>
      <c r="G12" s="11" t="s">
        <v>186</v>
      </c>
    </row>
    <row r="13" customFormat="false" ht="27.75" hidden="false" customHeight="true" outlineLevel="0" collapsed="false">
      <c r="A13" s="23" t="n">
        <v>1</v>
      </c>
      <c r="B13" s="23" t="s">
        <v>450</v>
      </c>
      <c r="C13" s="24" t="n">
        <f aca="false">Declarații_INCHIDERE_EX!B12</f>
        <v>245000</v>
      </c>
      <c r="D13" s="23" t="str">
        <f aca="false">"Închidere venituri cls.7 " &amp; Declarații_INCHIDERE_EX!B34</f>
        <v>Închidere venituri cls.7 — închidere exercițiu 2026</v>
      </c>
      <c r="E13" s="23" t="str">
        <f aca="false">Declarații_INCHIDERE_EX!B29</f>
        <v>121</v>
      </c>
      <c r="F13" s="24" t="n">
        <f aca="false">Declarații_INCHIDERE_EX!B12</f>
        <v>245000</v>
      </c>
      <c r="G13" s="23" t="str">
        <f aca="false">"Stingere rulaj venituri " &amp; Declarații_INCHIDERE_EX!B34</f>
        <v>Stingere rulaj venituri — închidere exercițiu 2026</v>
      </c>
    </row>
    <row r="14" customFormat="false" ht="15" hidden="false" customHeight="true" outlineLevel="0" collapsed="false">
      <c r="A14" s="1" t="s">
        <v>278</v>
      </c>
      <c r="B14" s="1" t="n">
        <f aca="false">C13-F13</f>
        <v>0</v>
      </c>
      <c r="C14" s="29" t="str">
        <f aca="false">IF(ABS(B14)&lt;0.01,"OK","EROARE")</f>
        <v>OK</v>
      </c>
    </row>
    <row r="16" customFormat="false" ht="15" hidden="false" customHeight="true" outlineLevel="0" collapsed="false">
      <c r="A16" s="16" t="s">
        <v>451</v>
      </c>
      <c r="B16" s="16"/>
      <c r="C16" s="16"/>
      <c r="D16" s="16"/>
      <c r="E16" s="16"/>
      <c r="F16" s="16"/>
      <c r="G16" s="16"/>
    </row>
    <row r="17" customFormat="false" ht="15" hidden="false" customHeight="true" outlineLevel="0" collapsed="false">
      <c r="A17" s="11" t="s">
        <v>182</v>
      </c>
      <c r="B17" s="11" t="s">
        <v>141</v>
      </c>
      <c r="C17" s="11" t="s">
        <v>183</v>
      </c>
      <c r="D17" s="11" t="s">
        <v>184</v>
      </c>
      <c r="E17" s="11" t="s">
        <v>142</v>
      </c>
      <c r="F17" s="11" t="s">
        <v>185</v>
      </c>
      <c r="G17" s="11" t="s">
        <v>186</v>
      </c>
    </row>
    <row r="18" customFormat="false" ht="27.75" hidden="false" customHeight="true" outlineLevel="0" collapsed="false">
      <c r="A18" s="23" t="n">
        <v>1</v>
      </c>
      <c r="B18" s="23" t="str">
        <f aca="false">Declarații_INCHIDERE_EX!B19</f>
        <v>691</v>
      </c>
      <c r="C18" s="24" t="n">
        <f aca="false">Declarații_INCHIDERE_EX!B18</f>
        <v>9600</v>
      </c>
      <c r="D18" s="23" t="str">
        <f aca="false">"Cheltuială impozit " &amp; Declarații_INCHIDERE_EX!B34</f>
        <v>Cheltuială impozit — închidere exercițiu 2026</v>
      </c>
      <c r="E18" s="23" t="str">
        <f aca="false">Declarații_INCHIDERE_EX!B20</f>
        <v>441</v>
      </c>
      <c r="F18" s="24" t="n">
        <f aca="false">Declarații_INCHIDERE_EX!B18</f>
        <v>9600</v>
      </c>
      <c r="G18" s="23" t="str">
        <f aca="false">"Datorie impozit buget " &amp; Declarații_INCHIDERE_EX!B34</f>
        <v>Datorie impozit buget — închidere exercițiu 2026</v>
      </c>
    </row>
    <row r="19" customFormat="false" ht="27.75" hidden="false" customHeight="true" outlineLevel="0" collapsed="false">
      <c r="A19" s="23" t="n">
        <v>2</v>
      </c>
      <c r="B19" s="23" t="str">
        <f aca="false">Declarații_INCHIDERE_EX!B29</f>
        <v>121</v>
      </c>
      <c r="C19" s="24" t="n">
        <f aca="false">Declarații_INCHIDERE_EX!B18</f>
        <v>9600</v>
      </c>
      <c r="D19" s="23" t="str">
        <f aca="false">"Închidere cheltuială impozit în rezultat " &amp; Declarații_INCHIDERE_EX!B34</f>
        <v>Închidere cheltuială impozit în rezultat — închidere exercițiu 2026</v>
      </c>
      <c r="E19" s="23" t="str">
        <f aca="false">Declarații_INCHIDERE_EX!B19</f>
        <v>691</v>
      </c>
      <c r="F19" s="24" t="n">
        <f aca="false">Declarații_INCHIDERE_EX!B18</f>
        <v>9600</v>
      </c>
      <c r="G19" s="23" t="str">
        <f aca="false">"Stingere 691 " &amp; Declarații_INCHIDERE_EX!B34</f>
        <v>Stingere 691 — închidere exercițiu 2026</v>
      </c>
    </row>
    <row r="20" customFormat="false" ht="15" hidden="false" customHeight="true" outlineLevel="0" collapsed="false">
      <c r="A20" s="1" t="s">
        <v>452</v>
      </c>
      <c r="B20" s="1" t="n">
        <f aca="false">(C18+C19)-(F18+F19)</f>
        <v>0</v>
      </c>
      <c r="C20" s="29" t="str">
        <f aca="false">IF(ABS(B20)&lt;0.01,"OK","EROARE")</f>
        <v>OK</v>
      </c>
    </row>
    <row r="22" customFormat="false" ht="15" hidden="false" customHeight="true" outlineLevel="0" collapsed="false">
      <c r="A22" s="16" t="s">
        <v>453</v>
      </c>
      <c r="B22" s="16"/>
      <c r="C22" s="16"/>
      <c r="D22" s="16"/>
      <c r="E22" s="16"/>
      <c r="F22" s="16"/>
      <c r="G22" s="16"/>
    </row>
    <row r="23" customFormat="false" ht="15" hidden="false" customHeight="true" outlineLevel="0" collapsed="false">
      <c r="A23" s="11" t="s">
        <v>182</v>
      </c>
      <c r="B23" s="11" t="s">
        <v>141</v>
      </c>
      <c r="C23" s="11" t="s">
        <v>183</v>
      </c>
      <c r="D23" s="11" t="s">
        <v>184</v>
      </c>
      <c r="E23" s="11" t="s">
        <v>142</v>
      </c>
      <c r="F23" s="11" t="s">
        <v>185</v>
      </c>
      <c r="G23" s="11" t="s">
        <v>186</v>
      </c>
    </row>
    <row r="24" customFormat="false" ht="27.75" hidden="false" customHeight="true" outlineLevel="0" collapsed="false">
      <c r="A24" s="23" t="n">
        <v>1</v>
      </c>
      <c r="B24" s="23" t="str">
        <f aca="false">IF(Declarații_INCHIDERE_EX!B26&gt;=0,Declarații_INCHIDERE_EX!B29,Declarații_INCHIDERE_EX!B31)</f>
        <v>121</v>
      </c>
      <c r="C24" s="24" t="n">
        <f aca="false">ABS(Declarații_INCHIDERE_EX!B26)</f>
        <v>50400</v>
      </c>
      <c r="D24" s="23" t="str">
        <f aca="false">IF(Declarații_INCHIDERE_EX!B26&gt;=0,"Report profit pe 117 ","Report pierdere pe 117 ") &amp; Declarații_INCHIDERE_EX!B34</f>
        <v>Report profit pe 117 — închidere exercițiu 2026</v>
      </c>
      <c r="E24" s="23" t="str">
        <f aca="false">IF(Declarații_INCHIDERE_EX!B26&gt;=0,Declarații_INCHIDERE_EX!B31,Declarații_INCHIDERE_EX!B29)</f>
        <v>117</v>
      </c>
      <c r="F24" s="24" t="n">
        <f aca="false">ABS(Declarații_INCHIDERE_EX!B26)</f>
        <v>50400</v>
      </c>
      <c r="G24" s="23" t="str">
        <f aca="false">IF(Declarații_INCHIDERE_EX!B26&gt;=0,"Rezultat reportat (profit) ","Rezultat reportat (pierdere) ") &amp; Declarații_INCHIDERE_EX!B34</f>
        <v>Rezultat reportat (profit) — închidere exercițiu 2026</v>
      </c>
    </row>
    <row r="25" customFormat="false" ht="15" hidden="false" customHeight="true" outlineLevel="0" collapsed="false">
      <c r="A25" s="1" t="s">
        <v>454</v>
      </c>
      <c r="B25" s="1" t="n">
        <f aca="false">C24-F24</f>
        <v>0</v>
      </c>
      <c r="C25" s="29" t="str">
        <f aca="false">IF(ABS(B25)&lt;0.01,"OK","EROARE")</f>
        <v>OK</v>
      </c>
    </row>
    <row r="27" customFormat="false" ht="15" hidden="false" customHeight="true" outlineLevel="0" collapsed="false">
      <c r="A27" s="3" t="s">
        <v>279</v>
      </c>
    </row>
    <row r="28" customFormat="false" ht="15" hidden="false" customHeight="true" outlineLevel="0" collapsed="false">
      <c r="A28" s="10" t="s">
        <v>455</v>
      </c>
      <c r="B28" s="10"/>
      <c r="C28" s="10"/>
      <c r="D28" s="10"/>
      <c r="E28" s="10"/>
      <c r="F28" s="10"/>
      <c r="G28" s="10"/>
    </row>
    <row r="30" customFormat="false" ht="15" hidden="false" customHeight="true" outlineLevel="0" collapsed="false">
      <c r="A30" s="31" t="s">
        <v>288</v>
      </c>
      <c r="B30" s="1" t="n">
        <f aca="false">ABS(B9)+ABS(B14)+ABS(B20)+ABS(B25)</f>
        <v>0</v>
      </c>
      <c r="C30" s="29" t="str">
        <f aca="false">IF(B30&lt;0.01,"OK — toate blocurile se închid","EROARE — cel puțin un bloc dezechilibrat")</f>
        <v>OK — toate blocurile se închid</v>
      </c>
    </row>
  </sheetData>
  <mergeCells count="7">
    <mergeCell ref="A1:G1"/>
    <mergeCell ref="A2:G2"/>
    <mergeCell ref="A6:G6"/>
    <mergeCell ref="A11:G11"/>
    <mergeCell ref="A16:G16"/>
    <mergeCell ref="A22:G22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50"/>
    <col collapsed="false" customWidth="true" hidden="false" outlineLevel="0" max="8" min="8" style="1" width="18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456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10" t="s">
        <v>457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11" t="s">
        <v>182</v>
      </c>
      <c r="B4" s="11" t="s">
        <v>196</v>
      </c>
      <c r="C4" s="11" t="s">
        <v>197</v>
      </c>
      <c r="D4" s="11" t="s">
        <v>141</v>
      </c>
      <c r="E4" s="11" t="s">
        <v>142</v>
      </c>
      <c r="F4" s="11" t="s">
        <v>198</v>
      </c>
      <c r="G4" s="11" t="s">
        <v>199</v>
      </c>
      <c r="H4" s="11" t="s">
        <v>200</v>
      </c>
      <c r="I4" s="11" t="s">
        <v>201</v>
      </c>
    </row>
    <row r="5" customFormat="false" ht="15" hidden="false" customHeight="true" outlineLevel="0" collapsed="false">
      <c r="A5" s="23" t="n">
        <v>1</v>
      </c>
      <c r="B5" s="23" t="s">
        <v>458</v>
      </c>
      <c r="C5" s="23" t="str">
        <f aca="false">Declarații_INCHIDERE_EX!B8</f>
        <v>2026-12-31</v>
      </c>
      <c r="D5" s="23" t="str">
        <f aca="false">Jurnale_INCHIDERE_EX!B8</f>
        <v>121</v>
      </c>
      <c r="E5" s="23" t="str">
        <f aca="false">Jurnale_INCHIDERE_EX!E8</f>
        <v>6xx</v>
      </c>
      <c r="F5" s="24" t="n">
        <f aca="false">Jurnale_INCHIDERE_EX!C8</f>
        <v>185000</v>
      </c>
      <c r="G5" s="23" t="str">
        <f aca="false">Jurnale_INCHIDERE_EX!D8</f>
        <v>Închidere cheltuieli cls.6 — închidere exercițiu 2026</v>
      </c>
      <c r="H5" s="23" t="s">
        <v>459</v>
      </c>
      <c r="I5" s="23" t="str">
        <f aca="false">IF(F5&gt;0,"DA","NU")</f>
        <v>DA</v>
      </c>
    </row>
    <row r="6" customFormat="false" ht="15" hidden="false" customHeight="true" outlineLevel="0" collapsed="false">
      <c r="A6" s="23" t="n">
        <v>2</v>
      </c>
      <c r="B6" s="23" t="s">
        <v>460</v>
      </c>
      <c r="C6" s="23" t="str">
        <f aca="false">Declarații_INCHIDERE_EX!B8</f>
        <v>2026-12-31</v>
      </c>
      <c r="D6" s="23" t="str">
        <f aca="false">Jurnale_INCHIDERE_EX!B13</f>
        <v>7xx</v>
      </c>
      <c r="E6" s="23" t="str">
        <f aca="false">Jurnale_INCHIDERE_EX!E13</f>
        <v>121</v>
      </c>
      <c r="F6" s="24" t="n">
        <f aca="false">Jurnale_INCHIDERE_EX!C13</f>
        <v>245000</v>
      </c>
      <c r="G6" s="23" t="str">
        <f aca="false">Jurnale_INCHIDERE_EX!D13</f>
        <v>Închidere venituri cls.7 — închidere exercițiu 2026</v>
      </c>
      <c r="H6" s="23" t="s">
        <v>459</v>
      </c>
      <c r="I6" s="23" t="str">
        <f aca="false">IF(F6&gt;0,"DA","NU")</f>
        <v>DA</v>
      </c>
    </row>
    <row r="7" customFormat="false" ht="15" hidden="false" customHeight="true" outlineLevel="0" collapsed="false">
      <c r="A7" s="23" t="n">
        <v>3</v>
      </c>
      <c r="B7" s="23" t="s">
        <v>406</v>
      </c>
      <c r="C7" s="23" t="str">
        <f aca="false">Declarații_INCHIDERE_EX!B8</f>
        <v>2026-12-31</v>
      </c>
      <c r="D7" s="23" t="str">
        <f aca="false">Jurnale_INCHIDERE_EX!B18</f>
        <v>691</v>
      </c>
      <c r="E7" s="23" t="str">
        <f aca="false">Jurnale_INCHIDERE_EX!E18</f>
        <v>441</v>
      </c>
      <c r="F7" s="24" t="n">
        <f aca="false">Jurnale_INCHIDERE_EX!C18</f>
        <v>9600</v>
      </c>
      <c r="G7" s="23" t="str">
        <f aca="false">Jurnale_INCHIDERE_EX!D18</f>
        <v>Cheltuială impozit — închidere exercițiu 2026</v>
      </c>
      <c r="H7" s="23" t="s">
        <v>459</v>
      </c>
      <c r="I7" s="23" t="str">
        <f aca="false">IF(F7&gt;0,"DA","NU")</f>
        <v>DA</v>
      </c>
    </row>
    <row r="8" customFormat="false" ht="15" hidden="false" customHeight="true" outlineLevel="0" collapsed="false">
      <c r="A8" s="23" t="n">
        <v>4</v>
      </c>
      <c r="B8" s="23" t="s">
        <v>461</v>
      </c>
      <c r="C8" s="23" t="str">
        <f aca="false">Declarații_INCHIDERE_EX!B8</f>
        <v>2026-12-31</v>
      </c>
      <c r="D8" s="23" t="str">
        <f aca="false">Jurnale_INCHIDERE_EX!B19</f>
        <v>121</v>
      </c>
      <c r="E8" s="23" t="str">
        <f aca="false">Jurnale_INCHIDERE_EX!E19</f>
        <v>691</v>
      </c>
      <c r="F8" s="24" t="n">
        <f aca="false">Jurnale_INCHIDERE_EX!C19</f>
        <v>9600</v>
      </c>
      <c r="G8" s="23" t="str">
        <f aca="false">Jurnale_INCHIDERE_EX!D19</f>
        <v>Închidere cheltuială impozit în rezultat — închidere exercițiu 2026</v>
      </c>
      <c r="H8" s="23" t="s">
        <v>459</v>
      </c>
      <c r="I8" s="23" t="str">
        <f aca="false">IF(F8&gt;0,"DA","NU")</f>
        <v>DA</v>
      </c>
    </row>
    <row r="9" customFormat="false" ht="15" hidden="false" customHeight="true" outlineLevel="0" collapsed="false">
      <c r="A9" s="23" t="n">
        <v>5</v>
      </c>
      <c r="B9" s="23" t="s">
        <v>462</v>
      </c>
      <c r="C9" s="23" t="str">
        <f aca="false">Declarații_INCHIDERE_EX!B8</f>
        <v>2026-12-31</v>
      </c>
      <c r="D9" s="23" t="str">
        <f aca="false">Jurnale_INCHIDERE_EX!B24</f>
        <v>121</v>
      </c>
      <c r="E9" s="23" t="str">
        <f aca="false">Jurnale_INCHIDERE_EX!E24</f>
        <v>117</v>
      </c>
      <c r="F9" s="24" t="n">
        <f aca="false">Jurnale_INCHIDERE_EX!C24</f>
        <v>50400</v>
      </c>
      <c r="G9" s="23" t="str">
        <f aca="false">Jurnale_INCHIDERE_EX!D24</f>
        <v>Report profit pe 117 — închidere exercițiu 2026</v>
      </c>
      <c r="H9" s="23" t="s">
        <v>459</v>
      </c>
      <c r="I9" s="23" t="str">
        <f aca="false">IF(F9&gt;0,"DA","NU")</f>
        <v>DA</v>
      </c>
    </row>
    <row r="11" customFormat="false" ht="15" hidden="false" customHeight="true" outlineLevel="0" collapsed="false">
      <c r="A11" s="1" t="s">
        <v>287</v>
      </c>
      <c r="B11" s="1" t="n">
        <f aca="false">COUNTIF(I5:I9,"DA")</f>
        <v>5</v>
      </c>
    </row>
    <row r="12" customFormat="false" ht="15" hidden="false" customHeight="true" outlineLevel="0" collapsed="false">
      <c r="A12" s="1" t="s">
        <v>288</v>
      </c>
      <c r="B12" s="1" t="n">
        <f aca="false">Jurnale_INCHIDERE_EX!B30</f>
        <v>0</v>
      </c>
      <c r="C12" s="1" t="str">
        <f aca="false">IF(ABS(B12)&lt;0.01,"OK","EROARE")</f>
        <v>OK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8"/>
  </cols>
  <sheetData>
    <row r="1" customFormat="false" ht="17.25" hidden="false" customHeight="true" outlineLevel="0" collapsed="false">
      <c r="A1" s="2" t="s">
        <v>463</v>
      </c>
      <c r="B1" s="2"/>
      <c r="C1" s="2"/>
      <c r="D1" s="2"/>
      <c r="E1" s="2"/>
    </row>
    <row r="2" customFormat="false" ht="15" hidden="false" customHeight="true" outlineLevel="0" collapsed="false">
      <c r="A2" s="10" t="s">
        <v>464</v>
      </c>
      <c r="B2" s="10"/>
      <c r="C2" s="10"/>
      <c r="D2" s="10"/>
      <c r="E2" s="10"/>
    </row>
    <row r="4" customFormat="false" ht="15" hidden="false" customHeight="true" outlineLevel="0" collapsed="false">
      <c r="A4" s="3" t="s">
        <v>109</v>
      </c>
    </row>
    <row r="5" customFormat="false" ht="15" hidden="false" customHeight="true" outlineLevel="0" collapsed="false">
      <c r="A5" s="1" t="s">
        <v>110</v>
      </c>
      <c r="B5" s="17" t="str">
        <f aca="false">Parametri!B5</f>
        <v>SC EXEMPLU SRL</v>
      </c>
    </row>
    <row r="6" customFormat="false" ht="15" hidden="false" customHeight="true" outlineLevel="0" collapsed="false">
      <c r="A6" s="1" t="s">
        <v>22</v>
      </c>
      <c r="B6" s="17" t="str">
        <f aca="false">Parametri!B6</f>
        <v>RO00000000</v>
      </c>
    </row>
    <row r="7" customFormat="false" ht="15" hidden="false" customHeight="true" outlineLevel="0" collapsed="false">
      <c r="A7" s="1" t="s">
        <v>465</v>
      </c>
      <c r="B7" s="14" t="s">
        <v>25</v>
      </c>
    </row>
    <row r="8" customFormat="false" ht="15" hidden="false" customHeight="true" outlineLevel="0" collapsed="false">
      <c r="A8" s="1" t="s">
        <v>466</v>
      </c>
      <c r="B8" s="14" t="s">
        <v>467</v>
      </c>
    </row>
    <row r="9" customFormat="false" ht="15" hidden="false" customHeight="true" outlineLevel="0" collapsed="false">
      <c r="A9" s="1" t="s">
        <v>468</v>
      </c>
      <c r="B9" s="14" t="s">
        <v>469</v>
      </c>
    </row>
    <row r="10" customFormat="false" ht="15" hidden="false" customHeight="true" outlineLevel="0" collapsed="false">
      <c r="A10" s="1" t="s">
        <v>470</v>
      </c>
      <c r="B10" s="14" t="s">
        <v>471</v>
      </c>
    </row>
    <row r="12" customFormat="false" ht="15" hidden="false" customHeight="true" outlineLevel="0" collapsed="false">
      <c r="A12" s="3" t="s">
        <v>472</v>
      </c>
    </row>
    <row r="13" customFormat="false" ht="15" hidden="false" customHeight="true" outlineLevel="0" collapsed="false">
      <c r="A13" s="1" t="s">
        <v>473</v>
      </c>
      <c r="B13" s="14" t="s">
        <v>474</v>
      </c>
    </row>
    <row r="14" customFormat="false" ht="15" hidden="false" customHeight="true" outlineLevel="0" collapsed="false">
      <c r="A14" s="1" t="s">
        <v>475</v>
      </c>
      <c r="B14" s="20" t="n">
        <f aca="false">IF(B13="BUNURI",711,IF(B13="SERVICII",712,IF(B13="MF",722,"?")))</f>
        <v>711</v>
      </c>
    </row>
    <row r="15" customFormat="false" ht="15" hidden="false" customHeight="true" outlineLevel="0" collapsed="false">
      <c r="A15" s="1" t="s">
        <v>476</v>
      </c>
      <c r="B15" s="20" t="n">
        <f aca="false">IF(B13="BUNURI",331,IF(B13="SERVICII",332,IF(B13="MF",231,"?")))</f>
        <v>331</v>
      </c>
    </row>
    <row r="16" customFormat="false" ht="15" hidden="false" customHeight="true" outlineLevel="0" collapsed="false">
      <c r="A16" s="1" t="s">
        <v>477</v>
      </c>
      <c r="B16" s="20" t="n">
        <f aca="false">IF(B13="BUNURI",345,IF(B13="SERVICII","(nu e cazul — se stinge la livrare)",IF(B13="MF",213,"?")))</f>
        <v>345</v>
      </c>
    </row>
    <row r="17" customFormat="false" ht="15" hidden="false" customHeight="true" outlineLevel="0" collapsed="false">
      <c r="A17" s="1" t="s">
        <v>478</v>
      </c>
      <c r="B17" s="20" t="n">
        <f aca="false">IF(B13="BUNURI",701,IF(B13="SERVICII",704,IF(B13="MF","(nu e vânzare — e activ)","?")))</f>
        <v>701</v>
      </c>
    </row>
    <row r="19" customFormat="false" ht="15" hidden="false" customHeight="true" outlineLevel="0" collapsed="false">
      <c r="A19" s="3" t="s">
        <v>479</v>
      </c>
    </row>
    <row r="20" customFormat="false" ht="15" hidden="false" customHeight="true" outlineLevel="0" collapsed="false">
      <c r="A20" s="1" t="s">
        <v>480</v>
      </c>
      <c r="B20" s="18" t="n">
        <v>4500</v>
      </c>
    </row>
    <row r="21" customFormat="false" ht="15" hidden="false" customHeight="true" outlineLevel="0" collapsed="false">
      <c r="A21" s="1" t="s">
        <v>481</v>
      </c>
      <c r="B21" s="18" t="n">
        <v>0</v>
      </c>
    </row>
    <row r="22" customFormat="false" ht="15" hidden="false" customHeight="true" outlineLevel="0" collapsed="false">
      <c r="A22" s="1" t="s">
        <v>482</v>
      </c>
      <c r="B22" s="18" t="n">
        <v>0</v>
      </c>
    </row>
    <row r="23" customFormat="false" ht="15" hidden="false" customHeight="true" outlineLevel="0" collapsed="false">
      <c r="A23" s="1" t="s">
        <v>483</v>
      </c>
      <c r="B23" s="19" t="n">
        <f aca="false">B20+B21+B22</f>
        <v>4500</v>
      </c>
    </row>
    <row r="25" customFormat="false" ht="15" hidden="false" customHeight="true" outlineLevel="0" collapsed="false">
      <c r="A25" s="3" t="s">
        <v>484</v>
      </c>
    </row>
    <row r="26" customFormat="false" ht="15" hidden="false" customHeight="true" outlineLevel="0" collapsed="false">
      <c r="A26" s="1" t="s">
        <v>485</v>
      </c>
      <c r="B26" s="18" t="n">
        <v>7000</v>
      </c>
    </row>
    <row r="27" customFormat="false" ht="15" hidden="false" customHeight="true" outlineLevel="0" collapsed="false">
      <c r="A27" s="1" t="s">
        <v>218</v>
      </c>
      <c r="B27" s="28" t="n">
        <v>0.21</v>
      </c>
    </row>
    <row r="28" customFormat="false" ht="15" hidden="false" customHeight="true" outlineLevel="0" collapsed="false">
      <c r="A28" s="1" t="s">
        <v>244</v>
      </c>
      <c r="B28" s="19" t="n">
        <f aca="false">IF(OR(B13="BUNURI",B13="SERVICII"),B26*B27,0)</f>
        <v>1470</v>
      </c>
    </row>
    <row r="29" customFormat="false" ht="15" hidden="false" customHeight="true" outlineLevel="0" collapsed="false">
      <c r="A29" s="1" t="s">
        <v>220</v>
      </c>
      <c r="B29" s="19" t="n">
        <f aca="false">B26+B28</f>
        <v>8470</v>
      </c>
    </row>
    <row r="31" customFormat="false" ht="15" hidden="false" customHeight="true" outlineLevel="0" collapsed="false">
      <c r="A31" s="3" t="s">
        <v>486</v>
      </c>
    </row>
    <row r="32" customFormat="false" ht="15" hidden="false" customHeight="true" outlineLevel="0" collapsed="false">
      <c r="A32" s="1" t="s">
        <v>487</v>
      </c>
      <c r="B32" s="14" t="s">
        <v>488</v>
      </c>
    </row>
    <row r="33" customFormat="false" ht="15" hidden="false" customHeight="true" outlineLevel="0" collapsed="false">
      <c r="A33" s="1" t="s">
        <v>489</v>
      </c>
      <c r="B33" s="14" t="s">
        <v>309</v>
      </c>
    </row>
    <row r="34" customFormat="false" ht="15" hidden="false" customHeight="true" outlineLevel="0" collapsed="false">
      <c r="A34" s="1" t="s">
        <v>120</v>
      </c>
      <c r="B34" s="14" t="s">
        <v>121</v>
      </c>
    </row>
    <row r="36" customFormat="false" ht="15" hidden="false" customHeight="true" outlineLevel="0" collapsed="false">
      <c r="A36" s="3" t="s">
        <v>392</v>
      </c>
    </row>
    <row r="37" customFormat="false" ht="15" hidden="false" customHeight="true" outlineLevel="0" collapsed="false">
      <c r="A37" s="1" t="s">
        <v>132</v>
      </c>
      <c r="B37" s="20" t="str">
        <f aca="false">"— " &amp; B7 &amp; " — " &amp; B13 &amp; " — " &amp; B14</f>
        <v>— 2026-07 — BUNURI — 711</v>
      </c>
    </row>
    <row r="39" customFormat="false" ht="15" hidden="false" customHeight="true" outlineLevel="0" collapsed="false">
      <c r="A39" s="3" t="s">
        <v>393</v>
      </c>
    </row>
    <row r="40" customFormat="false" ht="15" hidden="false" customHeight="true" outlineLevel="0" collapsed="false">
      <c r="A40" s="1" t="s">
        <v>490</v>
      </c>
      <c r="B40" s="19" t="n">
        <f aca="false">IF(OR(B13="BUNURI",B13="SERVICII"),B26-B23,"n/a (MF)")</f>
        <v>2500</v>
      </c>
    </row>
    <row r="41" customFormat="false" ht="15" hidden="false" customHeight="true" outlineLevel="0" collapsed="false">
      <c r="A41" s="1" t="s">
        <v>491</v>
      </c>
      <c r="B41" s="4" t="s">
        <v>492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5" min="4" style="1" width="22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2" t="s">
        <v>493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0" t="s">
        <v>494</v>
      </c>
      <c r="B2" s="10"/>
      <c r="C2" s="10"/>
      <c r="D2" s="10"/>
      <c r="E2" s="10"/>
      <c r="F2" s="10"/>
    </row>
    <row r="4" customFormat="false" ht="15" hidden="false" customHeight="true" outlineLevel="0" collapsed="false">
      <c r="A4" s="3" t="s">
        <v>495</v>
      </c>
    </row>
    <row r="5" customFormat="false" ht="15" hidden="false" customHeight="true" outlineLevel="0" collapsed="false">
      <c r="A5" s="11" t="s">
        <v>36</v>
      </c>
      <c r="B5" s="11" t="s">
        <v>496</v>
      </c>
      <c r="C5" s="11" t="s">
        <v>497</v>
      </c>
      <c r="D5" s="11" t="s">
        <v>498</v>
      </c>
      <c r="E5" s="11" t="s">
        <v>499</v>
      </c>
      <c r="F5" s="11" t="s">
        <v>500</v>
      </c>
    </row>
    <row r="6" customFormat="false" ht="15" hidden="false" customHeight="true" outlineLevel="0" collapsed="false">
      <c r="A6" s="21" t="s">
        <v>474</v>
      </c>
      <c r="B6" s="21" t="s">
        <v>501</v>
      </c>
      <c r="C6" s="21" t="s">
        <v>502</v>
      </c>
      <c r="D6" s="21" t="s">
        <v>503</v>
      </c>
      <c r="E6" s="21" t="s">
        <v>504</v>
      </c>
      <c r="F6" s="21" t="s">
        <v>505</v>
      </c>
    </row>
    <row r="7" customFormat="false" ht="15" hidden="false" customHeight="true" outlineLevel="0" collapsed="false">
      <c r="A7" s="21" t="s">
        <v>506</v>
      </c>
      <c r="B7" s="21" t="s">
        <v>507</v>
      </c>
      <c r="C7" s="21" t="s">
        <v>508</v>
      </c>
      <c r="D7" s="21" t="s">
        <v>509</v>
      </c>
      <c r="E7" s="21" t="s">
        <v>510</v>
      </c>
      <c r="F7" s="21" t="s">
        <v>511</v>
      </c>
    </row>
    <row r="8" customFormat="false" ht="15" hidden="false" customHeight="true" outlineLevel="0" collapsed="false">
      <c r="A8" s="21" t="s">
        <v>512</v>
      </c>
      <c r="B8" s="21" t="s">
        <v>513</v>
      </c>
      <c r="C8" s="21" t="s">
        <v>514</v>
      </c>
      <c r="D8" s="21" t="s">
        <v>46</v>
      </c>
      <c r="E8" s="21" t="s">
        <v>515</v>
      </c>
      <c r="F8" s="21" t="s">
        <v>516</v>
      </c>
    </row>
    <row r="10" customFormat="false" ht="15" hidden="false" customHeight="true" outlineLevel="0" collapsed="false">
      <c r="A10" s="3" t="s">
        <v>517</v>
      </c>
    </row>
    <row r="11" customFormat="false" ht="15" hidden="false" customHeight="true" outlineLevel="0" collapsed="false">
      <c r="A11" s="4" t="s">
        <v>518</v>
      </c>
    </row>
    <row r="12" customFormat="false" ht="15" hidden="false" customHeight="true" outlineLevel="0" collapsed="false">
      <c r="A12" s="4" t="s">
        <v>519</v>
      </c>
    </row>
    <row r="13" customFormat="false" ht="15" hidden="false" customHeight="true" outlineLevel="0" collapsed="false">
      <c r="A13" s="4" t="s">
        <v>520</v>
      </c>
    </row>
    <row r="14" customFormat="false" ht="15" hidden="false" customHeight="true" outlineLevel="0" collapsed="false">
      <c r="A14" s="4" t="s">
        <v>521</v>
      </c>
    </row>
    <row r="15" customFormat="false" ht="15" hidden="false" customHeight="true" outlineLevel="0" collapsed="false">
      <c r="A15" s="4" t="s">
        <v>522</v>
      </c>
    </row>
    <row r="17" customFormat="false" ht="15" hidden="false" customHeight="true" outlineLevel="0" collapsed="false">
      <c r="A17" s="3" t="s">
        <v>523</v>
      </c>
    </row>
    <row r="18" customFormat="false" ht="15" hidden="false" customHeight="true" outlineLevel="0" collapsed="false">
      <c r="A18" s="4" t="s">
        <v>524</v>
      </c>
    </row>
    <row r="19" customFormat="false" ht="15" hidden="false" customHeight="true" outlineLevel="0" collapsed="false">
      <c r="A19" s="4" t="s">
        <v>525</v>
      </c>
    </row>
    <row r="20" customFormat="false" ht="15" hidden="false" customHeight="true" outlineLevel="0" collapsed="false">
      <c r="A20" s="4" t="s">
        <v>526</v>
      </c>
    </row>
    <row r="21" customFormat="false" ht="15" hidden="false" customHeight="true" outlineLevel="0" collapsed="false">
      <c r="A21" s="4" t="s">
        <v>527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4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48"/>
  </cols>
  <sheetData>
    <row r="1" customFormat="false" ht="17.25" hidden="false" customHeight="true" outlineLevel="0" collapsed="false">
      <c r="A1" s="2" t="s">
        <v>528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529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6" t="s">
        <v>530</v>
      </c>
      <c r="B4" s="16"/>
      <c r="C4" s="16"/>
      <c r="D4" s="16"/>
      <c r="E4" s="16"/>
      <c r="F4" s="16"/>
      <c r="G4" s="16"/>
    </row>
    <row r="5" customFormat="false" ht="15" hidden="false" customHeight="true" outlineLevel="0" collapsed="false">
      <c r="A5" s="1" t="s">
        <v>353</v>
      </c>
      <c r="B5" s="1" t="str">
        <f aca="false">Declarații_NEUTRALIZARE!B8</f>
        <v>2026-07-05</v>
      </c>
    </row>
    <row r="6" customFormat="false" ht="15" hidden="false" customHeight="true" outlineLevel="0" collapsed="false">
      <c r="A6" s="11" t="s">
        <v>182</v>
      </c>
      <c r="B6" s="11" t="s">
        <v>141</v>
      </c>
      <c r="C6" s="11" t="s">
        <v>183</v>
      </c>
      <c r="D6" s="11" t="s">
        <v>184</v>
      </c>
      <c r="E6" s="11" t="s">
        <v>142</v>
      </c>
      <c r="F6" s="11" t="s">
        <v>185</v>
      </c>
      <c r="G6" s="11" t="s">
        <v>186</v>
      </c>
    </row>
    <row r="7" customFormat="false" ht="30" hidden="false" customHeight="true" outlineLevel="0" collapsed="false">
      <c r="A7" s="23" t="n">
        <v>1</v>
      </c>
      <c r="B7" s="23" t="s">
        <v>531</v>
      </c>
      <c r="C7" s="24" t="n">
        <f aca="false">Declarații_NEUTRALIZARE!B20</f>
        <v>4500</v>
      </c>
      <c r="D7" s="23" t="str">
        <f aca="false">"Consum materiale " &amp; Declarații_NEUTRALIZARE!B37</f>
        <v>Consum materiale — 2026-07 — BUNURI — 711</v>
      </c>
      <c r="E7" s="23" t="str">
        <f aca="false">Declarații_NEUTRALIZARE!B32</f>
        <v>301</v>
      </c>
      <c r="F7" s="24" t="n">
        <f aca="false">Declarații_NEUTRALIZARE!B20</f>
        <v>4500</v>
      </c>
      <c r="G7" s="23" t="str">
        <f aca="false">"Stingere stoc materii " &amp; Declarații_NEUTRALIZARE!B37</f>
        <v>Stingere stoc materii — 2026-07 — BUNURI — 711</v>
      </c>
    </row>
    <row r="8" customFormat="false" ht="30" hidden="false" customHeight="true" outlineLevel="0" collapsed="false">
      <c r="A8" s="23" t="n">
        <v>2</v>
      </c>
      <c r="B8" s="23" t="s">
        <v>532</v>
      </c>
      <c r="C8" s="24" t="n">
        <f aca="false">Declarații_NEUTRALIZARE!B21</f>
        <v>0</v>
      </c>
      <c r="D8" s="23" t="str">
        <f aca="false">"Manoperă pe proiect " &amp; Declarații_NEUTRALIZARE!B37</f>
        <v>Manoperă pe proiect — 2026-07 — BUNURI — 711</v>
      </c>
      <c r="E8" s="23" t="s">
        <v>533</v>
      </c>
      <c r="F8" s="24" t="n">
        <f aca="false">Declarații_NEUTRALIZARE!B21</f>
        <v>0</v>
      </c>
      <c r="G8" s="23" t="str">
        <f aca="false">"Datorie salarii " &amp; Declarații_NEUTRALIZARE!B37</f>
        <v>Datorie salarii — 2026-07 — BUNURI — 711</v>
      </c>
    </row>
    <row r="9" customFormat="false" ht="15" hidden="false" customHeight="true" outlineLevel="0" collapsed="false">
      <c r="A9" s="1" t="s">
        <v>275</v>
      </c>
      <c r="B9" s="1" t="n">
        <f aca="false">(C7+C8)-(F7+F8)</f>
        <v>0</v>
      </c>
      <c r="C9" s="29" t="str">
        <f aca="false">IF(ABS(B9)&lt;0.01,"OK","EROARE")</f>
        <v>OK</v>
      </c>
    </row>
    <row r="11" customFormat="false" ht="15" hidden="false" customHeight="true" outlineLevel="0" collapsed="false">
      <c r="A11" s="16" t="s">
        <v>534</v>
      </c>
      <c r="B11" s="16"/>
      <c r="C11" s="16"/>
      <c r="D11" s="16"/>
      <c r="E11" s="16"/>
      <c r="F11" s="16"/>
      <c r="G11" s="16"/>
    </row>
    <row r="12" customFormat="false" ht="15" hidden="false" customHeight="true" outlineLevel="0" collapsed="false">
      <c r="A12" s="1" t="s">
        <v>353</v>
      </c>
      <c r="B12" s="1" t="str">
        <f aca="false">Declarații_NEUTRALIZARE!B9</f>
        <v>2026-07-20</v>
      </c>
    </row>
    <row r="13" customFormat="false" ht="15" hidden="false" customHeight="true" outlineLevel="0" collapsed="false">
      <c r="A13" s="11" t="s">
        <v>182</v>
      </c>
      <c r="B13" s="11" t="s">
        <v>141</v>
      </c>
      <c r="C13" s="11" t="s">
        <v>183</v>
      </c>
      <c r="D13" s="11" t="s">
        <v>184</v>
      </c>
      <c r="E13" s="11" t="s">
        <v>142</v>
      </c>
      <c r="F13" s="11" t="s">
        <v>185</v>
      </c>
      <c r="G13" s="11" t="s">
        <v>186</v>
      </c>
    </row>
    <row r="14" customFormat="false" ht="30" hidden="false" customHeight="true" outlineLevel="0" collapsed="false">
      <c r="A14" s="23" t="n">
        <v>1</v>
      </c>
      <c r="B14" s="23" t="n">
        <f aca="false">Declarații_NEUTRALIZARE!B15</f>
        <v>331</v>
      </c>
      <c r="C14" s="24" t="n">
        <f aca="false">Declarații_NEUTRALIZARE!B23</f>
        <v>4500</v>
      </c>
      <c r="D14" s="23" t="str">
        <f aca="false">"Stoc intermediar (PN/servicii/MF în curs) " &amp; Declarații_NEUTRALIZARE!B37</f>
        <v>Stoc intermediar (PN/servicii/MF în curs) — 2026-07 — BUNURI — 711</v>
      </c>
      <c r="E14" s="23" t="n">
        <f aca="false">Declarații_NEUTRALIZARE!B14</f>
        <v>711</v>
      </c>
      <c r="F14" s="24" t="n">
        <f aca="false">Declarații_NEUTRALIZARE!B23</f>
        <v>4500</v>
      </c>
      <c r="G14" s="23" t="str">
        <f aca="false">"Venit producție / neutralizare " &amp; Declarații_NEUTRALIZARE!B37</f>
        <v>Venit producție / neutralizare — 2026-07 — BUNURI — 711</v>
      </c>
    </row>
    <row r="15" customFormat="false" ht="15" hidden="false" customHeight="true" outlineLevel="0" collapsed="false">
      <c r="A15" s="1" t="s">
        <v>278</v>
      </c>
      <c r="B15" s="1" t="n">
        <f aca="false">C14-F14</f>
        <v>0</v>
      </c>
      <c r="C15" s="29" t="str">
        <f aca="false">IF(ABS(B15)&lt;0.01,"OK","EROARE")</f>
        <v>OK</v>
      </c>
    </row>
    <row r="17" customFormat="false" ht="15" hidden="false" customHeight="true" outlineLevel="0" collapsed="false">
      <c r="A17" s="16" t="s">
        <v>535</v>
      </c>
      <c r="B17" s="16"/>
      <c r="C17" s="16"/>
      <c r="D17" s="16"/>
      <c r="E17" s="16"/>
      <c r="F17" s="16"/>
      <c r="G17" s="16"/>
    </row>
    <row r="18" customFormat="false" ht="15" hidden="false" customHeight="true" outlineLevel="0" collapsed="false">
      <c r="A18" s="1" t="s">
        <v>353</v>
      </c>
      <c r="B18" s="1" t="str">
        <f aca="false">Declarații_NEUTRALIZARE!B9</f>
        <v>2026-07-20</v>
      </c>
    </row>
    <row r="19" customFormat="false" ht="15" hidden="false" customHeight="true" outlineLevel="0" collapsed="false">
      <c r="A19" s="11" t="s">
        <v>182</v>
      </c>
      <c r="B19" s="11" t="s">
        <v>141</v>
      </c>
      <c r="C19" s="11" t="s">
        <v>183</v>
      </c>
      <c r="D19" s="11" t="s">
        <v>184</v>
      </c>
      <c r="E19" s="11" t="s">
        <v>142</v>
      </c>
      <c r="F19" s="11" t="s">
        <v>185</v>
      </c>
      <c r="G19" s="11" t="s">
        <v>186</v>
      </c>
    </row>
    <row r="20" customFormat="false" ht="30" hidden="false" customHeight="true" outlineLevel="0" collapsed="false">
      <c r="A20" s="23" t="n">
        <v>1</v>
      </c>
      <c r="B20" s="23" t="n">
        <f aca="false">IF(Declarații_NEUTRALIZARE!B13="BUNURI",Declarații_NEUTRALIZARE!B14,IF(Declarații_NEUTRALIZARE!B13="SERVICII",Declarații_NEUTRALIZARE!B14,Declarații_NEUTRALIZARE!B16))</f>
        <v>711</v>
      </c>
      <c r="C20" s="24" t="n">
        <f aca="false">Declarații_NEUTRALIZARE!B23</f>
        <v>4500</v>
      </c>
      <c r="D20" s="23" t="str">
        <f aca="false">IF(Declarații_NEUTRALIZARE!B13="BUNURI","Reluare PN (711 debitat #1) ",IF(Declarații_NEUTRALIZARE!B13="SERVICII","Stingere servicii în curs ","Transfer MF final ")) &amp; Declarații_NEUTRALIZARE!B37</f>
        <v>Reluare PN (711 debitat #1) — 2026-07 — BUNURI — 711</v>
      </c>
      <c r="E20" s="23" t="n">
        <f aca="false">IF(Declarații_NEUTRALIZARE!B13="MF",Declarații_NEUTRALIZARE!B15,Declarații_NEUTRALIZARE!B15)</f>
        <v>331</v>
      </c>
      <c r="F20" s="24" t="n">
        <f aca="false">Declarații_NEUTRALIZARE!B23</f>
        <v>4500</v>
      </c>
      <c r="G20" s="23" t="str">
        <f aca="false">"Stingere stoc intermediar " &amp; Declarații_NEUTRALIZARE!B37</f>
        <v>Stingere stoc intermediar — 2026-07 — BUNURI — 711</v>
      </c>
    </row>
    <row r="21" customFormat="false" ht="30" hidden="false" customHeight="true" outlineLevel="0" collapsed="false">
      <c r="A21" s="23" t="n">
        <v>2</v>
      </c>
      <c r="B21" s="23" t="n">
        <f aca="false">IF(Declarații_NEUTRALIZARE!B13="BUNURI",Declarații_NEUTRALIZARE!B16,0)</f>
        <v>345</v>
      </c>
      <c r="C21" s="24" t="n">
        <f aca="false">IF(Declarații_NEUTRALIZARE!B13="BUNURI",Declarații_NEUTRALIZARE!B23,0)</f>
        <v>4500</v>
      </c>
      <c r="D21" s="23" t="str">
        <f aca="false">IF(Declarații_NEUTRALIZARE!B13="BUNURI","Obținere produs finit (345=711) " &amp; Declarații_NEUTRALIZARE!B37,"")</f>
        <v>Obținere produs finit (345=711) — 2026-07 — BUNURI — 711</v>
      </c>
      <c r="E21" s="23" t="n">
        <f aca="false">IF(Declarații_NEUTRALIZARE!B13="BUNURI",Declarații_NEUTRALIZARE!B14,0)</f>
        <v>711</v>
      </c>
      <c r="F21" s="24" t="n">
        <f aca="false">IF(Declarații_NEUTRALIZARE!B13="BUNURI",Declarații_NEUTRALIZARE!B23,0)</f>
        <v>4500</v>
      </c>
      <c r="G21" s="23" t="str">
        <f aca="false">IF(Declarații_NEUTRALIZARE!B13="BUNURI","Neutralizare (711 creditat #2) " &amp; Declarații_NEUTRALIZARE!B37,"")</f>
        <v>Neutralizare (711 creditat #2) — 2026-07 — BUNURI — 711</v>
      </c>
    </row>
    <row r="22" customFormat="false" ht="15" hidden="false" customHeight="true" outlineLevel="0" collapsed="false">
      <c r="A22" s="1" t="s">
        <v>452</v>
      </c>
      <c r="B22" s="1" t="n">
        <f aca="false">(C20+C21)-(F20+F21)</f>
        <v>0</v>
      </c>
      <c r="C22" s="29" t="str">
        <f aca="false">IF(ABS(B22)&lt;0.01,"OK","EROARE")</f>
        <v>OK</v>
      </c>
    </row>
    <row r="24" customFormat="false" ht="15" hidden="false" customHeight="true" outlineLevel="0" collapsed="false">
      <c r="A24" s="16" t="s">
        <v>536</v>
      </c>
      <c r="B24" s="16"/>
      <c r="C24" s="16"/>
      <c r="D24" s="16"/>
      <c r="E24" s="16"/>
      <c r="F24" s="16"/>
      <c r="G24" s="16"/>
    </row>
    <row r="25" customFormat="false" ht="15" hidden="false" customHeight="true" outlineLevel="0" collapsed="false">
      <c r="A25" s="1" t="s">
        <v>353</v>
      </c>
      <c r="B25" s="1" t="str">
        <f aca="false">Declarații_NEUTRALIZARE!B10</f>
        <v>2026-07-25</v>
      </c>
    </row>
    <row r="26" customFormat="false" ht="15" hidden="false" customHeight="true" outlineLevel="0" collapsed="false">
      <c r="A26" s="11" t="s">
        <v>182</v>
      </c>
      <c r="B26" s="11" t="s">
        <v>141</v>
      </c>
      <c r="C26" s="11" t="s">
        <v>183</v>
      </c>
      <c r="D26" s="11" t="s">
        <v>184</v>
      </c>
      <c r="E26" s="11" t="s">
        <v>142</v>
      </c>
      <c r="F26" s="11" t="s">
        <v>185</v>
      </c>
      <c r="G26" s="11" t="s">
        <v>186</v>
      </c>
    </row>
    <row r="27" customFormat="false" ht="30" hidden="false" customHeight="true" outlineLevel="0" collapsed="false">
      <c r="A27" s="23" t="n">
        <v>1</v>
      </c>
      <c r="B27" s="23" t="str">
        <f aca="false">IF(OR(Declarații_NEUTRALIZARE!B13="BUNURI",Declarații_NEUTRALIZARE!B13="SERVICII"),Declarații_NEUTRALIZARE!B33,0)</f>
        <v>411.RO</v>
      </c>
      <c r="C27" s="24" t="n">
        <f aca="false">IF(OR(Declarații_NEUTRALIZARE!B13="BUNURI",Declarații_NEUTRALIZARE!B13="SERVICII"),Declarații_NEUTRALIZARE!B29,0)</f>
        <v>8470</v>
      </c>
      <c r="D27" s="23" t="str">
        <f aca="false">"Creanță client " &amp; Declarații_NEUTRALIZARE!B37</f>
        <v>Creanță client — 2026-07 — BUNURI — 711</v>
      </c>
      <c r="E27" s="23" t="n">
        <f aca="false">IF(OR(Declarații_NEUTRALIZARE!B13="BUNURI",Declarații_NEUTRALIZARE!B13="SERVICII"),Declarații_NEUTRALIZARE!B17,0)</f>
        <v>701</v>
      </c>
      <c r="F27" s="24" t="n">
        <f aca="false">IF(OR(Declarații_NEUTRALIZARE!B13="BUNURI",Declarații_NEUTRALIZARE!B13="SERVICII"),Declarații_NEUTRALIZARE!B26,0)</f>
        <v>7000</v>
      </c>
      <c r="G27" s="23" t="str">
        <f aca="false">"Venit din vânzare " &amp; Declarații_NEUTRALIZARE!B37</f>
        <v>Venit din vânzare — 2026-07 — BUNURI — 711</v>
      </c>
    </row>
    <row r="28" customFormat="false" ht="30" hidden="false" customHeight="true" outlineLevel="0" collapsed="false">
      <c r="A28" s="23" t="n">
        <v>2</v>
      </c>
      <c r="B28" s="23" t="n">
        <v>0</v>
      </c>
      <c r="C28" s="23" t="n">
        <v>0</v>
      </c>
      <c r="D28" s="23"/>
      <c r="E28" s="23" t="str">
        <f aca="false">IF(OR(Declarații_NEUTRALIZARE!B13="BUNURI",Declarații_NEUTRALIZARE!B13="SERVICII"),Declarații_NEUTRALIZARE!B34,0)</f>
        <v>4427</v>
      </c>
      <c r="F28" s="24" t="n">
        <f aca="false">IF(OR(Declarații_NEUTRALIZARE!B13="BUNURI",Declarații_NEUTRALIZARE!B13="SERVICII"),Declarații_NEUTRALIZARE!B28,0)</f>
        <v>1470</v>
      </c>
      <c r="G28" s="23" t="str">
        <f aca="false">"TVA colectată " &amp; Declarații_NEUTRALIZARE!B37</f>
        <v>TVA colectată — 2026-07 — BUNURI — 711</v>
      </c>
    </row>
    <row r="29" customFormat="false" ht="30" hidden="false" customHeight="true" outlineLevel="0" collapsed="false">
      <c r="A29" s="23" t="n">
        <v>3</v>
      </c>
      <c r="B29" s="23" t="n">
        <f aca="false">IF(Declarații_NEUTRALIZARE!B13="BUNURI",Declarații_NEUTRALIZARE!B14,IF(Declarații_NEUTRALIZARE!B13="SERVICII",Declarații_NEUTRALIZARE!B14,0))</f>
        <v>711</v>
      </c>
      <c r="C29" s="24" t="n">
        <f aca="false">IF(OR(Declarații_NEUTRALIZARE!B13="BUNURI",Declarații_NEUTRALIZARE!B13="SERVICII"),Declarații_NEUTRALIZARE!B23,0)</f>
        <v>4500</v>
      </c>
      <c r="D29" s="23" t="str">
        <f aca="false">IF(Declarații_NEUTRALIZARE!B13="BUNURI","Descărcare PF prin 711 (NU 607) ",IF(Declarații_NEUTRALIZARE!B13="SERVICII","Stingere 712 la livrare ","")) &amp; Declarații_NEUTRALIZARE!B37</f>
        <v>Descărcare PF prin 711 (NU 607) — 2026-07 — BUNURI — 711</v>
      </c>
      <c r="E29" s="23" t="n">
        <f aca="false">IF(Declarații_NEUTRALIZARE!B13="BUNURI",Declarații_NEUTRALIZARE!B16,0)</f>
        <v>345</v>
      </c>
      <c r="F29" s="24" t="n">
        <f aca="false">IF(Declarații_NEUTRALIZARE!B13="BUNURI",Declarații_NEUTRALIZARE!B23,0)</f>
        <v>4500</v>
      </c>
      <c r="G29" s="23" t="str">
        <f aca="false">IF(Declarații_NEUTRALIZARE!B13="BUNURI","Stingere stoc PF " &amp; Declarații_NEUTRALIZARE!B37,"")</f>
        <v>Stingere stoc PF — 2026-07 — BUNURI — 711</v>
      </c>
    </row>
    <row r="30" customFormat="false" ht="15" hidden="false" customHeight="true" outlineLevel="0" collapsed="false">
      <c r="A30" s="1" t="s">
        <v>454</v>
      </c>
      <c r="B30" s="1" t="n">
        <f aca="false">(C27+C28+C29)-(F27+F28+F29)</f>
        <v>0</v>
      </c>
      <c r="C30" s="29" t="str">
        <f aca="false">IF(ABS(B30)&lt;0.01,"OK","EROARE")</f>
        <v>OK</v>
      </c>
    </row>
    <row r="32" customFormat="false" ht="15" hidden="false" customHeight="true" outlineLevel="0" collapsed="false">
      <c r="A32" s="31" t="s">
        <v>288</v>
      </c>
      <c r="B32" s="1" t="n">
        <f aca="false">ABS(B9)+ABS(B15)+ABS(B22)+ABS(B30)</f>
        <v>0</v>
      </c>
      <c r="C32" s="29" t="str">
        <f aca="false">IF(B32&lt;0.01,"OK — toate blocurile se închid","EROARE — cel puțin un bloc dezechilibrat")</f>
        <v>OK — toate blocurile se închid</v>
      </c>
    </row>
    <row r="34" customFormat="false" ht="15" hidden="false" customHeight="true" outlineLevel="0" collapsed="false">
      <c r="A34" s="3" t="s">
        <v>356</v>
      </c>
    </row>
    <row r="35" customFormat="false" ht="15" hidden="false" customHeight="true" outlineLevel="0" collapsed="false">
      <c r="A35" s="10" t="s">
        <v>537</v>
      </c>
      <c r="B35" s="10"/>
      <c r="C35" s="10"/>
      <c r="D35" s="10"/>
      <c r="E35" s="10"/>
      <c r="F35" s="10"/>
      <c r="G35" s="10"/>
    </row>
  </sheetData>
  <mergeCells count="7">
    <mergeCell ref="A1:G1"/>
    <mergeCell ref="A2:G2"/>
    <mergeCell ref="A4:G4"/>
    <mergeCell ref="A11:G11"/>
    <mergeCell ref="A17:G17"/>
    <mergeCell ref="A24:G2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6" min="3" style="1" width="12"/>
    <col collapsed="false" customWidth="true" hidden="false" outlineLevel="0" max="7" min="7" style="1" width="50"/>
    <col collapsed="false" customWidth="true" hidden="false" outlineLevel="0" max="8" min="8" style="1" width="22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538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10" t="s">
        <v>539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11" t="s">
        <v>182</v>
      </c>
      <c r="B4" s="11" t="s">
        <v>196</v>
      </c>
      <c r="C4" s="11" t="s">
        <v>197</v>
      </c>
      <c r="D4" s="11" t="s">
        <v>141</v>
      </c>
      <c r="E4" s="11" t="s">
        <v>142</v>
      </c>
      <c r="F4" s="11" t="s">
        <v>198</v>
      </c>
      <c r="G4" s="11" t="s">
        <v>199</v>
      </c>
      <c r="H4" s="11" t="s">
        <v>200</v>
      </c>
      <c r="I4" s="11" t="s">
        <v>201</v>
      </c>
    </row>
    <row r="5" customFormat="false" ht="15" hidden="false" customHeight="true" outlineLevel="0" collapsed="false">
      <c r="A5" s="23" t="n">
        <v>1</v>
      </c>
      <c r="B5" s="23" t="s">
        <v>540</v>
      </c>
      <c r="C5" s="23" t="str">
        <f aca="false">Declarații_NEUTRALIZARE!B8</f>
        <v>2026-07-05</v>
      </c>
      <c r="D5" s="23" t="str">
        <f aca="false">Jurnale_NEUTRALIZARE!B7</f>
        <v>601</v>
      </c>
      <c r="E5" s="23" t="str">
        <f aca="false">Jurnale_NEUTRALIZARE!E7</f>
        <v>301</v>
      </c>
      <c r="F5" s="24" t="n">
        <f aca="false">Jurnale_NEUTRALIZARE!C7</f>
        <v>4500</v>
      </c>
      <c r="G5" s="23" t="str">
        <f aca="false">Jurnale_NEUTRALIZARE!D7</f>
        <v>Consum materiale — 2026-07 — BUNURI — 711</v>
      </c>
      <c r="H5" s="23" t="s">
        <v>541</v>
      </c>
      <c r="I5" s="23" t="str">
        <f aca="false">IF(AND(ISNUMBER(F5),F5&gt;0),"DA","NU")</f>
        <v>DA</v>
      </c>
    </row>
    <row r="6" customFormat="false" ht="15" hidden="false" customHeight="true" outlineLevel="0" collapsed="false">
      <c r="A6" s="23" t="n">
        <v>2</v>
      </c>
      <c r="B6" s="23" t="s">
        <v>540</v>
      </c>
      <c r="C6" s="23" t="str">
        <f aca="false">Declarații_NEUTRALIZARE!B8</f>
        <v>2026-07-05</v>
      </c>
      <c r="D6" s="23" t="str">
        <f aca="false">Jurnale_NEUTRALIZARE!B8</f>
        <v>641</v>
      </c>
      <c r="E6" s="23" t="str">
        <f aca="false">Jurnale_NEUTRALIZARE!E8</f>
        <v>421</v>
      </c>
      <c r="F6" s="24" t="n">
        <f aca="false">Jurnale_NEUTRALIZARE!C8</f>
        <v>0</v>
      </c>
      <c r="G6" s="23" t="str">
        <f aca="false">Jurnale_NEUTRALIZARE!D8</f>
        <v>Manoperă pe proiect — 2026-07 — BUNURI — 711</v>
      </c>
      <c r="H6" s="23" t="s">
        <v>541</v>
      </c>
      <c r="I6" s="23" t="str">
        <f aca="false">IF(AND(ISNUMBER(F6),F6&gt;0),"DA","NU")</f>
        <v>NU</v>
      </c>
    </row>
    <row r="7" customFormat="false" ht="21.75" hidden="false" customHeight="true" outlineLevel="0" collapsed="false">
      <c r="A7" s="23" t="n">
        <v>3</v>
      </c>
      <c r="B7" s="23" t="s">
        <v>542</v>
      </c>
      <c r="C7" s="23" t="str">
        <f aca="false">Declarații_NEUTRALIZARE!B9</f>
        <v>2026-07-20</v>
      </c>
      <c r="D7" s="23" t="n">
        <f aca="false">Jurnale_NEUTRALIZARE!B14</f>
        <v>331</v>
      </c>
      <c r="E7" s="23" t="n">
        <f aca="false">Jurnale_NEUTRALIZARE!E14</f>
        <v>711</v>
      </c>
      <c r="F7" s="24" t="n">
        <f aca="false">Jurnale_NEUTRALIZARE!C14</f>
        <v>4500</v>
      </c>
      <c r="G7" s="23" t="str">
        <f aca="false">Jurnale_NEUTRALIZARE!D14</f>
        <v>Stoc intermediar (PN/servicii/MF în curs) — 2026-07 — BUNURI — 711</v>
      </c>
      <c r="H7" s="23" t="s">
        <v>541</v>
      </c>
      <c r="I7" s="23" t="str">
        <f aca="false">IF(AND(ISNUMBER(F7),F7&gt;0),"DA","NU")</f>
        <v>DA</v>
      </c>
    </row>
    <row r="8" customFormat="false" ht="15" hidden="false" customHeight="true" outlineLevel="0" collapsed="false">
      <c r="A8" s="23" t="n">
        <v>4</v>
      </c>
      <c r="B8" s="23" t="s">
        <v>543</v>
      </c>
      <c r="C8" s="23" t="str">
        <f aca="false">Declarații_NEUTRALIZARE!B9</f>
        <v>2026-07-20</v>
      </c>
      <c r="D8" s="23" t="n">
        <f aca="false">Jurnale_NEUTRALIZARE!B20</f>
        <v>711</v>
      </c>
      <c r="E8" s="23" t="n">
        <f aca="false">Jurnale_NEUTRALIZARE!E20</f>
        <v>331</v>
      </c>
      <c r="F8" s="24" t="n">
        <f aca="false">Jurnale_NEUTRALIZARE!C20</f>
        <v>4500</v>
      </c>
      <c r="G8" s="23" t="str">
        <f aca="false">Jurnale_NEUTRALIZARE!D20</f>
        <v>Reluare PN (711 debitat #1) — 2026-07 — BUNURI — 711</v>
      </c>
      <c r="H8" s="23" t="s">
        <v>541</v>
      </c>
      <c r="I8" s="23" t="str">
        <f aca="false">IF(AND(ISNUMBER(F8),F8&gt;0),"DA","NU")</f>
        <v>DA</v>
      </c>
    </row>
    <row r="9" customFormat="false" ht="15" hidden="false" customHeight="true" outlineLevel="0" collapsed="false">
      <c r="A9" s="23" t="n">
        <v>5</v>
      </c>
      <c r="B9" s="23" t="s">
        <v>543</v>
      </c>
      <c r="C9" s="23" t="str">
        <f aca="false">Declarații_NEUTRALIZARE!B9</f>
        <v>2026-07-20</v>
      </c>
      <c r="D9" s="23" t="n">
        <f aca="false">Jurnale_NEUTRALIZARE!B21</f>
        <v>345</v>
      </c>
      <c r="E9" s="23" t="n">
        <f aca="false">Jurnale_NEUTRALIZARE!E21</f>
        <v>711</v>
      </c>
      <c r="F9" s="24" t="n">
        <f aca="false">Jurnale_NEUTRALIZARE!C21</f>
        <v>4500</v>
      </c>
      <c r="G9" s="23" t="str">
        <f aca="false">Jurnale_NEUTRALIZARE!D21</f>
        <v>Obținere produs finit (345=711) — 2026-07 — BUNURI — 711</v>
      </c>
      <c r="H9" s="23" t="s">
        <v>541</v>
      </c>
      <c r="I9" s="23" t="str">
        <f aca="false">IF(AND(ISNUMBER(F9),F9&gt;0),"DA","NU")</f>
        <v>DA</v>
      </c>
    </row>
    <row r="10" customFormat="false" ht="15" hidden="false" customHeight="true" outlineLevel="0" collapsed="false">
      <c r="A10" s="23" t="n">
        <v>6</v>
      </c>
      <c r="B10" s="23" t="s">
        <v>544</v>
      </c>
      <c r="C10" s="23" t="str">
        <f aca="false">Declarații_NEUTRALIZARE!B10</f>
        <v>2026-07-25</v>
      </c>
      <c r="D10" s="23" t="str">
        <f aca="false">Jurnale_NEUTRALIZARE!B27</f>
        <v>411.RO</v>
      </c>
      <c r="E10" s="23" t="n">
        <f aca="false">Jurnale_NEUTRALIZARE!E27</f>
        <v>701</v>
      </c>
      <c r="F10" s="24" t="n">
        <f aca="false">Jurnale_NEUTRALIZARE!F27</f>
        <v>7000</v>
      </c>
      <c r="G10" s="23" t="str">
        <f aca="false">Jurnale_NEUTRALIZARE!D27</f>
        <v>Creanță client — 2026-07 — BUNURI — 711</v>
      </c>
      <c r="H10" s="23" t="s">
        <v>541</v>
      </c>
      <c r="I10" s="23" t="str">
        <f aca="false">IF(AND(ISNUMBER(F10),F10&gt;0),"DA","NU")</f>
        <v>DA</v>
      </c>
    </row>
    <row r="11" customFormat="false" ht="15" hidden="false" customHeight="true" outlineLevel="0" collapsed="false">
      <c r="A11" s="23" t="n">
        <v>7</v>
      </c>
      <c r="B11" s="23" t="s">
        <v>545</v>
      </c>
      <c r="C11" s="23" t="str">
        <f aca="false">Declarații_NEUTRALIZARE!B10</f>
        <v>2026-07-25</v>
      </c>
      <c r="D11" s="23" t="str">
        <f aca="false">Jurnale_NEUTRALIZARE!B27</f>
        <v>411.RO</v>
      </c>
      <c r="E11" s="23" t="str">
        <f aca="false">Jurnale_NEUTRALIZARE!E28</f>
        <v>4427</v>
      </c>
      <c r="F11" s="24" t="n">
        <f aca="false">Jurnale_NEUTRALIZARE!F28</f>
        <v>1470</v>
      </c>
      <c r="G11" s="23" t="str">
        <f aca="false">Jurnale_NEUTRALIZARE!G28</f>
        <v>TVA colectată — 2026-07 — BUNURI — 711</v>
      </c>
      <c r="H11" s="23" t="s">
        <v>541</v>
      </c>
      <c r="I11" s="23" t="str">
        <f aca="false">IF(AND(ISNUMBER(F11),F11&gt;0),"DA","NU")</f>
        <v>DA</v>
      </c>
    </row>
    <row r="12" customFormat="false" ht="15" hidden="false" customHeight="true" outlineLevel="0" collapsed="false">
      <c r="A12" s="23" t="n">
        <v>8</v>
      </c>
      <c r="B12" s="23" t="s">
        <v>546</v>
      </c>
      <c r="C12" s="23" t="str">
        <f aca="false">Declarații_NEUTRALIZARE!B10</f>
        <v>2026-07-25</v>
      </c>
      <c r="D12" s="23" t="n">
        <f aca="false">Jurnale_NEUTRALIZARE!B29</f>
        <v>711</v>
      </c>
      <c r="E12" s="23" t="n">
        <f aca="false">Jurnale_NEUTRALIZARE!E29</f>
        <v>345</v>
      </c>
      <c r="F12" s="24" t="n">
        <f aca="false">Jurnale_NEUTRALIZARE!C29</f>
        <v>4500</v>
      </c>
      <c r="G12" s="23" t="str">
        <f aca="false">Jurnale_NEUTRALIZARE!D29</f>
        <v>Descărcare PF prin 711 (NU 607) — 2026-07 — BUNURI — 711</v>
      </c>
      <c r="H12" s="23" t="s">
        <v>541</v>
      </c>
      <c r="I12" s="23" t="str">
        <f aca="false">IF(AND(ISNUMBER(F12),F12&gt;0),"DA","NU")</f>
        <v>DA</v>
      </c>
    </row>
    <row r="14" customFormat="false" ht="15" hidden="false" customHeight="true" outlineLevel="0" collapsed="false">
      <c r="A14" s="1" t="s">
        <v>287</v>
      </c>
      <c r="B14" s="1" t="n">
        <f aca="false">COUNTIF(I5:I12,"DA")</f>
        <v>7</v>
      </c>
    </row>
    <row r="15" customFormat="false" ht="15" hidden="false" customHeight="true" outlineLevel="0" collapsed="false">
      <c r="A15" s="1" t="s">
        <v>288</v>
      </c>
      <c r="B15" s="1" t="n">
        <f aca="false">Jurnale_NEUTRALIZARE!B32</f>
        <v>0</v>
      </c>
      <c r="C15" s="1" t="str">
        <f aca="false">IF(ABS(B15)&lt;0.01,"OK","EROARE")</f>
        <v>OK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</cols>
  <sheetData>
    <row r="1" customFormat="false" ht="17.25" hidden="false" customHeight="true" outlineLevel="0" collapsed="false">
      <c r="A1" s="2" t="s">
        <v>547</v>
      </c>
      <c r="B1" s="2"/>
      <c r="C1" s="2"/>
      <c r="D1" s="2"/>
      <c r="E1" s="2"/>
    </row>
    <row r="2" customFormat="false" ht="15" hidden="false" customHeight="true" outlineLevel="0" collapsed="false">
      <c r="A2" s="10" t="s">
        <v>548</v>
      </c>
      <c r="B2" s="10"/>
      <c r="C2" s="10"/>
      <c r="D2" s="10"/>
      <c r="E2" s="10"/>
    </row>
    <row r="4" customFormat="false" ht="15" hidden="false" customHeight="true" outlineLevel="0" collapsed="false">
      <c r="A4" s="3" t="s">
        <v>109</v>
      </c>
    </row>
    <row r="5" customFormat="false" ht="15" hidden="false" customHeight="true" outlineLevel="0" collapsed="false">
      <c r="A5" s="1" t="s">
        <v>110</v>
      </c>
      <c r="B5" s="17" t="str">
        <f aca="false">Parametri!B5</f>
        <v>SC EXEMPLU SRL</v>
      </c>
    </row>
    <row r="6" customFormat="false" ht="15" hidden="false" customHeight="true" outlineLevel="0" collapsed="false">
      <c r="A6" s="1" t="s">
        <v>549</v>
      </c>
      <c r="B6" s="14" t="s">
        <v>550</v>
      </c>
    </row>
    <row r="7" customFormat="false" ht="15" hidden="false" customHeight="true" outlineLevel="0" collapsed="false">
      <c r="A7" s="1" t="s">
        <v>551</v>
      </c>
      <c r="B7" s="14" t="s">
        <v>25</v>
      </c>
    </row>
    <row r="8" customFormat="false" ht="15" hidden="false" customHeight="true" outlineLevel="0" collapsed="false">
      <c r="A8" s="1" t="s">
        <v>552</v>
      </c>
      <c r="B8" s="14" t="s">
        <v>467</v>
      </c>
    </row>
    <row r="9" customFormat="false" ht="15" hidden="false" customHeight="true" outlineLevel="0" collapsed="false">
      <c r="A9" s="1" t="s">
        <v>553</v>
      </c>
      <c r="B9" s="14" t="s">
        <v>113</v>
      </c>
    </row>
    <row r="11" customFormat="false" ht="15" hidden="false" customHeight="true" outlineLevel="0" collapsed="false">
      <c r="A11" s="3" t="s">
        <v>554</v>
      </c>
    </row>
    <row r="12" customFormat="false" ht="15" hidden="false" customHeight="true" outlineLevel="0" collapsed="false">
      <c r="A12" s="1" t="s">
        <v>555</v>
      </c>
      <c r="B12" s="18" t="n">
        <v>10000</v>
      </c>
    </row>
    <row r="13" customFormat="false" ht="15" hidden="false" customHeight="true" outlineLevel="0" collapsed="false">
      <c r="A13" s="1" t="s">
        <v>556</v>
      </c>
      <c r="B13" s="28" t="n">
        <v>0.3</v>
      </c>
    </row>
    <row r="14" customFormat="false" ht="15" hidden="false" customHeight="true" outlineLevel="0" collapsed="false">
      <c r="A14" s="1" t="s">
        <v>557</v>
      </c>
      <c r="B14" s="28" t="n">
        <v>0.21</v>
      </c>
    </row>
    <row r="15" customFormat="false" ht="15" hidden="false" customHeight="true" outlineLevel="0" collapsed="false">
      <c r="A15" s="1" t="s">
        <v>558</v>
      </c>
      <c r="B15" s="19" t="n">
        <f aca="false">B12*B13</f>
        <v>3000</v>
      </c>
    </row>
    <row r="16" customFormat="false" ht="15" hidden="false" customHeight="true" outlineLevel="0" collapsed="false">
      <c r="A16" s="1" t="s">
        <v>559</v>
      </c>
      <c r="B16" s="19" t="n">
        <f aca="false">B12+B15</f>
        <v>13000</v>
      </c>
    </row>
    <row r="17" customFormat="false" ht="15" hidden="false" customHeight="true" outlineLevel="0" collapsed="false">
      <c r="A17" s="1" t="s">
        <v>560</v>
      </c>
      <c r="B17" s="19" t="n">
        <f aca="false">B16*B14</f>
        <v>2730</v>
      </c>
    </row>
    <row r="18" customFormat="false" ht="15" hidden="false" customHeight="true" outlineLevel="0" collapsed="false">
      <c r="A18" s="1" t="s">
        <v>561</v>
      </c>
      <c r="B18" s="19" t="n">
        <f aca="false">B16+B17</f>
        <v>15730</v>
      </c>
    </row>
    <row r="19" customFormat="false" ht="15" hidden="false" customHeight="true" outlineLevel="0" collapsed="false">
      <c r="A19" s="1" t="s">
        <v>562</v>
      </c>
      <c r="B19" s="19" t="n">
        <f aca="false">B12*B14</f>
        <v>2100</v>
      </c>
    </row>
    <row r="21" customFormat="false" ht="15" hidden="false" customHeight="true" outlineLevel="0" collapsed="false">
      <c r="A21" s="3" t="s">
        <v>563</v>
      </c>
    </row>
    <row r="22" customFormat="false" ht="15" hidden="false" customHeight="true" outlineLevel="0" collapsed="false">
      <c r="A22" s="1" t="s">
        <v>564</v>
      </c>
      <c r="B22" s="14" t="s">
        <v>565</v>
      </c>
    </row>
    <row r="23" customFormat="false" ht="15" hidden="false" customHeight="true" outlineLevel="0" collapsed="false">
      <c r="A23" s="1" t="s">
        <v>566</v>
      </c>
      <c r="B23" s="14" t="s">
        <v>567</v>
      </c>
    </row>
    <row r="24" customFormat="false" ht="15" hidden="false" customHeight="true" outlineLevel="0" collapsed="false">
      <c r="A24" s="1" t="s">
        <v>568</v>
      </c>
      <c r="B24" s="14" t="s">
        <v>569</v>
      </c>
    </row>
    <row r="25" customFormat="false" ht="15" hidden="false" customHeight="true" outlineLevel="0" collapsed="false">
      <c r="A25" s="1" t="s">
        <v>226</v>
      </c>
      <c r="B25" s="14" t="s">
        <v>227</v>
      </c>
    </row>
    <row r="26" customFormat="false" ht="15" hidden="false" customHeight="true" outlineLevel="0" collapsed="false">
      <c r="A26" s="1" t="s">
        <v>118</v>
      </c>
      <c r="B26" s="14" t="s">
        <v>119</v>
      </c>
    </row>
    <row r="27" customFormat="false" ht="15" hidden="false" customHeight="true" outlineLevel="0" collapsed="false">
      <c r="A27" s="1" t="s">
        <v>570</v>
      </c>
      <c r="B27" s="14" t="s">
        <v>571</v>
      </c>
    </row>
    <row r="28" customFormat="false" ht="15" hidden="false" customHeight="true" outlineLevel="0" collapsed="false">
      <c r="A28" s="1" t="s">
        <v>572</v>
      </c>
      <c r="B28" s="14" t="s">
        <v>573</v>
      </c>
    </row>
    <row r="29" customFormat="false" ht="15" hidden="false" customHeight="true" outlineLevel="0" collapsed="false">
      <c r="A29" s="1" t="s">
        <v>120</v>
      </c>
      <c r="B29" s="14" t="s">
        <v>121</v>
      </c>
    </row>
    <row r="30" customFormat="false" ht="15" hidden="false" customHeight="true" outlineLevel="0" collapsed="false">
      <c r="A30" s="1" t="s">
        <v>574</v>
      </c>
      <c r="B30" s="14" t="s">
        <v>575</v>
      </c>
    </row>
    <row r="31" customFormat="false" ht="15" hidden="false" customHeight="true" outlineLevel="0" collapsed="false">
      <c r="A31" s="1" t="s">
        <v>122</v>
      </c>
      <c r="B31" s="14" t="s">
        <v>123</v>
      </c>
    </row>
    <row r="33" customFormat="false" ht="15" hidden="false" customHeight="true" outlineLevel="0" collapsed="false">
      <c r="A33" s="3" t="s">
        <v>576</v>
      </c>
    </row>
    <row r="34" customFormat="false" ht="15" hidden="false" customHeight="true" outlineLevel="0" collapsed="false">
      <c r="A34" s="1" t="s">
        <v>577</v>
      </c>
      <c r="B34" s="19" t="n">
        <f aca="false">B18*B14/(1+B14)</f>
        <v>2730</v>
      </c>
    </row>
    <row r="35" customFormat="false" ht="15" hidden="false" customHeight="true" outlineLevel="0" collapsed="false">
      <c r="A35" s="1" t="s">
        <v>578</v>
      </c>
      <c r="B35" s="20" t="str">
        <f aca="false">IF(ABS(B34-B17)&lt;0.01,"OK — corelație 1 ține","EROARE")</f>
        <v>OK — corelație 1 ține</v>
      </c>
    </row>
    <row r="36" customFormat="false" ht="15" hidden="false" customHeight="true" outlineLevel="0" collapsed="false">
      <c r="A36" s="1" t="s">
        <v>579</v>
      </c>
      <c r="B36" s="19" t="n">
        <f aca="false">B16-B12</f>
        <v>3000</v>
      </c>
    </row>
    <row r="37" customFormat="false" ht="15" hidden="false" customHeight="true" outlineLevel="0" collapsed="false">
      <c r="A37" s="1" t="s">
        <v>580</v>
      </c>
      <c r="B37" s="20" t="str">
        <f aca="false">IF(ABS(B36-B15)&lt;0.01,"OK — corelație 2 ține","EROARE")</f>
        <v>OK — corelație 2 ține</v>
      </c>
    </row>
    <row r="39" customFormat="false" ht="15" hidden="false" customHeight="true" outlineLevel="0" collapsed="false">
      <c r="A39" s="3" t="s">
        <v>581</v>
      </c>
    </row>
    <row r="40" customFormat="false" ht="15" hidden="false" customHeight="true" outlineLevel="0" collapsed="false">
      <c r="A40" s="1" t="s">
        <v>132</v>
      </c>
      <c r="B40" s="20" t="str">
        <f aca="false">"— amănunt " &amp; B6 &amp; " — " &amp; B7</f>
        <v>— amănunt AM.21 — 2026-07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0" width="22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22"/>
  </cols>
  <sheetData>
    <row r="1" customFormat="false" ht="17.25" hidden="false" customHeight="true" outlineLevel="0" collapsed="false">
      <c r="A1" s="33" t="s">
        <v>582</v>
      </c>
      <c r="B1" s="33"/>
      <c r="C1" s="33"/>
      <c r="D1" s="33"/>
      <c r="E1" s="33"/>
      <c r="F1" s="33"/>
    </row>
    <row r="2" customFormat="false" ht="15" hidden="false" customHeight="false" outlineLevel="0" collapsed="false">
      <c r="A2" s="6" t="s">
        <v>583</v>
      </c>
      <c r="B2" s="6"/>
      <c r="C2" s="6"/>
      <c r="D2" s="6"/>
      <c r="E2" s="6"/>
      <c r="F2" s="6"/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34" t="s">
        <v>584</v>
      </c>
    </row>
    <row r="5" customFormat="false" ht="15" hidden="false" customHeight="true" outlineLevel="0" collapsed="false">
      <c r="A5" s="35" t="s">
        <v>140</v>
      </c>
      <c r="B5" s="35" t="s">
        <v>141</v>
      </c>
      <c r="C5" s="35" t="s">
        <v>142</v>
      </c>
      <c r="D5" s="35" t="s">
        <v>143</v>
      </c>
      <c r="E5" s="35" t="s">
        <v>144</v>
      </c>
      <c r="F5" s="35" t="s">
        <v>145</v>
      </c>
    </row>
    <row r="6" customFormat="false" ht="31.5" hidden="false" customHeight="true" outlineLevel="0" collapsed="false">
      <c r="A6" s="21" t="n">
        <v>1</v>
      </c>
      <c r="B6" s="21" t="s">
        <v>585</v>
      </c>
      <c r="C6" s="21" t="s">
        <v>586</v>
      </c>
      <c r="D6" s="21" t="s">
        <v>587</v>
      </c>
      <c r="E6" s="21" t="s">
        <v>588</v>
      </c>
      <c r="F6" s="21" t="s">
        <v>589</v>
      </c>
    </row>
    <row r="7" customFormat="false" ht="31.5" hidden="false" customHeight="true" outlineLevel="0" collapsed="false">
      <c r="A7" s="21" t="n">
        <v>2</v>
      </c>
      <c r="B7" s="21" t="s">
        <v>119</v>
      </c>
      <c r="C7" s="21" t="s">
        <v>590</v>
      </c>
      <c r="D7" s="21" t="s">
        <v>591</v>
      </c>
      <c r="E7" s="21" t="s">
        <v>592</v>
      </c>
      <c r="F7" s="21" t="s">
        <v>593</v>
      </c>
    </row>
    <row r="8" customFormat="false" ht="31.5" hidden="false" customHeight="true" outlineLevel="0" collapsed="false">
      <c r="A8" s="21" t="n">
        <v>3</v>
      </c>
      <c r="B8" s="21" t="s">
        <v>594</v>
      </c>
      <c r="C8" s="21" t="s">
        <v>585</v>
      </c>
      <c r="D8" s="21" t="s">
        <v>595</v>
      </c>
      <c r="E8" s="21" t="s">
        <v>596</v>
      </c>
      <c r="F8" s="21" t="s">
        <v>597</v>
      </c>
    </row>
    <row r="9" customFormat="false" ht="31.5" hidden="false" customHeight="true" outlineLevel="0" collapsed="false">
      <c r="A9" s="21" t="n">
        <v>4</v>
      </c>
      <c r="B9" s="21" t="s">
        <v>598</v>
      </c>
      <c r="C9" s="21" t="s">
        <v>599</v>
      </c>
      <c r="D9" s="21" t="s">
        <v>600</v>
      </c>
      <c r="E9" s="21" t="s">
        <v>601</v>
      </c>
      <c r="F9" s="21" t="s">
        <v>602</v>
      </c>
    </row>
    <row r="10" customFormat="false" ht="31.5" hidden="false" customHeight="true" outlineLevel="0" collapsed="false">
      <c r="A10" s="21" t="n">
        <v>5</v>
      </c>
      <c r="B10" s="21" t="s">
        <v>121</v>
      </c>
      <c r="C10" s="21" t="s">
        <v>603</v>
      </c>
      <c r="D10" s="21" t="s">
        <v>604</v>
      </c>
      <c r="E10" s="21" t="s">
        <v>605</v>
      </c>
      <c r="F10" s="21" t="s">
        <v>606</v>
      </c>
    </row>
    <row r="11" customFormat="false" ht="31.5" hidden="false" customHeight="true" outlineLevel="0" collapsed="false">
      <c r="A11" s="21" t="n">
        <v>6</v>
      </c>
      <c r="B11" s="21" t="s">
        <v>599</v>
      </c>
      <c r="C11" s="21" t="s">
        <v>607</v>
      </c>
      <c r="D11" s="21" t="s">
        <v>608</v>
      </c>
      <c r="E11" s="21" t="s">
        <v>609</v>
      </c>
      <c r="F11" s="21" t="s">
        <v>610</v>
      </c>
    </row>
    <row r="13" customFormat="false" ht="15" hidden="false" customHeight="false" outlineLevel="0" collapsed="false">
      <c r="A13" s="7" t="s">
        <v>611</v>
      </c>
    </row>
    <row r="14" customFormat="false" ht="15" hidden="false" customHeight="false" outlineLevel="0" collapsed="false">
      <c r="A14" s="35" t="s">
        <v>612</v>
      </c>
      <c r="B14" s="35" t="s">
        <v>613</v>
      </c>
      <c r="C14" s="35" t="s">
        <v>614</v>
      </c>
      <c r="D14" s="35" t="s">
        <v>615</v>
      </c>
      <c r="E14" s="35" t="s">
        <v>616</v>
      </c>
      <c r="F14" s="35" t="s">
        <v>617</v>
      </c>
    </row>
    <row r="15" customFormat="false" ht="36" hidden="false" customHeight="true" outlineLevel="0" collapsed="false">
      <c r="A15" s="21" t="s">
        <v>618</v>
      </c>
      <c r="B15" s="21" t="s">
        <v>619</v>
      </c>
      <c r="C15" s="21" t="s">
        <v>620</v>
      </c>
      <c r="D15" s="21" t="s">
        <v>621</v>
      </c>
      <c r="E15" s="21" t="s">
        <v>622</v>
      </c>
      <c r="F15" s="21" t="s">
        <v>623</v>
      </c>
    </row>
    <row r="16" customFormat="false" ht="36" hidden="false" customHeight="true" outlineLevel="0" collapsed="false">
      <c r="A16" s="21" t="s">
        <v>624</v>
      </c>
      <c r="B16" s="21" t="s">
        <v>625</v>
      </c>
      <c r="C16" s="21" t="s">
        <v>626</v>
      </c>
      <c r="D16" s="21" t="s">
        <v>627</v>
      </c>
      <c r="E16" s="21" t="s">
        <v>628</v>
      </c>
      <c r="F16" s="21" t="s">
        <v>623</v>
      </c>
    </row>
    <row r="18" customFormat="false" ht="15" hidden="false" customHeight="false" outlineLevel="0" collapsed="false">
      <c r="A18" s="7" t="s">
        <v>629</v>
      </c>
    </row>
    <row r="19" customFormat="false" ht="15" hidden="false" customHeight="false" outlineLevel="0" collapsed="false">
      <c r="A19" s="36" t="s">
        <v>630</v>
      </c>
    </row>
    <row r="20" customFormat="false" ht="15" hidden="false" customHeight="false" outlineLevel="0" collapsed="false">
      <c r="A20" s="36" t="s">
        <v>631</v>
      </c>
    </row>
    <row r="21" customFormat="false" ht="15" hidden="false" customHeight="false" outlineLevel="0" collapsed="false">
      <c r="A21" s="36" t="s">
        <v>632</v>
      </c>
    </row>
    <row r="22" customFormat="false" ht="15" hidden="false" customHeight="false" outlineLevel="0" collapsed="false">
      <c r="A22" s="36" t="s">
        <v>633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42"/>
  </cols>
  <sheetData>
    <row r="1" customFormat="false" ht="17.25" hidden="false" customHeight="true" outlineLevel="0" collapsed="false">
      <c r="A1" s="2" t="s">
        <v>634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635</v>
      </c>
    </row>
    <row r="4" customFormat="false" ht="15" hidden="false" customHeight="true" outlineLevel="0" collapsed="false">
      <c r="A4" s="1" t="s">
        <v>353</v>
      </c>
      <c r="B4" s="1" t="str">
        <f aca="false">Declarații_AMANUNT!B8</f>
        <v>2026-07-05</v>
      </c>
    </row>
    <row r="5" customFormat="false" ht="15" hidden="false" customHeight="true" outlineLevel="0" collapsed="false">
      <c r="A5" s="11" t="s">
        <v>182</v>
      </c>
      <c r="B5" s="11" t="s">
        <v>141</v>
      </c>
      <c r="C5" s="11" t="s">
        <v>183</v>
      </c>
      <c r="D5" s="11" t="s">
        <v>184</v>
      </c>
      <c r="E5" s="11" t="s">
        <v>142</v>
      </c>
      <c r="F5" s="11" t="s">
        <v>185</v>
      </c>
      <c r="G5" s="11" t="s">
        <v>186</v>
      </c>
    </row>
    <row r="6" customFormat="false" ht="27.75" hidden="false" customHeight="true" outlineLevel="0" collapsed="false">
      <c r="A6" s="23" t="n">
        <v>1</v>
      </c>
      <c r="B6" s="23" t="str">
        <f aca="false">Declarații_AMANUNT!B22</f>
        <v>371.AM.21</v>
      </c>
      <c r="C6" s="24" t="n">
        <f aca="false">Declarații_AMANUNT!B18</f>
        <v>15730</v>
      </c>
      <c r="D6" s="23" t="str">
        <f aca="false">"Intrare stoc la PVA " &amp; Declarații_AMANUNT!B40</f>
        <v>Intrare stoc la PVA — amănunt AM.21 — 2026-07</v>
      </c>
      <c r="E6" s="23" t="str">
        <f aca="false">Declarații_AMANUNT!B25</f>
        <v>401.RO</v>
      </c>
      <c r="F6" s="24" t="n">
        <f aca="false">Declarații_AMANUNT!B12</f>
        <v>10000</v>
      </c>
      <c r="G6" s="23" t="str">
        <f aca="false">"Datorie furnizor (cost) " &amp; Declarații_AMANUNT!B40</f>
        <v>Datorie furnizor (cost) — amănunt AM.21 — 2026-07</v>
      </c>
    </row>
    <row r="7" customFormat="false" ht="27.75" hidden="false" customHeight="true" outlineLevel="0" collapsed="false">
      <c r="A7" s="23" t="n">
        <v>2</v>
      </c>
      <c r="B7" s="23" t="n">
        <v>0</v>
      </c>
      <c r="C7" s="23" t="n">
        <v>0</v>
      </c>
      <c r="D7" s="23"/>
      <c r="E7" s="23" t="str">
        <f aca="false">Declarații_AMANUNT!B23</f>
        <v>378.AM.21</v>
      </c>
      <c r="F7" s="24" t="n">
        <f aca="false">Declarații_AMANUNT!B15</f>
        <v>3000</v>
      </c>
      <c r="G7" s="23" t="str">
        <f aca="false">"Adaos comercial " &amp; Declarații_AMANUNT!B40</f>
        <v>Adaos comercial — amănunt AM.21 — 2026-07</v>
      </c>
    </row>
    <row r="8" customFormat="false" ht="27.75" hidden="false" customHeight="true" outlineLevel="0" collapsed="false">
      <c r="A8" s="23" t="n">
        <v>3</v>
      </c>
      <c r="B8" s="23" t="n">
        <v>0</v>
      </c>
      <c r="C8" s="23" t="n">
        <v>0</v>
      </c>
      <c r="D8" s="23"/>
      <c r="E8" s="23" t="str">
        <f aca="false">Declarații_AMANUNT!B24</f>
        <v>4428.AM</v>
      </c>
      <c r="F8" s="24" t="n">
        <f aca="false">Declarații_AMANUNT!B17</f>
        <v>2730</v>
      </c>
      <c r="G8" s="23" t="str">
        <f aca="false">"TVA neexigibilă în PVA " &amp; Declarații_AMANUNT!B40</f>
        <v>TVA neexigibilă în PVA — amănunt AM.21 — 2026-07</v>
      </c>
    </row>
    <row r="9" customFormat="false" ht="15" hidden="false" customHeight="true" outlineLevel="0" collapsed="false">
      <c r="A9" s="1" t="s">
        <v>636</v>
      </c>
      <c r="B9" s="1" t="n">
        <f aca="false">C6-(F6+F7+F8)</f>
        <v>0</v>
      </c>
      <c r="C9" s="29" t="str">
        <f aca="false">IF(ABS(B9)&lt;0.01,"OK","EROARE")</f>
        <v>OK</v>
      </c>
    </row>
    <row r="11" customFormat="false" ht="15" hidden="false" customHeight="true" outlineLevel="0" collapsed="false">
      <c r="A11" s="3" t="s">
        <v>637</v>
      </c>
    </row>
    <row r="12" customFormat="false" ht="15" hidden="false" customHeight="true" outlineLevel="0" collapsed="false">
      <c r="A12" s="11" t="s">
        <v>182</v>
      </c>
      <c r="B12" s="11" t="s">
        <v>141</v>
      </c>
      <c r="C12" s="11" t="s">
        <v>183</v>
      </c>
      <c r="D12" s="11" t="s">
        <v>184</v>
      </c>
      <c r="E12" s="11" t="s">
        <v>142</v>
      </c>
      <c r="F12" s="11" t="s">
        <v>185</v>
      </c>
      <c r="G12" s="11" t="s">
        <v>186</v>
      </c>
    </row>
    <row r="13" customFormat="false" ht="27.75" hidden="false" customHeight="true" outlineLevel="0" collapsed="false">
      <c r="A13" s="23" t="n">
        <v>1</v>
      </c>
      <c r="B13" s="23" t="str">
        <f aca="false">Declarații_AMANUNT!B26</f>
        <v>4426</v>
      </c>
      <c r="C13" s="24" t="n">
        <f aca="false">Declarații_AMANUNT!B19</f>
        <v>2100</v>
      </c>
      <c r="D13" s="23" t="str">
        <f aca="false">"TVA deductibilă pe cost " &amp; Declarații_AMANUNT!B40</f>
        <v>TVA deductibilă pe cost — amănunt AM.21 — 2026-07</v>
      </c>
      <c r="E13" s="23" t="str">
        <f aca="false">Declarații_AMANUNT!B25</f>
        <v>401.RO</v>
      </c>
      <c r="F13" s="24" t="n">
        <f aca="false">Declarații_AMANUNT!B19</f>
        <v>2100</v>
      </c>
      <c r="G13" s="23" t="str">
        <f aca="false">"Datorie furnizor (TVA) " &amp; Declarații_AMANUNT!B40</f>
        <v>Datorie furnizor (TVA) — amănunt AM.21 — 2026-07</v>
      </c>
    </row>
    <row r="14" customFormat="false" ht="15" hidden="false" customHeight="true" outlineLevel="0" collapsed="false">
      <c r="A14" s="1" t="s">
        <v>278</v>
      </c>
      <c r="B14" s="1" t="n">
        <f aca="false">C13-F13</f>
        <v>0</v>
      </c>
      <c r="C14" s="29" t="str">
        <f aca="false">IF(ABS(B14)&lt;0.01,"OK","EROARE")</f>
        <v>OK</v>
      </c>
    </row>
    <row r="16" customFormat="false" ht="15" hidden="false" customHeight="true" outlineLevel="0" collapsed="false">
      <c r="A16" s="3" t="s">
        <v>638</v>
      </c>
    </row>
    <row r="17" customFormat="false" ht="15" hidden="false" customHeight="true" outlineLevel="0" collapsed="false">
      <c r="A17" s="1" t="s">
        <v>353</v>
      </c>
      <c r="B17" s="1" t="str">
        <f aca="false">Declarații_AMANUNT!B9</f>
        <v>2026-07-31</v>
      </c>
    </row>
    <row r="18" customFormat="false" ht="15" hidden="false" customHeight="true" outlineLevel="0" collapsed="false">
      <c r="A18" s="11" t="s">
        <v>182</v>
      </c>
      <c r="B18" s="11" t="s">
        <v>141</v>
      </c>
      <c r="C18" s="11" t="s">
        <v>183</v>
      </c>
      <c r="D18" s="11" t="s">
        <v>184</v>
      </c>
      <c r="E18" s="11" t="s">
        <v>142</v>
      </c>
      <c r="F18" s="11" t="s">
        <v>185</v>
      </c>
      <c r="G18" s="11" t="s">
        <v>186</v>
      </c>
    </row>
    <row r="19" customFormat="false" ht="27.75" hidden="false" customHeight="true" outlineLevel="0" collapsed="false">
      <c r="A19" s="23" t="n">
        <v>1</v>
      </c>
      <c r="B19" s="23" t="str">
        <f aca="false">Declarații_AMANUNT!B27</f>
        <v>607</v>
      </c>
      <c r="C19" s="24" t="n">
        <f aca="false">Declarații_AMANUNT!B12</f>
        <v>10000</v>
      </c>
      <c r="D19" s="23" t="str">
        <f aca="false">"Descărcare la cost " &amp; Declarații_AMANUNT!B40</f>
        <v>Descărcare la cost — amănunt AM.21 — 2026-07</v>
      </c>
      <c r="E19" s="23" t="str">
        <f aca="false">Declarații_AMANUNT!B22</f>
        <v>371.AM.21</v>
      </c>
      <c r="F19" s="24" t="n">
        <f aca="false">Declarații_AMANUNT!B18</f>
        <v>15730</v>
      </c>
      <c r="G19" s="23" t="str">
        <f aca="false">"Stingere stoc PVA " &amp; Declarații_AMANUNT!B40</f>
        <v>Stingere stoc PVA — amănunt AM.21 — 2026-07</v>
      </c>
    </row>
    <row r="20" customFormat="false" ht="27.75" hidden="false" customHeight="true" outlineLevel="0" collapsed="false">
      <c r="A20" s="23" t="n">
        <v>2</v>
      </c>
      <c r="B20" s="23" t="str">
        <f aca="false">Declarații_AMANUNT!B23</f>
        <v>378.AM.21</v>
      </c>
      <c r="C20" s="24" t="n">
        <f aca="false">Declarații_AMANUNT!B15</f>
        <v>3000</v>
      </c>
      <c r="D20" s="23" t="str">
        <f aca="false">"Stingere adaos " &amp; Declarații_AMANUNT!B40</f>
        <v>Stingere adaos — amănunt AM.21 — 2026-07</v>
      </c>
      <c r="E20" s="23" t="n">
        <v>0</v>
      </c>
      <c r="F20" s="23" t="n">
        <v>0</v>
      </c>
      <c r="G20" s="23"/>
    </row>
    <row r="21" customFormat="false" ht="27.75" hidden="false" customHeight="true" outlineLevel="0" collapsed="false">
      <c r="A21" s="23" t="n">
        <v>3</v>
      </c>
      <c r="B21" s="23" t="str">
        <f aca="false">Declarații_AMANUNT!B24</f>
        <v>4428.AM</v>
      </c>
      <c r="C21" s="24" t="n">
        <f aca="false">Declarații_AMANUNT!B17</f>
        <v>2730</v>
      </c>
      <c r="D21" s="23" t="str">
        <f aca="false">"Stingere TVA neexigibilă " &amp; Declarații_AMANUNT!B40</f>
        <v>Stingere TVA neexigibilă — amănunt AM.21 — 2026-07</v>
      </c>
      <c r="E21" s="23" t="n">
        <v>0</v>
      </c>
      <c r="F21" s="23" t="n">
        <v>0</v>
      </c>
      <c r="G21" s="23"/>
    </row>
    <row r="22" customFormat="false" ht="15" hidden="false" customHeight="true" outlineLevel="0" collapsed="false">
      <c r="A22" s="1" t="s">
        <v>452</v>
      </c>
      <c r="B22" s="1" t="n">
        <f aca="false">(C19+C20+C21)-F19</f>
        <v>0</v>
      </c>
      <c r="C22" s="29" t="str">
        <f aca="false">IF(ABS(B22)&lt;0.01,"OK","EROARE")</f>
        <v>OK</v>
      </c>
    </row>
    <row r="24" customFormat="false" ht="15" hidden="false" customHeight="true" outlineLevel="0" collapsed="false">
      <c r="A24" s="3" t="s">
        <v>639</v>
      </c>
    </row>
    <row r="25" customFormat="false" ht="15" hidden="false" customHeight="true" outlineLevel="0" collapsed="false">
      <c r="A25" s="11" t="s">
        <v>182</v>
      </c>
      <c r="B25" s="11" t="s">
        <v>141</v>
      </c>
      <c r="C25" s="11" t="s">
        <v>183</v>
      </c>
      <c r="D25" s="11" t="s">
        <v>184</v>
      </c>
      <c r="E25" s="11" t="s">
        <v>142</v>
      </c>
      <c r="F25" s="11" t="s">
        <v>185</v>
      </c>
      <c r="G25" s="11" t="s">
        <v>186</v>
      </c>
    </row>
    <row r="26" customFormat="false" ht="27.75" hidden="false" customHeight="true" outlineLevel="0" collapsed="false">
      <c r="A26" s="23" t="n">
        <v>1</v>
      </c>
      <c r="B26" s="23" t="str">
        <f aca="false">Declarații_AMANUNT!B30</f>
        <v>531.1</v>
      </c>
      <c r="C26" s="24" t="n">
        <f aca="false">Declarații_AMANUNT!B18</f>
        <v>15730</v>
      </c>
      <c r="D26" s="23" t="str">
        <f aca="false">"Încasare amănunt " &amp; Declarații_AMANUNT!B40</f>
        <v>Încasare amănunt — amănunt AM.21 — 2026-07</v>
      </c>
      <c r="E26" s="23" t="str">
        <f aca="false">Declarații_AMANUNT!B28</f>
        <v>707</v>
      </c>
      <c r="F26" s="24" t="n">
        <f aca="false">Declarații_AMANUNT!B16</f>
        <v>13000</v>
      </c>
      <c r="G26" s="23" t="str">
        <f aca="false">"Venit amănunt (bază) " &amp; Declarații_AMANUNT!B40</f>
        <v>Venit amănunt (bază) — amănunt AM.21 — 2026-07</v>
      </c>
    </row>
    <row r="27" customFormat="false" ht="27.75" hidden="false" customHeight="true" outlineLevel="0" collapsed="false">
      <c r="A27" s="23" t="n">
        <v>2</v>
      </c>
      <c r="B27" s="23" t="n">
        <v>0</v>
      </c>
      <c r="C27" s="23" t="n">
        <v>0</v>
      </c>
      <c r="D27" s="23"/>
      <c r="E27" s="23" t="str">
        <f aca="false">Declarații_AMANUNT!B29</f>
        <v>4427</v>
      </c>
      <c r="F27" s="24" t="n">
        <f aca="false">Declarații_AMANUNT!B17</f>
        <v>2730</v>
      </c>
      <c r="G27" s="23" t="str">
        <f aca="false">"TVA colectată " &amp; Declarații_AMANUNT!B40</f>
        <v>TVA colectată — amănunt AM.21 — 2026-07</v>
      </c>
    </row>
    <row r="28" customFormat="false" ht="15" hidden="false" customHeight="true" outlineLevel="0" collapsed="false">
      <c r="A28" s="1" t="s">
        <v>454</v>
      </c>
      <c r="B28" s="1" t="n">
        <f aca="false">C26-(F26+F27)</f>
        <v>0</v>
      </c>
      <c r="C28" s="29" t="str">
        <f aca="false">IF(ABS(B28)&lt;0.01,"OK","EROARE")</f>
        <v>OK</v>
      </c>
    </row>
    <row r="30" customFormat="false" ht="15" hidden="false" customHeight="true" outlineLevel="0" collapsed="false">
      <c r="A30" s="3" t="s">
        <v>640</v>
      </c>
    </row>
    <row r="31" customFormat="false" ht="15" hidden="false" customHeight="true" outlineLevel="0" collapsed="false">
      <c r="A31" s="11" t="s">
        <v>182</v>
      </c>
      <c r="B31" s="11" t="s">
        <v>141</v>
      </c>
      <c r="C31" s="11" t="s">
        <v>183</v>
      </c>
      <c r="D31" s="11" t="s">
        <v>184</v>
      </c>
      <c r="E31" s="11" t="s">
        <v>142</v>
      </c>
      <c r="F31" s="11" t="s">
        <v>185</v>
      </c>
      <c r="G31" s="11" t="s">
        <v>186</v>
      </c>
    </row>
    <row r="32" customFormat="false" ht="27.75" hidden="false" customHeight="true" outlineLevel="0" collapsed="false">
      <c r="A32" s="23" t="n">
        <v>1</v>
      </c>
      <c r="B32" s="23" t="str">
        <f aca="false">Declarații_AMANUNT!B29</f>
        <v>4427</v>
      </c>
      <c r="C32" s="24" t="n">
        <f aca="false">Declarații_AMANUNT!B17</f>
        <v>2730</v>
      </c>
      <c r="D32" s="23" t="str">
        <f aca="false">"Închidere TVA colectată " &amp; Declarații_AMANUNT!B40</f>
        <v>Închidere TVA colectată — amănunt AM.21 — 2026-07</v>
      </c>
      <c r="E32" s="23" t="str">
        <f aca="false">Declarații_AMANUNT!B26</f>
        <v>4426</v>
      </c>
      <c r="F32" s="24" t="n">
        <f aca="false">Declarații_AMANUNT!B19</f>
        <v>2100</v>
      </c>
      <c r="G32" s="23" t="str">
        <f aca="false">"Închidere TVA deductibilă " &amp; Declarații_AMANUNT!B40</f>
        <v>Închidere TVA deductibilă — amănunt AM.21 — 2026-07</v>
      </c>
    </row>
    <row r="33" customFormat="false" ht="27.75" hidden="false" customHeight="true" outlineLevel="0" collapsed="false">
      <c r="A33" s="23" t="n">
        <v>2</v>
      </c>
      <c r="B33" s="23" t="n">
        <v>0</v>
      </c>
      <c r="C33" s="23" t="n">
        <v>0</v>
      </c>
      <c r="D33" s="23"/>
      <c r="E33" s="23" t="str">
        <f aca="false">Declarații_AMANUNT!B31</f>
        <v>4423</v>
      </c>
      <c r="F33" s="24" t="n">
        <f aca="false">Declarații_AMANUNT!B17-Declarații_AMANUNT!B19</f>
        <v>630</v>
      </c>
      <c r="G33" s="23" t="str">
        <f aca="false">"TVA de plată " &amp; Declarații_AMANUNT!B40</f>
        <v>TVA de plată — amănunt AM.21 — 2026-07</v>
      </c>
    </row>
    <row r="34" customFormat="false" ht="15" hidden="false" customHeight="true" outlineLevel="0" collapsed="false">
      <c r="A34" s="1" t="s">
        <v>641</v>
      </c>
      <c r="B34" s="1" t="n">
        <f aca="false">C32-(F32+F33)</f>
        <v>0</v>
      </c>
      <c r="C34" s="29" t="str">
        <f aca="false">IF(ABS(B34)&lt;0.01,"OK","EROARE")</f>
        <v>OK</v>
      </c>
    </row>
    <row r="36" customFormat="false" ht="15" hidden="false" customHeight="true" outlineLevel="0" collapsed="false">
      <c r="A36" s="31" t="s">
        <v>288</v>
      </c>
      <c r="B36" s="1" t="n">
        <f aca="false">ABS(B9)+ABS(B14)+ABS(B22)+ABS(B28)+ABS(B34)</f>
        <v>0</v>
      </c>
      <c r="C36" s="29" t="str">
        <f aca="false">IF(B36&lt;0.01,"OK — toate blocurile se închid","EROARE — cel puțin un bloc dezechilibrat")</f>
        <v>OK — toate blocurile se închid</v>
      </c>
    </row>
    <row r="38" customFormat="false" ht="15" hidden="false" customHeight="true" outlineLevel="0" collapsed="false">
      <c r="A38" s="3" t="s">
        <v>642</v>
      </c>
    </row>
    <row r="39" customFormat="false" ht="15" hidden="false" customHeight="true" outlineLevel="0" collapsed="false">
      <c r="A39" s="1" t="str">
        <f aca="false">Declarații_AMANUNT!B35</f>
        <v>OK — corelație 1 ține</v>
      </c>
    </row>
    <row r="40" customFormat="false" ht="15" hidden="false" customHeight="true" outlineLevel="0" collapsed="false">
      <c r="A40" s="1" t="str">
        <f aca="false">Declarații_AMANUNT!B37</f>
        <v>OK — corelație 2 ține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643</v>
      </c>
      <c r="B1" s="2"/>
      <c r="C1" s="2"/>
      <c r="D1" s="2"/>
      <c r="E1" s="2"/>
      <c r="F1" s="2"/>
      <c r="G1" s="2"/>
      <c r="H1" s="2"/>
      <c r="I1" s="2"/>
    </row>
    <row r="4" customFormat="false" ht="15" hidden="false" customHeight="true" outlineLevel="0" collapsed="false">
      <c r="A4" s="11" t="s">
        <v>182</v>
      </c>
      <c r="B4" s="11" t="s">
        <v>196</v>
      </c>
      <c r="C4" s="11" t="s">
        <v>197</v>
      </c>
      <c r="D4" s="11" t="s">
        <v>141</v>
      </c>
      <c r="E4" s="11" t="s">
        <v>142</v>
      </c>
      <c r="F4" s="11" t="s">
        <v>198</v>
      </c>
      <c r="G4" s="11" t="s">
        <v>199</v>
      </c>
      <c r="H4" s="11" t="s">
        <v>200</v>
      </c>
      <c r="I4" s="11" t="s">
        <v>201</v>
      </c>
    </row>
    <row r="5" customFormat="false" ht="15" hidden="false" customHeight="true" outlineLevel="0" collapsed="false">
      <c r="A5" s="37" t="n">
        <v>1</v>
      </c>
      <c r="B5" s="37" t="s">
        <v>644</v>
      </c>
      <c r="C5" s="37" t="str">
        <f aca="false">Declarații_AMANUNT!B8</f>
        <v>2026-07-05</v>
      </c>
      <c r="D5" s="37" t="str">
        <f aca="false">Jurnale_AMANUNT!B6</f>
        <v>371.AM.21</v>
      </c>
      <c r="E5" s="37" t="str">
        <f aca="false">Jurnale_AMANUNT!E6</f>
        <v>401.RO</v>
      </c>
      <c r="F5" s="38" t="n">
        <f aca="false">Jurnale_AMANUNT!F6</f>
        <v>10000</v>
      </c>
      <c r="G5" s="37" t="s">
        <v>645</v>
      </c>
      <c r="H5" s="37" t="s">
        <v>646</v>
      </c>
      <c r="I5" s="37" t="str">
        <f aca="false">IF(AND(ISNUMBER(F5),F5&gt;0),"DA","NU")</f>
        <v>DA</v>
      </c>
    </row>
    <row r="6" customFormat="false" ht="15" hidden="false" customHeight="true" outlineLevel="0" collapsed="false">
      <c r="A6" s="37" t="n">
        <v>2</v>
      </c>
      <c r="B6" s="37" t="s">
        <v>644</v>
      </c>
      <c r="C6" s="37" t="str">
        <f aca="false">Declarații_AMANUNT!B8</f>
        <v>2026-07-05</v>
      </c>
      <c r="D6" s="37" t="str">
        <f aca="false">Jurnale_AMANUNT!B6</f>
        <v>371.AM.21</v>
      </c>
      <c r="E6" s="37" t="str">
        <f aca="false">Jurnale_AMANUNT!E7</f>
        <v>378.AM.21</v>
      </c>
      <c r="F6" s="38" t="n">
        <f aca="false">Jurnale_AMANUNT!F7</f>
        <v>3000</v>
      </c>
      <c r="G6" s="37" t="s">
        <v>647</v>
      </c>
      <c r="H6" s="37" t="s">
        <v>646</v>
      </c>
      <c r="I6" s="37" t="str">
        <f aca="false">IF(AND(ISNUMBER(F6),F6&gt;0),"DA","NU")</f>
        <v>DA</v>
      </c>
    </row>
    <row r="7" customFormat="false" ht="15" hidden="false" customHeight="true" outlineLevel="0" collapsed="false">
      <c r="A7" s="37" t="n">
        <v>3</v>
      </c>
      <c r="B7" s="37" t="s">
        <v>644</v>
      </c>
      <c r="C7" s="37" t="str">
        <f aca="false">Declarații_AMANUNT!B8</f>
        <v>2026-07-05</v>
      </c>
      <c r="D7" s="37" t="str">
        <f aca="false">Jurnale_AMANUNT!B6</f>
        <v>371.AM.21</v>
      </c>
      <c r="E7" s="37" t="str">
        <f aca="false">Jurnale_AMANUNT!E8</f>
        <v>4428.AM</v>
      </c>
      <c r="F7" s="38" t="n">
        <f aca="false">Jurnale_AMANUNT!F8</f>
        <v>2730</v>
      </c>
      <c r="G7" s="37" t="s">
        <v>648</v>
      </c>
      <c r="H7" s="37" t="s">
        <v>646</v>
      </c>
      <c r="I7" s="37" t="str">
        <f aca="false">IF(AND(ISNUMBER(F7),F7&gt;0),"DA","NU")</f>
        <v>DA</v>
      </c>
    </row>
    <row r="8" customFormat="false" ht="15" hidden="false" customHeight="true" outlineLevel="0" collapsed="false">
      <c r="A8" s="37" t="n">
        <v>4</v>
      </c>
      <c r="B8" s="37" t="s">
        <v>649</v>
      </c>
      <c r="C8" s="37" t="str">
        <f aca="false">Declarații_AMANUNT!B8</f>
        <v>2026-07-05</v>
      </c>
      <c r="D8" s="37" t="str">
        <f aca="false">Jurnale_AMANUNT!B13</f>
        <v>4426</v>
      </c>
      <c r="E8" s="37" t="str">
        <f aca="false">Jurnale_AMANUNT!E13</f>
        <v>401.RO</v>
      </c>
      <c r="F8" s="38" t="n">
        <f aca="false">Jurnale_AMANUNT!C13</f>
        <v>2100</v>
      </c>
      <c r="G8" s="37" t="s">
        <v>650</v>
      </c>
      <c r="H8" s="37" t="s">
        <v>646</v>
      </c>
      <c r="I8" s="37" t="str">
        <f aca="false">IF(AND(ISNUMBER(F8),F8&gt;0),"DA","NU")</f>
        <v>DA</v>
      </c>
    </row>
    <row r="9" customFormat="false" ht="15" hidden="false" customHeight="true" outlineLevel="0" collapsed="false">
      <c r="A9" s="37" t="n">
        <v>5</v>
      </c>
      <c r="B9" s="37" t="s">
        <v>651</v>
      </c>
      <c r="C9" s="37" t="str">
        <f aca="false">Declarații_AMANUNT!B9</f>
        <v>2026-07-31</v>
      </c>
      <c r="D9" s="37" t="str">
        <f aca="false">Jurnale_AMANUNT!B19</f>
        <v>607</v>
      </c>
      <c r="E9" s="37" t="str">
        <f aca="false">Jurnale_AMANUNT!E19</f>
        <v>371.AM.21</v>
      </c>
      <c r="F9" s="38" t="n">
        <f aca="false">Jurnale_AMANUNT!C19</f>
        <v>10000</v>
      </c>
      <c r="G9" s="37" t="s">
        <v>652</v>
      </c>
      <c r="H9" s="37" t="s">
        <v>646</v>
      </c>
      <c r="I9" s="37" t="str">
        <f aca="false">IF(AND(ISNUMBER(F9),F9&gt;0),"DA","NU")</f>
        <v>DA</v>
      </c>
    </row>
    <row r="10" customFormat="false" ht="15" hidden="false" customHeight="true" outlineLevel="0" collapsed="false">
      <c r="A10" s="37" t="n">
        <v>6</v>
      </c>
      <c r="B10" s="37" t="s">
        <v>651</v>
      </c>
      <c r="C10" s="37" t="str">
        <f aca="false">Declarații_AMANUNT!B9</f>
        <v>2026-07-31</v>
      </c>
      <c r="D10" s="37" t="str">
        <f aca="false">Jurnale_AMANUNT!B20</f>
        <v>378.AM.21</v>
      </c>
      <c r="E10" s="37" t="str">
        <f aca="false">Jurnale_AMANUNT!E19</f>
        <v>371.AM.21</v>
      </c>
      <c r="F10" s="38" t="n">
        <f aca="false">Jurnale_AMANUNT!C20</f>
        <v>3000</v>
      </c>
      <c r="G10" s="37" t="s">
        <v>653</v>
      </c>
      <c r="H10" s="37" t="s">
        <v>646</v>
      </c>
      <c r="I10" s="37" t="str">
        <f aca="false">IF(AND(ISNUMBER(F10),F10&gt;0),"DA","NU")</f>
        <v>DA</v>
      </c>
    </row>
    <row r="11" customFormat="false" ht="15" hidden="false" customHeight="true" outlineLevel="0" collapsed="false">
      <c r="A11" s="37" t="n">
        <v>7</v>
      </c>
      <c r="B11" s="37" t="s">
        <v>651</v>
      </c>
      <c r="C11" s="37" t="str">
        <f aca="false">Declarații_AMANUNT!B9</f>
        <v>2026-07-31</v>
      </c>
      <c r="D11" s="37" t="str">
        <f aca="false">Jurnale_AMANUNT!B21</f>
        <v>4428.AM</v>
      </c>
      <c r="E11" s="37" t="str">
        <f aca="false">Jurnale_AMANUNT!E19</f>
        <v>371.AM.21</v>
      </c>
      <c r="F11" s="38" t="n">
        <f aca="false">Jurnale_AMANUNT!C21</f>
        <v>2730</v>
      </c>
      <c r="G11" s="37" t="s">
        <v>654</v>
      </c>
      <c r="H11" s="37" t="s">
        <v>646</v>
      </c>
      <c r="I11" s="37" t="str">
        <f aca="false">IF(AND(ISNUMBER(F11),F11&gt;0),"DA","NU")</f>
        <v>DA</v>
      </c>
    </row>
    <row r="12" customFormat="false" ht="15" hidden="false" customHeight="true" outlineLevel="0" collapsed="false">
      <c r="A12" s="37" t="n">
        <v>8</v>
      </c>
      <c r="B12" s="37" t="s">
        <v>655</v>
      </c>
      <c r="C12" s="37" t="str">
        <f aca="false">Declarații_AMANUNT!B9</f>
        <v>2026-07-31</v>
      </c>
      <c r="D12" s="37" t="str">
        <f aca="false">Jurnale_AMANUNT!B26</f>
        <v>531.1</v>
      </c>
      <c r="E12" s="37" t="str">
        <f aca="false">Jurnale_AMANUNT!E26</f>
        <v>707</v>
      </c>
      <c r="F12" s="38" t="n">
        <f aca="false">Jurnale_AMANUNT!F26</f>
        <v>13000</v>
      </c>
      <c r="G12" s="37" t="s">
        <v>656</v>
      </c>
      <c r="H12" s="37" t="s">
        <v>646</v>
      </c>
      <c r="I12" s="37" t="str">
        <f aca="false">IF(AND(ISNUMBER(F12),F12&gt;0),"DA","NU")</f>
        <v>DA</v>
      </c>
    </row>
    <row r="13" customFormat="false" ht="15" hidden="false" customHeight="true" outlineLevel="0" collapsed="false">
      <c r="A13" s="37" t="n">
        <v>9</v>
      </c>
      <c r="B13" s="37" t="s">
        <v>655</v>
      </c>
      <c r="C13" s="37" t="str">
        <f aca="false">Declarații_AMANUNT!B9</f>
        <v>2026-07-31</v>
      </c>
      <c r="D13" s="37" t="str">
        <f aca="false">Jurnale_AMANUNT!B26</f>
        <v>531.1</v>
      </c>
      <c r="E13" s="37" t="str">
        <f aca="false">Jurnale_AMANUNT!E27</f>
        <v>4427</v>
      </c>
      <c r="F13" s="38" t="n">
        <f aca="false">Jurnale_AMANUNT!F27</f>
        <v>2730</v>
      </c>
      <c r="G13" s="37" t="s">
        <v>657</v>
      </c>
      <c r="H13" s="37" t="s">
        <v>646</v>
      </c>
      <c r="I13" s="37" t="str">
        <f aca="false">IF(AND(ISNUMBER(F13),F13&gt;0),"DA","NU")</f>
        <v>DA</v>
      </c>
    </row>
    <row r="14" customFormat="false" ht="15" hidden="false" customHeight="true" outlineLevel="0" collapsed="false">
      <c r="A14" s="37" t="n">
        <v>10</v>
      </c>
      <c r="B14" s="37" t="s">
        <v>658</v>
      </c>
      <c r="C14" s="37" t="str">
        <f aca="false">Declarații_AMANUNT!B9</f>
        <v>2026-07-31</v>
      </c>
      <c r="D14" s="37" t="str">
        <f aca="false">Jurnale_AMANUNT!B32</f>
        <v>4427</v>
      </c>
      <c r="E14" s="37" t="str">
        <f aca="false">Jurnale_AMANUNT!E32</f>
        <v>4426</v>
      </c>
      <c r="F14" s="38" t="n">
        <f aca="false">Jurnale_AMANUNT!F32</f>
        <v>2100</v>
      </c>
      <c r="G14" s="37" t="s">
        <v>659</v>
      </c>
      <c r="H14" s="37" t="s">
        <v>646</v>
      </c>
      <c r="I14" s="37" t="str">
        <f aca="false">IF(AND(ISNUMBER(F14),F14&gt;0),"DA","NU")</f>
        <v>DA</v>
      </c>
    </row>
    <row r="15" customFormat="false" ht="15" hidden="false" customHeight="true" outlineLevel="0" collapsed="false">
      <c r="A15" s="37" t="n">
        <v>11</v>
      </c>
      <c r="B15" s="37" t="s">
        <v>658</v>
      </c>
      <c r="C15" s="37" t="str">
        <f aca="false">Declarații_AMANUNT!B9</f>
        <v>2026-07-31</v>
      </c>
      <c r="D15" s="37" t="str">
        <f aca="false">Jurnale_AMANUNT!B32</f>
        <v>4427</v>
      </c>
      <c r="E15" s="37" t="str">
        <f aca="false">Jurnale_AMANUNT!E33</f>
        <v>4423</v>
      </c>
      <c r="F15" s="38" t="n">
        <f aca="false">Jurnale_AMANUNT!F33</f>
        <v>630</v>
      </c>
      <c r="G15" s="37" t="s">
        <v>660</v>
      </c>
      <c r="H15" s="37" t="s">
        <v>646</v>
      </c>
      <c r="I15" s="37" t="str">
        <f aca="false">IF(AND(ISNUMBER(F15),F15&gt;0),"DA","NU")</f>
        <v>DA</v>
      </c>
    </row>
    <row r="17" customFormat="false" ht="15" hidden="false" customHeight="true" outlineLevel="0" collapsed="false">
      <c r="A17" s="1" t="s">
        <v>288</v>
      </c>
      <c r="B17" s="1" t="n">
        <f aca="false">Jurnale_AMANUNT!B36</f>
        <v>0</v>
      </c>
      <c r="C17" s="1" t="str">
        <f aca="false">IF(ABS(B17)&lt;0.01,"OK","EROARE")</f>
        <v>OK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4"/>
  </cols>
  <sheetData>
    <row r="1" customFormat="false" ht="17.25" hidden="false" customHeight="true" outlineLevel="0" collapsed="false">
      <c r="A1" s="2" t="s">
        <v>661</v>
      </c>
      <c r="B1" s="2"/>
      <c r="C1" s="2"/>
      <c r="D1" s="2"/>
      <c r="E1" s="2"/>
    </row>
    <row r="2" customFormat="false" ht="15" hidden="false" customHeight="true" outlineLevel="0" collapsed="false">
      <c r="A2" s="10" t="s">
        <v>662</v>
      </c>
      <c r="B2" s="10"/>
      <c r="C2" s="10"/>
      <c r="D2" s="10"/>
      <c r="E2" s="10"/>
    </row>
    <row r="4" customFormat="false" ht="15" hidden="false" customHeight="true" outlineLevel="0" collapsed="false">
      <c r="A4" s="3" t="s">
        <v>109</v>
      </c>
    </row>
    <row r="5" customFormat="false" ht="15" hidden="false" customHeight="true" outlineLevel="0" collapsed="false">
      <c r="A5" s="1" t="s">
        <v>110</v>
      </c>
      <c r="B5" s="17" t="str">
        <f aca="false">Parametri!B5</f>
        <v>SC EXEMPLU SRL</v>
      </c>
    </row>
    <row r="6" customFormat="false" ht="15" hidden="false" customHeight="true" outlineLevel="0" collapsed="false">
      <c r="A6" s="1" t="s">
        <v>551</v>
      </c>
      <c r="B6" s="14" t="s">
        <v>25</v>
      </c>
    </row>
    <row r="8" customFormat="false" ht="15" hidden="false" customHeight="true" outlineLevel="0" collapsed="false">
      <c r="A8" s="3" t="s">
        <v>663</v>
      </c>
    </row>
    <row r="9" customFormat="false" ht="15" hidden="false" customHeight="true" outlineLevel="0" collapsed="false">
      <c r="A9" s="1" t="s">
        <v>664</v>
      </c>
      <c r="B9" s="14" t="s">
        <v>665</v>
      </c>
    </row>
    <row r="10" customFormat="false" ht="15" hidden="false" customHeight="true" outlineLevel="0" collapsed="false">
      <c r="A10" s="1" t="s">
        <v>666</v>
      </c>
      <c r="B10" s="14" t="s">
        <v>469</v>
      </c>
    </row>
    <row r="11" customFormat="false" ht="15" hidden="false" customHeight="true" outlineLevel="0" collapsed="false">
      <c r="A11" s="1" t="s">
        <v>667</v>
      </c>
      <c r="B11" s="18" t="n">
        <v>5000</v>
      </c>
    </row>
    <row r="12" customFormat="false" ht="15" hidden="false" customHeight="true" outlineLevel="0" collapsed="false">
      <c r="A12" s="1" t="s">
        <v>557</v>
      </c>
      <c r="B12" s="28" t="n">
        <v>0.21</v>
      </c>
    </row>
    <row r="13" customFormat="false" ht="15" hidden="false" customHeight="true" outlineLevel="0" collapsed="false">
      <c r="A13" s="1" t="s">
        <v>668</v>
      </c>
      <c r="B13" s="19" t="n">
        <f aca="false">B11*B12</f>
        <v>1050</v>
      </c>
    </row>
    <row r="14" customFormat="false" ht="15" hidden="false" customHeight="true" outlineLevel="0" collapsed="false">
      <c r="A14" s="1" t="s">
        <v>669</v>
      </c>
      <c r="B14" s="19" t="n">
        <f aca="false">B11+B13</f>
        <v>6050</v>
      </c>
    </row>
    <row r="16" customFormat="false" ht="15" hidden="false" customHeight="true" outlineLevel="0" collapsed="false">
      <c r="A16" s="3" t="s">
        <v>670</v>
      </c>
    </row>
    <row r="17" customFormat="false" ht="15" hidden="false" customHeight="true" outlineLevel="0" collapsed="false">
      <c r="A17" s="1" t="s">
        <v>671</v>
      </c>
      <c r="B17" s="14" t="s">
        <v>672</v>
      </c>
    </row>
    <row r="18" customFormat="false" ht="15" hidden="false" customHeight="true" outlineLevel="0" collapsed="false">
      <c r="A18" s="1" t="s">
        <v>673</v>
      </c>
      <c r="B18" s="14" t="s">
        <v>674</v>
      </c>
    </row>
    <row r="19" customFormat="false" ht="15" hidden="false" customHeight="true" outlineLevel="0" collapsed="false">
      <c r="A19" s="1" t="s">
        <v>675</v>
      </c>
      <c r="B19" s="18" t="n">
        <v>8000</v>
      </c>
    </row>
    <row r="20" customFormat="false" ht="15" hidden="false" customHeight="true" outlineLevel="0" collapsed="false">
      <c r="A20" s="1" t="s">
        <v>676</v>
      </c>
      <c r="B20" s="19" t="n">
        <f aca="false">B19*B12</f>
        <v>1680</v>
      </c>
    </row>
    <row r="21" customFormat="false" ht="15" hidden="false" customHeight="true" outlineLevel="0" collapsed="false">
      <c r="A21" s="1" t="s">
        <v>677</v>
      </c>
      <c r="B21" s="19" t="n">
        <f aca="false">B19+B20</f>
        <v>9680</v>
      </c>
    </row>
    <row r="23" customFormat="false" ht="15" hidden="false" customHeight="true" outlineLevel="0" collapsed="false">
      <c r="A23" s="3" t="s">
        <v>678</v>
      </c>
    </row>
    <row r="24" customFormat="false" ht="15" hidden="false" customHeight="true" outlineLevel="0" collapsed="false">
      <c r="A24" s="1" t="s">
        <v>679</v>
      </c>
      <c r="B24" s="14" t="s">
        <v>488</v>
      </c>
    </row>
    <row r="25" customFormat="false" ht="15" hidden="false" customHeight="true" outlineLevel="0" collapsed="false">
      <c r="A25" s="1" t="s">
        <v>226</v>
      </c>
      <c r="B25" s="14" t="s">
        <v>227</v>
      </c>
    </row>
    <row r="26" customFormat="false" ht="15" hidden="false" customHeight="true" outlineLevel="0" collapsed="false">
      <c r="A26" s="1" t="s">
        <v>489</v>
      </c>
      <c r="B26" s="14" t="s">
        <v>309</v>
      </c>
    </row>
    <row r="27" customFormat="false" ht="15" hidden="false" customHeight="true" outlineLevel="0" collapsed="false">
      <c r="A27" s="1" t="s">
        <v>680</v>
      </c>
      <c r="B27" s="14" t="s">
        <v>573</v>
      </c>
    </row>
    <row r="28" customFormat="false" ht="15" hidden="false" customHeight="true" outlineLevel="0" collapsed="false">
      <c r="A28" s="1" t="s">
        <v>681</v>
      </c>
      <c r="B28" s="14" t="s">
        <v>682</v>
      </c>
    </row>
    <row r="29" customFormat="false" ht="15" hidden="false" customHeight="true" outlineLevel="0" collapsed="false">
      <c r="A29" s="1" t="s">
        <v>683</v>
      </c>
      <c r="B29" s="14" t="s">
        <v>119</v>
      </c>
    </row>
    <row r="30" customFormat="false" ht="15" hidden="false" customHeight="true" outlineLevel="0" collapsed="false">
      <c r="A30" s="1" t="s">
        <v>684</v>
      </c>
      <c r="B30" s="14" t="s">
        <v>121</v>
      </c>
    </row>
    <row r="31" customFormat="false" ht="15" hidden="false" customHeight="true" outlineLevel="0" collapsed="false">
      <c r="A31" s="1" t="s">
        <v>685</v>
      </c>
      <c r="B31" s="14" t="s">
        <v>686</v>
      </c>
    </row>
    <row r="33" customFormat="false" ht="15" hidden="false" customHeight="true" outlineLevel="0" collapsed="false">
      <c r="A33" s="3" t="s">
        <v>581</v>
      </c>
    </row>
    <row r="34" customFormat="false" ht="15" hidden="false" customHeight="true" outlineLevel="0" collapsed="false">
      <c r="A34" s="1" t="s">
        <v>132</v>
      </c>
      <c r="B34" s="20" t="str">
        <f aca="false">"— TVA la încasare " &amp; B6</f>
        <v>— TVA la încasare 2026-07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6" min="6" style="0" width="36"/>
  </cols>
  <sheetData>
    <row r="1" customFormat="false" ht="17.25" hidden="false" customHeight="true" outlineLevel="0" collapsed="false">
      <c r="A1" s="33" t="s">
        <v>687</v>
      </c>
      <c r="B1" s="33"/>
      <c r="C1" s="33"/>
      <c r="D1" s="33"/>
      <c r="E1" s="33"/>
      <c r="F1" s="33"/>
    </row>
    <row r="2" customFormat="false" ht="15" hidden="false" customHeight="false" outlineLevel="0" collapsed="false">
      <c r="A2" s="6" t="s">
        <v>688</v>
      </c>
      <c r="B2" s="6"/>
      <c r="C2" s="6"/>
      <c r="D2" s="6"/>
      <c r="E2" s="6"/>
      <c r="F2" s="6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34" t="s">
        <v>584</v>
      </c>
    </row>
    <row r="5" customFormat="false" ht="15" hidden="false" customHeight="true" outlineLevel="0" collapsed="false">
      <c r="A5" s="35" t="s">
        <v>140</v>
      </c>
      <c r="B5" s="35" t="s">
        <v>141</v>
      </c>
      <c r="C5" s="35" t="s">
        <v>142</v>
      </c>
      <c r="D5" s="35" t="s">
        <v>143</v>
      </c>
      <c r="E5" s="35" t="s">
        <v>144</v>
      </c>
      <c r="F5" s="35" t="s">
        <v>145</v>
      </c>
    </row>
    <row r="6" customFormat="false" ht="31.5" hidden="false" customHeight="true" outlineLevel="0" collapsed="false">
      <c r="A6" s="21" t="n">
        <v>1</v>
      </c>
      <c r="B6" s="21" t="s">
        <v>689</v>
      </c>
      <c r="C6" s="21" t="s">
        <v>590</v>
      </c>
      <c r="D6" s="21" t="s">
        <v>690</v>
      </c>
      <c r="E6" s="21" t="s">
        <v>691</v>
      </c>
      <c r="F6" s="21" t="s">
        <v>692</v>
      </c>
    </row>
    <row r="7" customFormat="false" ht="31.5" hidden="false" customHeight="true" outlineLevel="0" collapsed="false">
      <c r="A7" s="21" t="n">
        <v>2</v>
      </c>
      <c r="B7" s="21" t="s">
        <v>590</v>
      </c>
      <c r="C7" s="21" t="s">
        <v>693</v>
      </c>
      <c r="D7" s="21" t="s">
        <v>694</v>
      </c>
      <c r="E7" s="21" t="s">
        <v>695</v>
      </c>
      <c r="F7" s="21" t="s">
        <v>696</v>
      </c>
    </row>
    <row r="8" customFormat="false" ht="31.5" hidden="false" customHeight="true" outlineLevel="0" collapsed="false">
      <c r="A8" s="21" t="n">
        <v>3</v>
      </c>
      <c r="B8" s="21" t="s">
        <v>119</v>
      </c>
      <c r="C8" s="21" t="s">
        <v>682</v>
      </c>
      <c r="D8" s="21" t="s">
        <v>244</v>
      </c>
      <c r="E8" s="21" t="s">
        <v>697</v>
      </c>
      <c r="F8" s="21" t="s">
        <v>698</v>
      </c>
    </row>
    <row r="9" customFormat="false" ht="31.5" hidden="false" customHeight="true" outlineLevel="0" collapsed="false">
      <c r="A9" s="21" t="n">
        <v>4</v>
      </c>
      <c r="B9" s="21" t="s">
        <v>699</v>
      </c>
      <c r="C9" s="21" t="s">
        <v>700</v>
      </c>
      <c r="D9" s="21" t="s">
        <v>690</v>
      </c>
      <c r="E9" s="21" t="s">
        <v>701</v>
      </c>
      <c r="F9" s="21" t="s">
        <v>702</v>
      </c>
    </row>
    <row r="10" customFormat="false" ht="31.5" hidden="false" customHeight="true" outlineLevel="0" collapsed="false">
      <c r="A10" s="21" t="n">
        <v>5</v>
      </c>
      <c r="B10" s="21" t="s">
        <v>693</v>
      </c>
      <c r="C10" s="21" t="s">
        <v>699</v>
      </c>
      <c r="D10" s="21" t="s">
        <v>694</v>
      </c>
      <c r="E10" s="21" t="s">
        <v>703</v>
      </c>
      <c r="F10" s="21" t="s">
        <v>704</v>
      </c>
    </row>
    <row r="11" customFormat="false" ht="31.5" hidden="false" customHeight="true" outlineLevel="0" collapsed="false">
      <c r="A11" s="21" t="n">
        <v>6</v>
      </c>
      <c r="B11" s="21" t="s">
        <v>682</v>
      </c>
      <c r="C11" s="21" t="s">
        <v>121</v>
      </c>
      <c r="D11" s="21" t="s">
        <v>244</v>
      </c>
      <c r="E11" s="21" t="s">
        <v>705</v>
      </c>
      <c r="F11" s="21" t="s">
        <v>706</v>
      </c>
    </row>
    <row r="13" customFormat="false" ht="15" hidden="false" customHeight="false" outlineLevel="0" collapsed="false">
      <c r="A13" s="7" t="s">
        <v>517</v>
      </c>
    </row>
    <row r="14" customFormat="false" ht="15" hidden="false" customHeight="false" outlineLevel="0" collapsed="false">
      <c r="A14" s="36" t="s">
        <v>707</v>
      </c>
    </row>
    <row r="15" customFormat="false" ht="15" hidden="false" customHeight="false" outlineLevel="0" collapsed="false">
      <c r="A15" s="36" t="s">
        <v>708</v>
      </c>
    </row>
    <row r="16" customFormat="false" ht="15" hidden="false" customHeight="false" outlineLevel="0" collapsed="false">
      <c r="A16" s="36" t="s">
        <v>709</v>
      </c>
    </row>
    <row r="17" customFormat="false" ht="15" hidden="false" customHeight="false" outlineLevel="0" collapsed="false">
      <c r="A17" s="36" t="s">
        <v>710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42"/>
  </cols>
  <sheetData>
    <row r="1" customFormat="false" ht="17.25" hidden="false" customHeight="true" outlineLevel="0" collapsed="false">
      <c r="A1" s="2" t="s">
        <v>711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712</v>
      </c>
    </row>
    <row r="4" customFormat="false" ht="15" hidden="false" customHeight="true" outlineLevel="0" collapsed="false">
      <c r="A4" s="1" t="s">
        <v>353</v>
      </c>
      <c r="B4" s="1" t="str">
        <f aca="false">Declarații_TVA_INC!B9</f>
        <v>2026-07-08</v>
      </c>
    </row>
    <row r="5" customFormat="false" ht="15" hidden="false" customHeight="true" outlineLevel="0" collapsed="false">
      <c r="A5" s="11" t="s">
        <v>182</v>
      </c>
      <c r="B5" s="11" t="s">
        <v>141</v>
      </c>
      <c r="C5" s="11" t="s">
        <v>183</v>
      </c>
      <c r="D5" s="11" t="s">
        <v>184</v>
      </c>
      <c r="E5" s="11" t="s">
        <v>142</v>
      </c>
      <c r="F5" s="11" t="s">
        <v>185</v>
      </c>
      <c r="G5" s="11" t="s">
        <v>186</v>
      </c>
    </row>
    <row r="6" customFormat="false" ht="27.75" hidden="false" customHeight="true" outlineLevel="0" collapsed="false">
      <c r="A6" s="23" t="n">
        <v>1</v>
      </c>
      <c r="B6" s="23" t="str">
        <f aca="false">Declarații_TVA_INC!B24</f>
        <v>301</v>
      </c>
      <c r="C6" s="24" t="n">
        <f aca="false">Declarații_TVA_INC!B11</f>
        <v>5000</v>
      </c>
      <c r="D6" s="23" t="str">
        <f aca="false">"Achiziție (net) " &amp; Declarații_TVA_INC!B34</f>
        <v>Achiziție (net) — TVA la încasare 2026-07</v>
      </c>
      <c r="E6" s="23" t="str">
        <f aca="false">Declarații_TVA_INC!B25</f>
        <v>401.RO</v>
      </c>
      <c r="F6" s="24" t="n">
        <f aca="false">Declarații_TVA_INC!B14</f>
        <v>6050</v>
      </c>
      <c r="G6" s="23" t="str">
        <f aca="false">"Datorie furnizor total " &amp; Declarații_TVA_INC!B34</f>
        <v>Datorie furnizor total — TVA la încasare 2026-07</v>
      </c>
    </row>
    <row r="7" customFormat="false" ht="27.75" hidden="false" customHeight="true" outlineLevel="0" collapsed="false">
      <c r="A7" s="23" t="n">
        <v>2</v>
      </c>
      <c r="B7" s="23" t="str">
        <f aca="false">Declarații_TVA_INC!B28</f>
        <v>4428.INC</v>
      </c>
      <c r="C7" s="24" t="n">
        <f aca="false">Declarații_TVA_INC!B13</f>
        <v>1050</v>
      </c>
      <c r="D7" s="23" t="str">
        <f aca="false">"TVA neexigibilă achiziție " &amp; Declarații_TVA_INC!B34</f>
        <v>TVA neexigibilă achiziție — TVA la încasare 2026-07</v>
      </c>
      <c r="E7" s="23" t="n">
        <v>0</v>
      </c>
      <c r="F7" s="23" t="n">
        <v>0</v>
      </c>
      <c r="G7" s="23"/>
    </row>
    <row r="8" customFormat="false" ht="15" hidden="false" customHeight="true" outlineLevel="0" collapsed="false">
      <c r="A8" s="1" t="s">
        <v>275</v>
      </c>
      <c r="B8" s="1" t="n">
        <f aca="false">(C6+C7)-F6</f>
        <v>0</v>
      </c>
      <c r="C8" s="29" t="str">
        <f aca="false">IF(ABS(B8)&lt;0.01,"OK","EROARE")</f>
        <v>OK</v>
      </c>
    </row>
    <row r="10" customFormat="false" ht="15" hidden="false" customHeight="true" outlineLevel="0" collapsed="false">
      <c r="A10" s="3" t="s">
        <v>713</v>
      </c>
    </row>
    <row r="11" customFormat="false" ht="15" hidden="false" customHeight="true" outlineLevel="0" collapsed="false">
      <c r="A11" s="1" t="s">
        <v>353</v>
      </c>
      <c r="B11" s="1" t="str">
        <f aca="false">Declarații_TVA_INC!B10</f>
        <v>2026-07-20</v>
      </c>
    </row>
    <row r="12" customFormat="false" ht="15" hidden="false" customHeight="true" outlineLevel="0" collapsed="false">
      <c r="A12" s="11" t="s">
        <v>182</v>
      </c>
      <c r="B12" s="11" t="s">
        <v>141</v>
      </c>
      <c r="C12" s="11" t="s">
        <v>183</v>
      </c>
      <c r="D12" s="11" t="s">
        <v>184</v>
      </c>
      <c r="E12" s="11" t="s">
        <v>142</v>
      </c>
      <c r="F12" s="11" t="s">
        <v>185</v>
      </c>
      <c r="G12" s="11" t="s">
        <v>186</v>
      </c>
    </row>
    <row r="13" customFormat="false" ht="27.75" hidden="false" customHeight="true" outlineLevel="0" collapsed="false">
      <c r="A13" s="23" t="n">
        <v>1</v>
      </c>
      <c r="B13" s="23" t="str">
        <f aca="false">Declarații_TVA_INC!B25</f>
        <v>401.RO</v>
      </c>
      <c r="C13" s="24" t="n">
        <f aca="false">Declarații_TVA_INC!B14</f>
        <v>6050</v>
      </c>
      <c r="D13" s="23" t="str">
        <f aca="false">"Plată furnizor " &amp; Declarații_TVA_INC!B34</f>
        <v>Plată furnizor — TVA la încasare 2026-07</v>
      </c>
      <c r="E13" s="23" t="str">
        <f aca="false">Declarații_TVA_INC!B31</f>
        <v>512.1</v>
      </c>
      <c r="F13" s="24" t="n">
        <f aca="false">Declarații_TVA_INC!B14</f>
        <v>6050</v>
      </c>
      <c r="G13" s="23" t="str">
        <f aca="false">"Ieșire bancă " &amp; Declarații_TVA_INC!B34</f>
        <v>Ieșire bancă — TVA la încasare 2026-07</v>
      </c>
    </row>
    <row r="14" customFormat="false" ht="27.75" hidden="false" customHeight="true" outlineLevel="0" collapsed="false">
      <c r="A14" s="23" t="n">
        <v>2</v>
      </c>
      <c r="B14" s="23" t="str">
        <f aca="false">Declarații_TVA_INC!B29</f>
        <v>4426</v>
      </c>
      <c r="C14" s="24" t="n">
        <f aca="false">Declarații_TVA_INC!B13</f>
        <v>1050</v>
      </c>
      <c r="D14" s="23" t="str">
        <f aca="false">"TVA deductibilă (exigibilă) " &amp; Declarații_TVA_INC!B34</f>
        <v>TVA deductibilă (exigibilă) — TVA la încasare 2026-07</v>
      </c>
      <c r="E14" s="23" t="str">
        <f aca="false">Declarații_TVA_INC!B28</f>
        <v>4428.INC</v>
      </c>
      <c r="F14" s="24" t="n">
        <f aca="false">Declarații_TVA_INC!B13</f>
        <v>1050</v>
      </c>
      <c r="G14" s="23" t="str">
        <f aca="false">"Stingere 4428.INC achiziție " &amp; Declarații_TVA_INC!B34</f>
        <v>Stingere 4428.INC achiziție — TVA la încasare 2026-07</v>
      </c>
    </row>
    <row r="15" customFormat="false" ht="15" hidden="false" customHeight="true" outlineLevel="0" collapsed="false">
      <c r="A15" s="1" t="s">
        <v>278</v>
      </c>
      <c r="B15" s="1" t="n">
        <f aca="false">(C13+C14)-(F13+F14)</f>
        <v>0</v>
      </c>
      <c r="C15" s="29" t="str">
        <f aca="false">IF(ABS(B15)&lt;0.01,"OK","EROARE")</f>
        <v>OK</v>
      </c>
    </row>
    <row r="17" customFormat="false" ht="15" hidden="false" customHeight="true" outlineLevel="0" collapsed="false">
      <c r="A17" s="3" t="s">
        <v>714</v>
      </c>
    </row>
    <row r="18" customFormat="false" ht="15" hidden="false" customHeight="true" outlineLevel="0" collapsed="false">
      <c r="A18" s="1" t="s">
        <v>353</v>
      </c>
      <c r="B18" s="1" t="str">
        <f aca="false">Declarații_TVA_INC!B17</f>
        <v>2026-07-12</v>
      </c>
    </row>
    <row r="19" customFormat="false" ht="15" hidden="false" customHeight="true" outlineLevel="0" collapsed="false">
      <c r="A19" s="11" t="s">
        <v>182</v>
      </c>
      <c r="B19" s="11" t="s">
        <v>141</v>
      </c>
      <c r="C19" s="11" t="s">
        <v>183</v>
      </c>
      <c r="D19" s="11" t="s">
        <v>184</v>
      </c>
      <c r="E19" s="11" t="s">
        <v>142</v>
      </c>
      <c r="F19" s="11" t="s">
        <v>185</v>
      </c>
      <c r="G19" s="11" t="s">
        <v>186</v>
      </c>
    </row>
    <row r="20" customFormat="false" ht="27.75" hidden="false" customHeight="true" outlineLevel="0" collapsed="false">
      <c r="A20" s="23" t="n">
        <v>1</v>
      </c>
      <c r="B20" s="23" t="str">
        <f aca="false">Declarații_TVA_INC!B26</f>
        <v>411.RO</v>
      </c>
      <c r="C20" s="24" t="n">
        <f aca="false">Declarații_TVA_INC!B21</f>
        <v>9680</v>
      </c>
      <c r="D20" s="23" t="str">
        <f aca="false">"Creanță client total " &amp; Declarații_TVA_INC!B34</f>
        <v>Creanță client total — TVA la încasare 2026-07</v>
      </c>
      <c r="E20" s="23" t="str">
        <f aca="false">Declarații_TVA_INC!B27</f>
        <v>707</v>
      </c>
      <c r="F20" s="24" t="n">
        <f aca="false">Declarații_TVA_INC!B19</f>
        <v>8000</v>
      </c>
      <c r="G20" s="23" t="str">
        <f aca="false">"Venit " &amp; Declarații_TVA_INC!B34</f>
        <v>Venit — TVA la încasare 2026-07</v>
      </c>
    </row>
    <row r="21" customFormat="false" ht="27.75" hidden="false" customHeight="true" outlineLevel="0" collapsed="false">
      <c r="A21" s="23" t="n">
        <v>2</v>
      </c>
      <c r="B21" s="23" t="n">
        <v>0</v>
      </c>
      <c r="C21" s="23" t="n">
        <v>0</v>
      </c>
      <c r="D21" s="23"/>
      <c r="E21" s="23" t="str">
        <f aca="false">Declarații_TVA_INC!B28</f>
        <v>4428.INC</v>
      </c>
      <c r="F21" s="24" t="n">
        <f aca="false">Declarații_TVA_INC!B20</f>
        <v>1680</v>
      </c>
      <c r="G21" s="23" t="str">
        <f aca="false">"TVA neexigibilă vânzare " &amp; Declarații_TVA_INC!B34</f>
        <v>TVA neexigibilă vânzare — TVA la încasare 2026-07</v>
      </c>
    </row>
    <row r="22" customFormat="false" ht="15" hidden="false" customHeight="true" outlineLevel="0" collapsed="false">
      <c r="A22" s="1" t="s">
        <v>452</v>
      </c>
      <c r="B22" s="1" t="n">
        <f aca="false">C20-(F20+F21)</f>
        <v>0</v>
      </c>
      <c r="C22" s="29" t="str">
        <f aca="false">IF(ABS(B22)&lt;0.01,"OK","EROARE")</f>
        <v>OK</v>
      </c>
    </row>
    <row r="24" customFormat="false" ht="15" hidden="false" customHeight="true" outlineLevel="0" collapsed="false">
      <c r="A24" s="3" t="s">
        <v>715</v>
      </c>
    </row>
    <row r="25" customFormat="false" ht="15" hidden="false" customHeight="true" outlineLevel="0" collapsed="false">
      <c r="A25" s="1" t="s">
        <v>353</v>
      </c>
      <c r="B25" s="1" t="str">
        <f aca="false">Declarații_TVA_INC!B18</f>
        <v>2026-07-28</v>
      </c>
    </row>
    <row r="26" customFormat="false" ht="15" hidden="false" customHeight="true" outlineLevel="0" collapsed="false">
      <c r="A26" s="11" t="s">
        <v>182</v>
      </c>
      <c r="B26" s="11" t="s">
        <v>141</v>
      </c>
      <c r="C26" s="11" t="s">
        <v>183</v>
      </c>
      <c r="D26" s="11" t="s">
        <v>184</v>
      </c>
      <c r="E26" s="11" t="s">
        <v>142</v>
      </c>
      <c r="F26" s="11" t="s">
        <v>185</v>
      </c>
      <c r="G26" s="11" t="s">
        <v>186</v>
      </c>
    </row>
    <row r="27" customFormat="false" ht="27.75" hidden="false" customHeight="true" outlineLevel="0" collapsed="false">
      <c r="A27" s="23" t="n">
        <v>1</v>
      </c>
      <c r="B27" s="23" t="str">
        <f aca="false">Declarații_TVA_INC!B31</f>
        <v>512.1</v>
      </c>
      <c r="C27" s="24" t="n">
        <f aca="false">Declarații_TVA_INC!B21</f>
        <v>9680</v>
      </c>
      <c r="D27" s="23" t="str">
        <f aca="false">"Încasare client " &amp; Declarații_TVA_INC!B34</f>
        <v>Încasare client — TVA la încasare 2026-07</v>
      </c>
      <c r="E27" s="23" t="str">
        <f aca="false">Declarații_TVA_INC!B26</f>
        <v>411.RO</v>
      </c>
      <c r="F27" s="24" t="n">
        <f aca="false">Declarații_TVA_INC!B21</f>
        <v>9680</v>
      </c>
      <c r="G27" s="23" t="str">
        <f aca="false">"Stingere creanță " &amp; Declarații_TVA_INC!B34</f>
        <v>Stingere creanță — TVA la încasare 2026-07</v>
      </c>
    </row>
    <row r="28" customFormat="false" ht="27.75" hidden="false" customHeight="true" outlineLevel="0" collapsed="false">
      <c r="A28" s="23" t="n">
        <v>2</v>
      </c>
      <c r="B28" s="23" t="str">
        <f aca="false">Declarații_TVA_INC!B28</f>
        <v>4428.INC</v>
      </c>
      <c r="C28" s="24" t="n">
        <f aca="false">Declarații_TVA_INC!B20</f>
        <v>1680</v>
      </c>
      <c r="D28" s="23" t="str">
        <f aca="false">"Stingere 4428.INC vânzare " &amp; Declarații_TVA_INC!B34</f>
        <v>Stingere 4428.INC vânzare — TVA la încasare 2026-07</v>
      </c>
      <c r="E28" s="23" t="str">
        <f aca="false">Declarații_TVA_INC!B30</f>
        <v>4427</v>
      </c>
      <c r="F28" s="24" t="n">
        <f aca="false">Declarații_TVA_INC!B20</f>
        <v>1680</v>
      </c>
      <c r="G28" s="23" t="str">
        <f aca="false">"TVA colectată (exigibilă) " &amp; Declarații_TVA_INC!B34</f>
        <v>TVA colectată (exigibilă) — TVA la încasare 2026-07</v>
      </c>
    </row>
    <row r="29" customFormat="false" ht="15" hidden="false" customHeight="true" outlineLevel="0" collapsed="false">
      <c r="A29" s="1" t="s">
        <v>454</v>
      </c>
      <c r="B29" s="1" t="n">
        <f aca="false">(C27+C28)-(F27+F28)</f>
        <v>0</v>
      </c>
      <c r="C29" s="29" t="str">
        <f aca="false">IF(ABS(B29)&lt;0.01,"OK","EROARE")</f>
        <v>OK</v>
      </c>
    </row>
    <row r="31" customFormat="false" ht="15" hidden="false" customHeight="true" outlineLevel="0" collapsed="false">
      <c r="A31" s="31" t="s">
        <v>288</v>
      </c>
      <c r="B31" s="1" t="n">
        <f aca="false">ABS(B8)+ABS(B15)+ABS(B22)+ABS(B29)</f>
        <v>0</v>
      </c>
      <c r="C31" s="29" t="str">
        <f aca="false">IF(B31&lt;0.01,"OK — toate blocurile se închid","EROARE — cel puțin un bloc dezechilibrat")</f>
        <v>OK — toate blocurile se închid</v>
      </c>
    </row>
    <row r="33" customFormat="false" ht="15" hidden="false" customHeight="true" outlineLevel="0" collapsed="false">
      <c r="A33" s="10" t="s">
        <v>716</v>
      </c>
      <c r="B33" s="10"/>
      <c r="C33" s="10"/>
      <c r="D33" s="10"/>
      <c r="E33" s="10"/>
      <c r="F33" s="10"/>
      <c r="G33" s="10"/>
    </row>
  </sheetData>
  <mergeCells count="2">
    <mergeCell ref="A1:G1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8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717</v>
      </c>
      <c r="B1" s="2"/>
      <c r="C1" s="2"/>
      <c r="D1" s="2"/>
      <c r="E1" s="2"/>
      <c r="F1" s="2"/>
      <c r="G1" s="2"/>
      <c r="H1" s="2"/>
      <c r="I1" s="2"/>
    </row>
    <row r="4" customFormat="false" ht="26.25" hidden="false" customHeight="true" outlineLevel="0" collapsed="false">
      <c r="A4" s="11" t="s">
        <v>182</v>
      </c>
      <c r="B4" s="11" t="s">
        <v>196</v>
      </c>
      <c r="C4" s="11" t="s">
        <v>197</v>
      </c>
      <c r="D4" s="11" t="s">
        <v>141</v>
      </c>
      <c r="E4" s="11" t="s">
        <v>142</v>
      </c>
      <c r="F4" s="11" t="s">
        <v>198</v>
      </c>
      <c r="G4" s="11" t="s">
        <v>199</v>
      </c>
      <c r="H4" s="11" t="s">
        <v>200</v>
      </c>
      <c r="I4" s="11" t="s">
        <v>201</v>
      </c>
    </row>
    <row r="5" customFormat="false" ht="15" hidden="false" customHeight="true" outlineLevel="0" collapsed="false">
      <c r="A5" s="37" t="n">
        <v>1</v>
      </c>
      <c r="B5" s="37" t="s">
        <v>718</v>
      </c>
      <c r="C5" s="37" t="str">
        <f aca="false">Declarații_TVA_INC!B9</f>
        <v>2026-07-08</v>
      </c>
      <c r="D5" s="37" t="str">
        <f aca="false">Jurnale_TVA_INC!B6</f>
        <v>301</v>
      </c>
      <c r="E5" s="37" t="str">
        <f aca="false">Jurnale_TVA_INC!E6</f>
        <v>401.RO</v>
      </c>
      <c r="F5" s="38" t="n">
        <f aca="false">Jurnale_TVA_INC!C6</f>
        <v>5000</v>
      </c>
      <c r="G5" s="37" t="s">
        <v>719</v>
      </c>
      <c r="H5" s="37" t="s">
        <v>81</v>
      </c>
      <c r="I5" s="37" t="str">
        <f aca="false">IF(AND(ISNUMBER(F5),F5&gt;0),"DA","NU")</f>
        <v>DA</v>
      </c>
    </row>
    <row r="6" customFormat="false" ht="15" hidden="false" customHeight="true" outlineLevel="0" collapsed="false">
      <c r="A6" s="37" t="n">
        <v>2</v>
      </c>
      <c r="B6" s="37" t="s">
        <v>718</v>
      </c>
      <c r="C6" s="37" t="str">
        <f aca="false">Declarații_TVA_INC!B9</f>
        <v>2026-07-08</v>
      </c>
      <c r="D6" s="37" t="str">
        <f aca="false">Jurnale_TVA_INC!B7</f>
        <v>4428.INC</v>
      </c>
      <c r="E6" s="37" t="str">
        <f aca="false">Jurnale_TVA_INC!E6</f>
        <v>401.RO</v>
      </c>
      <c r="F6" s="38" t="n">
        <f aca="false">Jurnale_TVA_INC!C7</f>
        <v>1050</v>
      </c>
      <c r="G6" s="37" t="s">
        <v>719</v>
      </c>
      <c r="H6" s="37" t="s">
        <v>81</v>
      </c>
      <c r="I6" s="37" t="str">
        <f aca="false">IF(AND(ISNUMBER(F6),F6&gt;0),"DA","NU")</f>
        <v>DA</v>
      </c>
    </row>
    <row r="7" customFormat="false" ht="15" hidden="false" customHeight="true" outlineLevel="0" collapsed="false">
      <c r="A7" s="37" t="n">
        <v>3</v>
      </c>
      <c r="B7" s="37" t="s">
        <v>720</v>
      </c>
      <c r="C7" s="37" t="str">
        <f aca="false">Declarații_TVA_INC!B10</f>
        <v>2026-07-20</v>
      </c>
      <c r="D7" s="37" t="str">
        <f aca="false">Jurnale_TVA_INC!B13</f>
        <v>401.RO</v>
      </c>
      <c r="E7" s="37" t="str">
        <f aca="false">Jurnale_TVA_INC!E13</f>
        <v>512.1</v>
      </c>
      <c r="F7" s="38" t="n">
        <f aca="false">Jurnale_TVA_INC!C13</f>
        <v>6050</v>
      </c>
      <c r="G7" s="37" t="s">
        <v>719</v>
      </c>
      <c r="H7" s="37" t="s">
        <v>81</v>
      </c>
      <c r="I7" s="37" t="str">
        <f aca="false">IF(AND(ISNUMBER(F7),F7&gt;0),"DA","NU")</f>
        <v>DA</v>
      </c>
    </row>
    <row r="8" customFormat="false" ht="15" hidden="false" customHeight="true" outlineLevel="0" collapsed="false">
      <c r="A8" s="37" t="n">
        <v>4</v>
      </c>
      <c r="B8" s="37" t="s">
        <v>720</v>
      </c>
      <c r="C8" s="37" t="str">
        <f aca="false">Declarații_TVA_INC!B10</f>
        <v>2026-07-20</v>
      </c>
      <c r="D8" s="37" t="str">
        <f aca="false">Jurnale_TVA_INC!B14</f>
        <v>4426</v>
      </c>
      <c r="E8" s="37" t="str">
        <f aca="false">Jurnale_TVA_INC!E14</f>
        <v>4428.INC</v>
      </c>
      <c r="F8" s="38" t="n">
        <f aca="false">Jurnale_TVA_INC!C14</f>
        <v>1050</v>
      </c>
      <c r="G8" s="37" t="s">
        <v>719</v>
      </c>
      <c r="H8" s="37" t="s">
        <v>81</v>
      </c>
      <c r="I8" s="37" t="str">
        <f aca="false">IF(AND(ISNUMBER(F8),F8&gt;0),"DA","NU")</f>
        <v>DA</v>
      </c>
    </row>
    <row r="9" customFormat="false" ht="15" hidden="false" customHeight="true" outlineLevel="0" collapsed="false">
      <c r="A9" s="37" t="n">
        <v>5</v>
      </c>
      <c r="B9" s="37" t="s">
        <v>721</v>
      </c>
      <c r="C9" s="37" t="str">
        <f aca="false">Declarații_TVA_INC!B17</f>
        <v>2026-07-12</v>
      </c>
      <c r="D9" s="37" t="str">
        <f aca="false">Jurnale_TVA_INC!B20</f>
        <v>411.RO</v>
      </c>
      <c r="E9" s="37" t="str">
        <f aca="false">Jurnale_TVA_INC!E20</f>
        <v>707</v>
      </c>
      <c r="F9" s="38" t="n">
        <f aca="false">Jurnale_TVA_INC!F20</f>
        <v>8000</v>
      </c>
      <c r="G9" s="37" t="s">
        <v>719</v>
      </c>
      <c r="H9" s="37" t="s">
        <v>81</v>
      </c>
      <c r="I9" s="37" t="str">
        <f aca="false">IF(AND(ISNUMBER(F9),F9&gt;0),"DA","NU")</f>
        <v>DA</v>
      </c>
    </row>
    <row r="10" customFormat="false" ht="15" hidden="false" customHeight="true" outlineLevel="0" collapsed="false">
      <c r="A10" s="37" t="n">
        <v>6</v>
      </c>
      <c r="B10" s="37" t="s">
        <v>721</v>
      </c>
      <c r="C10" s="37" t="str">
        <f aca="false">Declarații_TVA_INC!B17</f>
        <v>2026-07-12</v>
      </c>
      <c r="D10" s="37" t="str">
        <f aca="false">Jurnale_TVA_INC!B20</f>
        <v>411.RO</v>
      </c>
      <c r="E10" s="37" t="str">
        <f aca="false">Jurnale_TVA_INC!E21</f>
        <v>4428.INC</v>
      </c>
      <c r="F10" s="38" t="n">
        <f aca="false">Jurnale_TVA_INC!F21</f>
        <v>1680</v>
      </c>
      <c r="G10" s="37" t="s">
        <v>719</v>
      </c>
      <c r="H10" s="37" t="s">
        <v>81</v>
      </c>
      <c r="I10" s="37" t="str">
        <f aca="false">IF(AND(ISNUMBER(F10),F10&gt;0),"DA","NU")</f>
        <v>DA</v>
      </c>
    </row>
    <row r="11" customFormat="false" ht="15" hidden="false" customHeight="true" outlineLevel="0" collapsed="false">
      <c r="A11" s="37" t="n">
        <v>7</v>
      </c>
      <c r="B11" s="37" t="s">
        <v>722</v>
      </c>
      <c r="C11" s="37" t="str">
        <f aca="false">Declarații_TVA_INC!B18</f>
        <v>2026-07-28</v>
      </c>
      <c r="D11" s="37" t="str">
        <f aca="false">Jurnale_TVA_INC!B27</f>
        <v>512.1</v>
      </c>
      <c r="E11" s="37" t="str">
        <f aca="false">Jurnale_TVA_INC!E27</f>
        <v>411.RO</v>
      </c>
      <c r="F11" s="38" t="n">
        <f aca="false">Jurnale_TVA_INC!C27</f>
        <v>9680</v>
      </c>
      <c r="G11" s="37" t="s">
        <v>719</v>
      </c>
      <c r="H11" s="37" t="s">
        <v>81</v>
      </c>
      <c r="I11" s="37" t="str">
        <f aca="false">IF(AND(ISNUMBER(F11),F11&gt;0),"DA","NU")</f>
        <v>DA</v>
      </c>
    </row>
    <row r="12" customFormat="false" ht="15" hidden="false" customHeight="true" outlineLevel="0" collapsed="false">
      <c r="A12" s="37" t="n">
        <v>8</v>
      </c>
      <c r="B12" s="37" t="s">
        <v>722</v>
      </c>
      <c r="C12" s="37" t="str">
        <f aca="false">Declarații_TVA_INC!B18</f>
        <v>2026-07-28</v>
      </c>
      <c r="D12" s="37" t="str">
        <f aca="false">Jurnale_TVA_INC!B28</f>
        <v>4428.INC</v>
      </c>
      <c r="E12" s="37" t="str">
        <f aca="false">Jurnale_TVA_INC!E28</f>
        <v>4427</v>
      </c>
      <c r="F12" s="38" t="n">
        <f aca="false">Jurnale_TVA_INC!C28</f>
        <v>1680</v>
      </c>
      <c r="G12" s="37" t="s">
        <v>719</v>
      </c>
      <c r="H12" s="37" t="s">
        <v>81</v>
      </c>
      <c r="I12" s="37" t="str">
        <f aca="false">IF(AND(ISNUMBER(F12),F12&gt;0),"DA","NU")</f>
        <v>DA</v>
      </c>
    </row>
    <row r="14" customFormat="false" ht="15" hidden="false" customHeight="true" outlineLevel="0" collapsed="false">
      <c r="A14" s="1" t="s">
        <v>288</v>
      </c>
      <c r="B14" s="1" t="n">
        <f aca="false">Jurnale_TVA_INC!B31</f>
        <v>0</v>
      </c>
      <c r="C14" s="1" t="str">
        <f aca="false">IF(ABS(B14)&lt;0.01,"OK","EROARE")</f>
        <v>OK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2026-08-14T13:51:44Z</dcterms:created>
  <dc:creator>openpyxl</dc:creator>
  <dc:description/>
  <dc:language>en-US</dc:language>
  <cp:lastModifiedBy/>
  <dcterms:modified xsi:type="dcterms:W3CDTF">2026-08-14T19:25:01Z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